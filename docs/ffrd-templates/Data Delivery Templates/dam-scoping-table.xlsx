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F8278CA-AFAD-4C63-81AD-A365B9BF9181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dam-scoping-table" sheetId="2" r:id="rId1"/>
    <sheet name="list-options" sheetId="3" r:id="rId2"/>
  </sheets>
  <definedNames>
    <definedName name="_xlnm._FilterDatabase" localSheetId="0" hidden="1">'dam-scoping-table'!$A$1:$N$1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C1" i="3"/>
  <c r="D1" i="3"/>
  <c r="E1" i="3"/>
  <c r="F1" i="3"/>
  <c r="G1" i="3"/>
  <c r="H1" i="3"/>
  <c r="B1" i="3"/>
</calcChain>
</file>

<file path=xl/sharedStrings.xml><?xml version="1.0" encoding="utf-8"?>
<sst xmlns="http://schemas.openxmlformats.org/spreadsheetml/2006/main" count="42" uniqueCount="36">
  <si>
    <t>NIDID</t>
  </si>
  <si>
    <t>Dam Name</t>
  </si>
  <si>
    <t>Alternate Dam Name</t>
  </si>
  <si>
    <t>Max Storage</t>
  </si>
  <si>
    <t>Hazard Class</t>
  </si>
  <si>
    <t>Scoping Justification / Discussion</t>
  </si>
  <si>
    <t>Include in Reservoir Operations Model (Y/N)?</t>
  </si>
  <si>
    <t>Number of Unique Outflow Features? ("ResSim Dams")</t>
  </si>
  <si>
    <t>Hydrologic Model Treatment - Historic Events</t>
  </si>
  <si>
    <t>Hydrologic Model Treatment - Synthetic Events</t>
  </si>
  <si>
    <t>Hydraulic Modeling Treatment</t>
  </si>
  <si>
    <t>Include Hydaulic Initial Pool Elevation (IC Point)?</t>
  </si>
  <si>
    <t>Breach? (Yes/No)</t>
  </si>
  <si>
    <t>Vary Initial Pool Elevation During Stochastic Events?</t>
  </si>
  <si>
    <t>No</t>
  </si>
  <si>
    <t>n/a</t>
  </si>
  <si>
    <t>No Reservoir Routing Element</t>
  </si>
  <si>
    <t>Type A-Operation Modeled outside of Hydraulic Model</t>
  </si>
  <si>
    <t>Yes</t>
  </si>
  <si>
    <t>Yes - Breach</t>
  </si>
  <si>
    <t>Yes—Sourced from Reservoir Operations Model PoR Simulation Results</t>
  </si>
  <si>
    <t>Yes - Include in Ressim</t>
  </si>
  <si>
    <t>Reservoir Element – Rule Based Outflows</t>
  </si>
  <si>
    <t>Type B-Operation Modeled by Hydraulic Model</t>
  </si>
  <si>
    <t>No -Do Not Breach</t>
  </si>
  <si>
    <t>Yes—Sourced from Hydrologic Model PoR Simulation Results</t>
  </si>
  <si>
    <t>Reservoir Element – Outflow Structures</t>
  </si>
  <si>
    <t>Type C-Simplified Outflows Modeled by Hydraulic Model</t>
  </si>
  <si>
    <t>Yes—Sourced from Observed Period of Record Data</t>
  </si>
  <si>
    <t>Reservoir Element – Outflow Curves</t>
  </si>
  <si>
    <t>Type D-Basic Representation in Hydraulic Model</t>
  </si>
  <si>
    <t>No—Static Initial Pool for all Events</t>
  </si>
  <si>
    <t>&gt;3</t>
  </si>
  <si>
    <t>Reservoir Element – Specified Release</t>
  </si>
  <si>
    <t>Type E-Not Modeled</t>
  </si>
  <si>
    <t>Not Applicable (No Initial Conditions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</si>
</sst>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023B-BF94-4A11-84B7-518CA3C64445}">
  <dimension ref="A1:N1"/>
  <sheetViews>
    <sheetView tabSelected="1" zoomScale="70" zoomScaleNormal="7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2" style="7" customWidth="1"/>
    <col min="2" max="2" width="15" style="7" customWidth="1"/>
    <col min="3" max="3" width="17.140625" style="7" customWidth="1"/>
    <col min="4" max="4" width="13.7109375" style="7" customWidth="1"/>
    <col min="5" max="5" width="13.28515625" style="8" customWidth="1"/>
    <col min="6" max="6" width="40" style="9" customWidth="1"/>
    <col min="7" max="7" width="19" style="7" customWidth="1"/>
    <col min="8" max="8" width="28.5703125" style="7" customWidth="1"/>
    <col min="9" max="9" width="37.7109375" style="11" customWidth="1"/>
    <col min="10" max="10" width="37.7109375" style="8" customWidth="1"/>
    <col min="11" max="11" width="35.85546875" style="11" customWidth="1"/>
    <col min="12" max="12" width="14.42578125" style="8" customWidth="1"/>
    <col min="13" max="13" width="20" style="9" customWidth="1"/>
    <col min="14" max="14" width="23.5703125" style="9" customWidth="1"/>
    <col min="15" max="16384" width="9.140625" style="7"/>
  </cols>
  <sheetData>
    <row r="1" spans="1:14" s="2" customFormat="1" ht="58.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10" t="s">
        <v>8</v>
      </c>
      <c r="J1" s="4" t="s">
        <v>9</v>
      </c>
      <c r="K1" s="10" t="s">
        <v>10</v>
      </c>
      <c r="L1" s="4" t="s">
        <v>11</v>
      </c>
      <c r="M1" s="5" t="s">
        <v>12</v>
      </c>
      <c r="N1" s="5" t="s">
        <v>13</v>
      </c>
    </row>
  </sheetData>
  <autoFilter ref="A1:N1" xr:uid="{CE01023B-BF94-4A11-84B7-518CA3C64445}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1831B1C-19B2-4DDD-84D3-462F13ECE74D}">
          <x14:formula1>
            <xm:f>'list-options'!$B$2:$B$9</xm:f>
          </x14:formula1>
          <xm:sqref>G2:G1048576</xm:sqref>
        </x14:dataValidation>
        <x14:dataValidation type="list" allowBlank="1" showInputMessage="1" showErrorMessage="1" xr:uid="{665D0BBF-847F-4F01-B65D-3FECA657979C}">
          <x14:formula1>
            <xm:f>'list-options'!$D$2:$D$10</xm:f>
          </x14:formula1>
          <xm:sqref>I2:J1048576</xm:sqref>
        </x14:dataValidation>
        <x14:dataValidation type="list" allowBlank="1" showInputMessage="1" showErrorMessage="1" xr:uid="{41BE59EF-6FBD-4626-97EA-440BF00C835F}">
          <x14:formula1>
            <xm:f>'list-options'!$F$2:$F$14</xm:f>
          </x14:formula1>
          <xm:sqref>K2:K1048576</xm:sqref>
        </x14:dataValidation>
        <x14:dataValidation type="list" allowBlank="1" showInputMessage="1" showErrorMessage="1" xr:uid="{C0E27448-9296-4521-A998-2CFCFC473D86}">
          <x14:formula1>
            <xm:f>'list-options'!$H$2:$H$7</xm:f>
          </x14:formula1>
          <xm:sqref>M2:M1048576</xm:sqref>
        </x14:dataValidation>
        <x14:dataValidation type="list" allowBlank="1" showInputMessage="1" showErrorMessage="1" xr:uid="{BC6BD019-46BC-445E-81DB-893B5F9925C8}">
          <x14:formula1>
            <xm:f>'list-options'!$I$2:$I$14</xm:f>
          </x14:formula1>
          <xm:sqref>N2:N1048576</xm:sqref>
        </x14:dataValidation>
        <x14:dataValidation type="list" allowBlank="1" showInputMessage="1" showErrorMessage="1" xr:uid="{7E16F5A7-4635-4313-BB32-B820F59F45BE}">
          <x14:formula1>
            <xm:f>'list-options'!$G$2:$G$6</xm:f>
          </x14:formula1>
          <xm:sqref>L2:L1048576</xm:sqref>
        </x14:dataValidation>
        <x14:dataValidation type="list" allowBlank="1" showInputMessage="1" showErrorMessage="1" xr:uid="{E44F2ABC-107D-4CC5-A50B-0965C7CD62C9}">
          <x14:formula1>
            <xm:f>'list-options'!$C$2:$C$1048576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7FE3-EE2A-472D-BB0E-C273F9B46749}">
  <dimension ref="B1:I6"/>
  <sheetViews>
    <sheetView zoomScale="85" zoomScaleNormal="85" workbookViewId="0">
      <selection activeCell="I6" sqref="I6"/>
    </sheetView>
  </sheetViews>
  <sheetFormatPr defaultRowHeight="15" x14ac:dyDescent="0.25"/>
  <cols>
    <col min="1" max="1" width="3" customWidth="1"/>
    <col min="2" max="2" width="25.5703125" customWidth="1"/>
    <col min="3" max="3" width="12.85546875" style="1" customWidth="1"/>
    <col min="4" max="4" width="38.42578125" bestFit="1" customWidth="1"/>
    <col min="5" max="5" width="43.7109375" bestFit="1" customWidth="1"/>
    <col min="6" max="6" width="52.5703125" bestFit="1" customWidth="1"/>
    <col min="7" max="7" width="11.85546875" customWidth="1"/>
    <col min="8" max="8" width="17.5703125" bestFit="1" customWidth="1"/>
    <col min="9" max="9" width="65.7109375" bestFit="1" customWidth="1"/>
  </cols>
  <sheetData>
    <row r="1" spans="2:9" s="12" customFormat="1" ht="90" x14ac:dyDescent="0.25">
      <c r="B1" s="2" t="str">
        <f>'dam-scoping-table'!G1</f>
        <v>Include in Reservoir Operations Model (Y/N)?</v>
      </c>
      <c r="C1" s="2" t="str">
        <f>'dam-scoping-table'!H1</f>
        <v>Number of Unique Outflow Features? ("ResSim Dams")</v>
      </c>
      <c r="D1" s="2" t="str">
        <f>'dam-scoping-table'!I1</f>
        <v>Hydrologic Model Treatment - Historic Events</v>
      </c>
      <c r="E1" s="2" t="str">
        <f>'dam-scoping-table'!J1</f>
        <v>Hydrologic Model Treatment - Synthetic Events</v>
      </c>
      <c r="F1" s="2" t="str">
        <f>'dam-scoping-table'!K1</f>
        <v>Hydraulic Modeling Treatment</v>
      </c>
      <c r="G1" s="2" t="str">
        <f>'dam-scoping-table'!L1</f>
        <v>Include Hydaulic Initial Pool Elevation (IC Point)?</v>
      </c>
      <c r="H1" s="2" t="str">
        <f>'dam-scoping-table'!M1</f>
        <v>Breach? (Yes/No)</v>
      </c>
      <c r="I1" s="2" t="str">
        <f>'dam-scoping-table'!N1</f>
        <v>Vary Initial Pool Elevation During Stochastic Events?</v>
      </c>
    </row>
    <row r="2" spans="2:9" x14ac:dyDescent="0.25">
      <c r="B2" t="s">
        <v>14</v>
      </c>
      <c r="C2" s="1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 t="s">
        <v>21</v>
      </c>
      <c r="C3" s="1">
        <v>1</v>
      </c>
      <c r="D3" t="s">
        <v>22</v>
      </c>
      <c r="E3" t="s">
        <v>22</v>
      </c>
      <c r="F3" t="s">
        <v>23</v>
      </c>
      <c r="G3" t="s">
        <v>14</v>
      </c>
      <c r="H3" t="s">
        <v>24</v>
      </c>
      <c r="I3" t="s">
        <v>25</v>
      </c>
    </row>
    <row r="4" spans="2:9" x14ac:dyDescent="0.25">
      <c r="C4" s="1">
        <v>2</v>
      </c>
      <c r="D4" t="s">
        <v>26</v>
      </c>
      <c r="E4" t="s">
        <v>26</v>
      </c>
      <c r="F4" t="s">
        <v>27</v>
      </c>
      <c r="I4" t="s">
        <v>28</v>
      </c>
    </row>
    <row r="5" spans="2:9" x14ac:dyDescent="0.25">
      <c r="C5" s="1">
        <v>3</v>
      </c>
      <c r="D5" t="s">
        <v>29</v>
      </c>
      <c r="E5" t="s">
        <v>29</v>
      </c>
      <c r="F5" t="s">
        <v>30</v>
      </c>
      <c r="I5" s="13" t="s">
        <v>31</v>
      </c>
    </row>
    <row r="6" spans="2:9" x14ac:dyDescent="0.25">
      <c r="C6" s="1" t="s">
        <v>32</v>
      </c>
      <c r="D6" t="s">
        <v>33</v>
      </c>
      <c r="E6" t="s">
        <v>33</v>
      </c>
      <c r="F6" t="s">
        <v>34</v>
      </c>
      <c r="I6" s="13" t="s">
        <v>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dam-scoping-table</vt:lpstr>
      <vt:lpstr>list-options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2026-10-08T02:37:15Z</dcterms:created>
  <dcterms:modified xsi:type="dcterms:W3CDTF">2026-10-08T02:37:20Z</dcterms:modified>
  <cp:category/>
  <cp:contentStatus/>
</cp:coreProperties>
</file>