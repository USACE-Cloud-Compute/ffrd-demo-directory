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omments2.xml" ContentType="application/vnd.openxmlformats-officedocument.spreadsheetml.comments+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filterPrivacy="1" codeName="ThisWorkbook" defaultThemeVersion="124226"/>
  <xr:revisionPtr revIDLastSave="0" documentId="13_ncr:1_{7106747C-AA06-4FA4-BE04-44971D1845C3}" xr6:coauthVersionLast="47" xr6:coauthVersionMax="47" xr10:uidLastSave="{00000000-0000-0000-0000-000000000000}"/>
  <bookViews>
    <workbookView xWindow="28680" yWindow="-90" windowWidth="29040" windowHeight="15690" tabRatio="830" xr2:uid="{00000000-000D-0000-FFFF-FFFF00000000}"/>
  </bookViews>
  <sheets>
    <sheet name="Dam Regression Equations" sheetId="8" r:id="rId1"/>
    <sheet name="References" sheetId="7" r:id="rId2"/>
    <sheet name="Filtered Data &amp; Plots" sheetId="31" r:id="rId3"/>
    <sheet name="Data Sources" sheetId="30" r:id="rId4"/>
    <sheet name="Dam Failure Case Study Data" sheetId="15" r:id="rId5"/>
  </sheets>
  <definedNames>
    <definedName name="__123Graph_XCHART1" hidden="1">#REF!</definedName>
    <definedName name="_xlnm._FilterDatabase" localSheetId="4" hidden="1">'Dam Failure Case Study Data'!$A$3:$AF$115</definedName>
    <definedName name="_Order1" hidden="1">255</definedName>
    <definedName name="FAILURE_DAT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8" l="1"/>
  <c r="C9" i="8" l="1"/>
  <c r="C11" i="8" s="1"/>
  <c r="E11" i="8" s="1"/>
  <c r="C7" i="8"/>
  <c r="C6" i="8"/>
  <c r="E14" i="8" l="1"/>
  <c r="C27" i="8"/>
  <c r="AM84" i="31" l="1"/>
  <c r="AL84" i="31"/>
  <c r="AK84" i="31"/>
  <c r="AM83" i="31"/>
  <c r="AL83" i="31"/>
  <c r="AK83" i="31"/>
  <c r="AN82" i="31"/>
  <c r="AM82" i="31"/>
  <c r="AL82" i="31"/>
  <c r="AK82" i="31"/>
  <c r="AM81" i="31"/>
  <c r="AL81" i="31"/>
  <c r="AK81" i="31"/>
  <c r="AM80" i="31"/>
  <c r="AL80" i="31"/>
  <c r="AK80" i="31"/>
  <c r="AM79" i="31"/>
  <c r="AL79" i="31"/>
  <c r="AK79" i="31"/>
  <c r="AN78" i="31"/>
  <c r="AM78" i="31"/>
  <c r="AL78" i="31"/>
  <c r="AK78" i="31"/>
  <c r="AM77" i="31"/>
  <c r="AL77" i="31"/>
  <c r="AK77" i="31"/>
  <c r="AM76" i="31"/>
  <c r="AL76" i="31"/>
  <c r="AK76" i="31"/>
  <c r="AM75" i="31"/>
  <c r="AL75" i="31"/>
  <c r="AK75" i="31"/>
  <c r="AM74" i="31"/>
  <c r="AL74" i="31"/>
  <c r="AK74" i="31"/>
  <c r="AM73" i="31"/>
  <c r="AL73" i="31"/>
  <c r="AK73" i="31"/>
  <c r="AM72" i="31"/>
  <c r="AL72" i="31"/>
  <c r="AK72" i="31"/>
  <c r="AN71" i="31"/>
  <c r="AM71" i="31"/>
  <c r="AL71" i="31"/>
  <c r="AK71" i="31"/>
  <c r="AM70" i="31"/>
  <c r="AL70" i="31"/>
  <c r="AK70" i="31"/>
  <c r="AM69" i="31"/>
  <c r="AL69" i="31"/>
  <c r="AK69" i="31"/>
  <c r="AM68" i="31"/>
  <c r="AL68" i="31"/>
  <c r="AK68" i="31"/>
  <c r="AM67" i="31"/>
  <c r="AL67" i="31"/>
  <c r="AK67" i="31"/>
  <c r="AN66" i="31"/>
  <c r="AM66" i="31"/>
  <c r="AL66" i="31"/>
  <c r="AK66" i="31"/>
  <c r="AN65" i="31"/>
  <c r="AM65" i="31"/>
  <c r="AL65" i="31"/>
  <c r="AK65" i="31"/>
  <c r="AM64" i="31"/>
  <c r="AL64" i="31"/>
  <c r="AK64" i="31"/>
  <c r="AN63" i="31"/>
  <c r="AM63" i="31"/>
  <c r="AL63" i="31"/>
  <c r="AK63" i="31"/>
  <c r="AM62" i="31"/>
  <c r="AL62" i="31"/>
  <c r="AK62" i="31"/>
  <c r="AN61" i="31"/>
  <c r="AM61" i="31"/>
  <c r="AL61" i="31"/>
  <c r="AK61" i="31"/>
  <c r="AM60" i="31"/>
  <c r="AL60" i="31"/>
  <c r="AK60" i="31"/>
  <c r="AM59" i="31"/>
  <c r="AL59" i="31"/>
  <c r="AK59" i="31"/>
  <c r="AM58" i="31"/>
  <c r="AL58" i="31"/>
  <c r="AK58" i="31"/>
  <c r="AM57" i="31"/>
  <c r="AL57" i="31"/>
  <c r="AK57" i="31"/>
  <c r="AM56" i="31"/>
  <c r="AL56" i="31"/>
  <c r="AK56" i="31"/>
  <c r="AM55" i="31"/>
  <c r="AL55" i="31"/>
  <c r="AK55" i="31"/>
  <c r="AN54" i="31"/>
  <c r="AM54" i="31"/>
  <c r="AL54" i="31"/>
  <c r="AK54" i="31"/>
  <c r="AN53" i="31"/>
  <c r="AM53" i="31"/>
  <c r="AL53" i="31"/>
  <c r="AK53" i="31"/>
  <c r="AM52" i="31"/>
  <c r="AL52" i="31"/>
  <c r="AK52" i="31"/>
  <c r="AN51" i="31"/>
  <c r="AM51" i="31"/>
  <c r="AL51" i="31"/>
  <c r="AK51" i="31"/>
  <c r="AM50" i="31"/>
  <c r="AL50" i="31"/>
  <c r="AK50" i="31"/>
  <c r="AM49" i="31"/>
  <c r="AL49" i="31"/>
  <c r="AK49" i="31"/>
  <c r="AM48" i="31"/>
  <c r="AL48" i="31"/>
  <c r="AK48" i="31"/>
  <c r="AM47" i="31"/>
  <c r="AL47" i="31"/>
  <c r="AK47" i="31"/>
  <c r="AM46" i="31"/>
  <c r="AL46" i="31"/>
  <c r="AK46" i="31"/>
  <c r="AM45" i="31"/>
  <c r="AL45" i="31"/>
  <c r="AK45" i="31"/>
  <c r="AM44" i="31"/>
  <c r="AL44" i="31"/>
  <c r="AK44" i="31"/>
  <c r="AM43" i="31"/>
  <c r="AL43" i="31"/>
  <c r="AK43" i="31"/>
  <c r="AM42" i="31"/>
  <c r="AL42" i="31"/>
  <c r="AK42" i="31"/>
  <c r="AM41" i="31"/>
  <c r="AL41" i="31"/>
  <c r="AK41" i="31"/>
  <c r="AM40" i="31"/>
  <c r="AL40" i="31"/>
  <c r="AK40" i="31"/>
  <c r="AM39" i="31"/>
  <c r="AL39" i="31"/>
  <c r="AK39" i="31"/>
  <c r="AN38" i="31"/>
  <c r="AM38" i="31"/>
  <c r="AL38" i="31"/>
  <c r="AK38" i="31"/>
  <c r="AM37" i="31"/>
  <c r="AL37" i="31"/>
  <c r="AK37" i="31"/>
  <c r="AM36" i="31"/>
  <c r="AL36" i="31"/>
  <c r="AK36" i="31"/>
  <c r="AN35" i="31"/>
  <c r="AM35" i="31"/>
  <c r="AL35" i="31"/>
  <c r="AK35" i="31"/>
  <c r="AM34" i="31"/>
  <c r="AL34" i="31"/>
  <c r="AK34" i="31"/>
  <c r="AM33" i="31"/>
  <c r="AL33" i="31"/>
  <c r="AK33" i="31"/>
  <c r="AM32" i="31"/>
  <c r="AL32" i="31"/>
  <c r="AK32" i="31"/>
  <c r="AN31" i="31"/>
  <c r="AM31" i="31"/>
  <c r="AL31" i="31"/>
  <c r="AK31" i="31"/>
  <c r="AN30" i="31"/>
  <c r="AM30" i="31"/>
  <c r="AL30" i="31"/>
  <c r="AK30" i="31"/>
  <c r="AM29" i="31"/>
  <c r="AL29" i="31"/>
  <c r="AK29" i="31"/>
  <c r="AM28" i="31"/>
  <c r="AL28" i="31"/>
  <c r="AK28" i="31"/>
  <c r="AM27" i="31"/>
  <c r="AL27" i="31"/>
  <c r="AK27" i="31"/>
  <c r="AM26" i="31"/>
  <c r="AL26" i="31"/>
  <c r="AK26" i="31"/>
  <c r="AM25" i="31"/>
  <c r="AL25" i="31"/>
  <c r="AK25" i="31"/>
  <c r="AN24" i="31"/>
  <c r="AM24" i="31"/>
  <c r="AL24" i="31"/>
  <c r="AK24" i="31"/>
  <c r="AM23" i="31"/>
  <c r="AL23" i="31"/>
  <c r="AK23" i="31"/>
  <c r="AM22" i="31"/>
  <c r="AL22" i="31"/>
  <c r="AK22" i="31"/>
  <c r="AM21" i="31"/>
  <c r="AL21" i="31"/>
  <c r="AK21" i="31"/>
  <c r="AM20" i="31"/>
  <c r="AL20" i="31"/>
  <c r="AK20" i="31"/>
  <c r="AM19" i="31"/>
  <c r="AL19" i="31"/>
  <c r="AK19" i="31"/>
  <c r="AN18" i="31"/>
  <c r="AM18" i="31"/>
  <c r="AL18" i="31"/>
  <c r="AK18" i="31"/>
  <c r="AM17" i="31"/>
  <c r="AL17" i="31"/>
  <c r="AK17" i="31"/>
  <c r="AM16" i="31"/>
  <c r="AL16" i="31"/>
  <c r="AK16" i="31"/>
  <c r="AN15" i="31"/>
  <c r="AM15" i="31"/>
  <c r="AL15" i="31"/>
  <c r="AK15" i="31"/>
  <c r="AM14" i="31"/>
  <c r="AL14" i="31"/>
  <c r="AK14" i="31"/>
  <c r="AM13" i="31"/>
  <c r="AL13" i="31"/>
  <c r="AK13" i="31"/>
  <c r="AM12" i="31"/>
  <c r="AL12" i="31"/>
  <c r="AK12" i="31"/>
  <c r="AM11" i="31"/>
  <c r="AL11" i="31"/>
  <c r="AK11" i="31"/>
  <c r="AM10" i="31"/>
  <c r="AL10" i="31"/>
  <c r="AK10" i="31"/>
  <c r="AN9" i="31"/>
  <c r="AM9" i="31"/>
  <c r="AL9" i="31"/>
  <c r="AK9" i="31"/>
  <c r="AN8" i="31"/>
  <c r="AM8" i="31"/>
  <c r="AL8" i="31"/>
  <c r="AK8" i="31"/>
  <c r="C34" i="8" l="1"/>
  <c r="C35" i="8"/>
  <c r="C28" i="8"/>
  <c r="C41" i="8"/>
  <c r="H52" i="8"/>
  <c r="H51" i="8"/>
  <c r="H50" i="8"/>
  <c r="H49" i="8"/>
  <c r="E42" i="8"/>
  <c r="E15" i="8"/>
  <c r="E13" i="8"/>
  <c r="C12" i="8"/>
  <c r="E10" i="8"/>
  <c r="E9" i="8"/>
  <c r="E8" i="8"/>
  <c r="E7" i="8"/>
  <c r="E12" i="8" l="1"/>
  <c r="M16" i="8"/>
  <c r="N16" i="8"/>
  <c r="C46" i="8"/>
  <c r="E31" i="8"/>
  <c r="C31" i="8" s="1"/>
  <c r="E38" i="8"/>
  <c r="C38" i="8" s="1"/>
  <c r="M24" i="8" s="1"/>
  <c r="E36" i="8"/>
  <c r="E37" i="8" s="1"/>
  <c r="C37" i="8" s="1"/>
  <c r="C43" i="8"/>
  <c r="H43" i="8" s="1"/>
  <c r="H44" i="8" s="1"/>
  <c r="E41" i="8"/>
  <c r="E29" i="8"/>
  <c r="M23" i="8" l="1"/>
  <c r="E46" i="8"/>
  <c r="E45" i="8"/>
  <c r="C45" i="8" s="1"/>
  <c r="M26" i="8"/>
  <c r="O26" i="8" s="1"/>
  <c r="C36" i="8"/>
  <c r="O24" i="8" s="1"/>
  <c r="E43" i="8"/>
  <c r="E44" i="8" s="1"/>
  <c r="E22" i="8"/>
  <c r="C44" i="8"/>
  <c r="L25" i="8" s="1"/>
  <c r="L24" i="8"/>
  <c r="E30" i="8"/>
  <c r="C30" i="8" s="1"/>
  <c r="C29" i="8"/>
  <c r="H36" i="8" l="1"/>
  <c r="H37" i="8" s="1"/>
  <c r="E24" i="8"/>
  <c r="C24" i="8" s="1"/>
  <c r="E23" i="8"/>
  <c r="C23" i="8" s="1"/>
  <c r="C22" i="8"/>
  <c r="M25" i="8"/>
  <c r="O25" i="8" s="1"/>
  <c r="L23" i="8"/>
  <c r="O23" i="8"/>
  <c r="H29" i="8"/>
  <c r="H30" i="8" s="1"/>
  <c r="M22" i="8" l="1"/>
  <c r="L22" i="8"/>
  <c r="H23" i="8"/>
  <c r="H24" i="8" s="1"/>
  <c r="H22" i="8" l="1"/>
  <c r="O22" i="8"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K15" authorId="0" shapeId="0" xr:uid="{C902058A-1270-4994-BAC1-F1C94A86898E}">
      <text>
        <r>
          <rPr>
            <b/>
            <sz val="9"/>
            <color indexed="10"/>
            <rFont val="Tahoma"/>
            <family val="2"/>
          </rPr>
          <t xml:space="preserve">The Corps guidelines shown in the table should be used as minimum and maximum bounds for estimating breach parameters.  However, it should be noted that dams that have very large volumes of water, and have long dam crest lengths, will continue to erode for long durations (i.e. as long as a significant amount of water is flowing through the breach), and may therefore have longer breach widths and times than what is shown in the Table. [Hydraulic Model Development for Dam Break Studies, Brunner]  The Corps Guidance was derived from a limited set of case studies and not all dams will fall between the case study limits for dam height, storage volume, embankment geology, etc.  </t>
        </r>
      </text>
    </comment>
    <comment ref="C42" authorId="0" shapeId="0" xr:uid="{00000000-0006-0000-0000-000001000000}">
      <text>
        <r>
          <rPr>
            <sz val="9"/>
            <color indexed="10"/>
            <rFont val="Tahoma"/>
            <family val="2"/>
          </rPr>
          <t>H:1V  Slopes: 1.0 ; 0.5-0.33 for cohesive soils</t>
        </r>
        <r>
          <rPr>
            <sz val="9"/>
            <color indexed="81"/>
            <rFont val="Tahoma"/>
            <family val="2"/>
          </rPr>
          <t xml:space="preserve">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BG43" authorId="0" shapeId="0" xr:uid="{00000000-0006-0000-0800-000001000000}">
      <text>
        <r>
          <rPr>
            <b/>
            <sz val="9"/>
            <color indexed="81"/>
            <rFont val="Tahoma"/>
            <family val="2"/>
          </rPr>
          <t>assumes 
C = 5m
Z1=Z2=3</t>
        </r>
      </text>
    </comment>
  </commentList>
</comments>
</file>

<file path=xl/sharedStrings.xml><?xml version="1.0" encoding="utf-8"?>
<sst xmlns="http://schemas.openxmlformats.org/spreadsheetml/2006/main" count="1412" uniqueCount="592">
  <si>
    <t>Notes:</t>
  </si>
  <si>
    <t>Vertical Datum =</t>
  </si>
  <si>
    <t>NAVD 88</t>
  </si>
  <si>
    <t>Vertical Datum of Elevations; Use NAVD 88 for CONUS</t>
  </si>
  <si>
    <t>=Information only</t>
  </si>
  <si>
    <t>Dam Type</t>
  </si>
  <si>
    <t>Failure Mode</t>
  </si>
  <si>
    <t>=Data Entry used in Computation (ft)</t>
  </si>
  <si>
    <t>Earthfill</t>
  </si>
  <si>
    <t>Overtopping</t>
  </si>
  <si>
    <t>Embankment Top Length =</t>
  </si>
  <si>
    <t>ft</t>
  </si>
  <si>
    <t>Length along top of dam or breach embankment</t>
  </si>
  <si>
    <t>=Data Entry used in Computation (m) (gets data from ft data entry)</t>
  </si>
  <si>
    <t>Earthfill w/ clay core or rockfill</t>
  </si>
  <si>
    <t>Piping</t>
  </si>
  <si>
    <t>Top of Dam Elev. =</t>
  </si>
  <si>
    <t>Elevation of lowest point along dam crest</t>
  </si>
  <si>
    <t>=Intermediate Computed Value</t>
  </si>
  <si>
    <t>Max Dam Height =</t>
  </si>
  <si>
    <t>Height of the dam (not elevation)</t>
  </si>
  <si>
    <t>=Computed Value (m)</t>
  </si>
  <si>
    <t>Pool Elev.  =</t>
  </si>
  <si>
    <t>m</t>
  </si>
  <si>
    <t>Pool for which breach size is set; for FFRD set as Top of Dam</t>
  </si>
  <si>
    <t>=Computed Value (ft) for entry in RAS</t>
  </si>
  <si>
    <t>Channel Invert Elev.  =</t>
  </si>
  <si>
    <t>Min downstream channel elevation from terrain/bathy (in cell touching dam)</t>
  </si>
  <si>
    <t>Breach Invert Elev. =</t>
  </si>
  <si>
    <t>Set to minimum Invert plus 0.5 feet</t>
  </si>
  <si>
    <r>
      <t>B</t>
    </r>
    <r>
      <rPr>
        <vertAlign val="subscript"/>
        <sz val="10"/>
        <rFont val="Arial"/>
        <family val="2"/>
      </rPr>
      <t>ave</t>
    </r>
    <r>
      <rPr>
        <sz val="10"/>
        <rFont val="Arial"/>
        <family val="2"/>
      </rPr>
      <t xml:space="preserve">  =</t>
    </r>
  </si>
  <si>
    <t>Average width of breach</t>
  </si>
  <si>
    <t>Volume @ Pool Elev.  =</t>
  </si>
  <si>
    <t>ac-ft</t>
  </si>
  <si>
    <r>
      <t>m</t>
    </r>
    <r>
      <rPr>
        <b/>
        <vertAlign val="superscript"/>
        <sz val="10"/>
        <rFont val="Arial"/>
        <family val="2"/>
      </rPr>
      <t>3</t>
    </r>
  </si>
  <si>
    <t>Volume of the pool located between top of dam and Channel Invert</t>
  </si>
  <si>
    <r>
      <t>t</t>
    </r>
    <r>
      <rPr>
        <vertAlign val="subscript"/>
        <sz val="10"/>
        <rFont val="Arial"/>
        <family val="2"/>
      </rPr>
      <t>f</t>
    </r>
    <r>
      <rPr>
        <sz val="10"/>
        <rFont val="Arial"/>
        <family val="2"/>
      </rPr>
      <t xml:space="preserve">  =</t>
    </r>
  </si>
  <si>
    <t>Formation time of breach</t>
  </si>
  <si>
    <r>
      <t>h</t>
    </r>
    <r>
      <rPr>
        <vertAlign val="subscript"/>
        <sz val="10"/>
        <rFont val="Arial"/>
        <family val="2"/>
      </rPr>
      <t>w</t>
    </r>
    <r>
      <rPr>
        <sz val="10"/>
        <rFont val="Arial"/>
        <family val="2"/>
      </rPr>
      <t xml:space="preserve">  =</t>
    </r>
  </si>
  <si>
    <t>depth of water above bottom of breach</t>
  </si>
  <si>
    <r>
      <t>W</t>
    </r>
    <r>
      <rPr>
        <vertAlign val="subscript"/>
        <sz val="10"/>
        <rFont val="Arial"/>
        <family val="2"/>
      </rPr>
      <t>b</t>
    </r>
    <r>
      <rPr>
        <sz val="10"/>
        <rFont val="Arial"/>
        <family val="2"/>
      </rPr>
      <t xml:space="preserve">  =</t>
    </r>
  </si>
  <si>
    <t>Bottom width of breach</t>
  </si>
  <si>
    <r>
      <t>h</t>
    </r>
    <r>
      <rPr>
        <vertAlign val="subscript"/>
        <sz val="10"/>
        <rFont val="Arial"/>
        <family val="2"/>
      </rPr>
      <t>b</t>
    </r>
    <r>
      <rPr>
        <sz val="10"/>
        <rFont val="Arial"/>
        <family val="2"/>
      </rPr>
      <t xml:space="preserve">  =</t>
    </r>
  </si>
  <si>
    <t>Height from top of dam to bottom of breach</t>
  </si>
  <si>
    <r>
      <t>B</t>
    </r>
    <r>
      <rPr>
        <vertAlign val="subscript"/>
        <sz val="10"/>
        <rFont val="Arial"/>
        <family val="2"/>
      </rPr>
      <t>t</t>
    </r>
    <r>
      <rPr>
        <sz val="10"/>
        <rFont val="Arial"/>
        <family val="2"/>
      </rPr>
      <t xml:space="preserve"> =</t>
    </r>
  </si>
  <si>
    <t>Top Width of breach</t>
  </si>
  <si>
    <t>Dam Crest Width,  C  =</t>
  </si>
  <si>
    <t>Width of dam crest, Upstream to Downstream</t>
  </si>
  <si>
    <t>U/S SS  =</t>
  </si>
  <si>
    <t xml:space="preserve">U/S SS = </t>
  </si>
  <si>
    <t>Upstream dam face side slope (?H:1V)</t>
  </si>
  <si>
    <t>D/S SS  =</t>
  </si>
  <si>
    <t xml:space="preserve">D/S SS = </t>
  </si>
  <si>
    <t>Downstream dam face side slope (?H:1V)</t>
  </si>
  <si>
    <t>USACE Guidance</t>
  </si>
  <si>
    <t>0.5*HD</t>
  </si>
  <si>
    <t>5*HD</t>
  </si>
  <si>
    <t>Failure Type</t>
  </si>
  <si>
    <t>Failure Mode (Piping should be used for FFRD)</t>
  </si>
  <si>
    <r>
      <t>B</t>
    </r>
    <r>
      <rPr>
        <vertAlign val="subscript"/>
        <sz val="10"/>
        <rFont val="Arial"/>
        <family val="2"/>
      </rPr>
      <t>ave</t>
    </r>
    <r>
      <rPr>
        <sz val="10"/>
        <rFont val="Arial"/>
        <family val="2"/>
      </rPr>
      <t xml:space="preserve">   =</t>
    </r>
  </si>
  <si>
    <t>(0.5 to 5.0)*HD</t>
  </si>
  <si>
    <t>Dam Type =</t>
  </si>
  <si>
    <t xml:space="preserve">Use Closest Dam Type </t>
  </si>
  <si>
    <t>0.1 to 4.0*</t>
  </si>
  <si>
    <t>MacDonald and Langridge-Monopolis (1984)</t>
  </si>
  <si>
    <t>Summary of Methods</t>
  </si>
  <si>
    <t>* envelope equation (tend to give high estimates)</t>
  </si>
  <si>
    <t xml:space="preserve">Note:  The MLM equation uses volume thru the breach in its equation but for simplicity, the volume at time of failure was used.  As a result, if significant volume passes through the spillway, the volume used in the calculation may be a little high. </t>
  </si>
  <si>
    <t>Method</t>
  </si>
  <si>
    <t>Bottom Width (ft)</t>
  </si>
  <si>
    <t>Time (Hrs)</t>
  </si>
  <si>
    <t>Within Agency Ranges?</t>
  </si>
  <si>
    <r>
      <t>V</t>
    </r>
    <r>
      <rPr>
        <vertAlign val="subscript"/>
        <sz val="10"/>
        <rFont val="Arial"/>
        <family val="2"/>
      </rPr>
      <t>eroded</t>
    </r>
    <r>
      <rPr>
        <sz val="10"/>
        <rFont val="Arial"/>
        <family val="2"/>
      </rPr>
      <t xml:space="preserve">   =</t>
    </r>
  </si>
  <si>
    <t>slopes: 0.5</t>
  </si>
  <si>
    <r>
      <t>B</t>
    </r>
    <r>
      <rPr>
        <vertAlign val="subscript"/>
        <sz val="10"/>
        <rFont val="Arial"/>
        <family val="2"/>
      </rPr>
      <t>ave</t>
    </r>
  </si>
  <si>
    <t>MLM</t>
  </si>
  <si>
    <t>hrs</t>
  </si>
  <si>
    <r>
      <t>B</t>
    </r>
    <r>
      <rPr>
        <vertAlign val="subscript"/>
        <sz val="10"/>
        <rFont val="Arial"/>
        <family val="2"/>
      </rPr>
      <t xml:space="preserve">t = </t>
    </r>
    <r>
      <rPr>
        <sz val="10"/>
        <rFont val="Arial"/>
        <family val="2"/>
      </rPr>
      <t>Top Width (ft)</t>
    </r>
  </si>
  <si>
    <t>Froelich (1995b)</t>
  </si>
  <si>
    <t>Fits within embankment?</t>
  </si>
  <si>
    <t>Froelich (2008)</t>
  </si>
  <si>
    <t>VTG</t>
  </si>
  <si>
    <t>erosion resistant</t>
  </si>
  <si>
    <t>Froehlich (1995b)</t>
  </si>
  <si>
    <t>easily erodible</t>
  </si>
  <si>
    <r>
      <t>K</t>
    </r>
    <r>
      <rPr>
        <vertAlign val="subscript"/>
        <sz val="10"/>
        <rFont val="Arial"/>
        <family val="2"/>
      </rPr>
      <t>o</t>
    </r>
    <r>
      <rPr>
        <sz val="10"/>
        <rFont val="Arial"/>
        <family val="2"/>
      </rPr>
      <t xml:space="preserve"> =</t>
    </r>
  </si>
  <si>
    <t>Constant (1.4 for overtopping failures, 1.0 for piping). FFRD uses piping</t>
  </si>
  <si>
    <t>Side Slope =</t>
  </si>
  <si>
    <t>H:1V  Slopes: 1.4 overtopping; 0.9 piping- FFRD uses piping</t>
  </si>
  <si>
    <t>Froehlich (2008)</t>
  </si>
  <si>
    <t>Constant (1.3 for overtopping failures, 1.0 for piping). FFRD uses piping.</t>
  </si>
  <si>
    <t>H:1V  Slopes: 1.0 overtopping; 0.7 piping. FFRD uses piping</t>
  </si>
  <si>
    <t>Von Thun &amp; Gillette</t>
  </si>
  <si>
    <r>
      <t>C</t>
    </r>
    <r>
      <rPr>
        <vertAlign val="subscript"/>
        <sz val="10"/>
        <rFont val="Arial"/>
        <family val="2"/>
      </rPr>
      <t>B</t>
    </r>
    <r>
      <rPr>
        <sz val="10"/>
        <rFont val="Arial"/>
        <family val="2"/>
      </rPr>
      <t xml:space="preserve"> =</t>
    </r>
  </si>
  <si>
    <r>
      <rPr>
        <b/>
        <sz val="10"/>
        <rFont val="Arial"/>
        <family val="2"/>
      </rPr>
      <t>m</t>
    </r>
    <r>
      <rPr>
        <sz val="10"/>
        <rFont val="Arial"/>
        <family val="2"/>
      </rPr>
      <t xml:space="preserve">    (Width based on reservoir size (See table below))</t>
    </r>
  </si>
  <si>
    <t>H:1V  Slopes: 1.0 ; 0.5-0.33 for cohesive soils</t>
  </si>
  <si>
    <r>
      <t>W</t>
    </r>
    <r>
      <rPr>
        <vertAlign val="subscript"/>
        <sz val="10"/>
        <rFont val="Arial"/>
        <family val="2"/>
      </rPr>
      <t xml:space="preserve">b_f1  </t>
    </r>
    <r>
      <rPr>
        <sz val="10"/>
        <rFont val="Arial"/>
        <family val="2"/>
      </rPr>
      <t xml:space="preserve">  =</t>
    </r>
  </si>
  <si>
    <r>
      <t>t</t>
    </r>
    <r>
      <rPr>
        <vertAlign val="subscript"/>
        <sz val="10"/>
        <rFont val="Arial"/>
        <family val="2"/>
      </rPr>
      <t>f1</t>
    </r>
    <r>
      <rPr>
        <sz val="10"/>
        <rFont val="Arial"/>
        <family val="2"/>
      </rPr>
      <t xml:space="preserve">  =</t>
    </r>
  </si>
  <si>
    <t>(erosion resistant)</t>
  </si>
  <si>
    <r>
      <t>Choose either t</t>
    </r>
    <r>
      <rPr>
        <vertAlign val="subscript"/>
        <sz val="9"/>
        <rFont val="Arial"/>
        <family val="2"/>
      </rPr>
      <t>f1</t>
    </r>
    <r>
      <rPr>
        <sz val="9"/>
        <rFont val="Arial"/>
        <family val="2"/>
      </rPr>
      <t xml:space="preserve"> or t</t>
    </r>
    <r>
      <rPr>
        <vertAlign val="subscript"/>
        <sz val="9"/>
        <rFont val="Arial"/>
        <family val="2"/>
      </rPr>
      <t xml:space="preserve">f2 </t>
    </r>
    <r>
      <rPr>
        <sz val="9"/>
        <rFont val="Arial"/>
        <family val="2"/>
      </rPr>
      <t>(do not add)</t>
    </r>
  </si>
  <si>
    <r>
      <t>t</t>
    </r>
    <r>
      <rPr>
        <vertAlign val="subscript"/>
        <sz val="10"/>
        <rFont val="Arial"/>
        <family val="2"/>
      </rPr>
      <t>f2</t>
    </r>
    <r>
      <rPr>
        <sz val="10"/>
        <rFont val="Arial"/>
        <family val="2"/>
      </rPr>
      <t xml:space="preserve">  =</t>
    </r>
  </si>
  <si>
    <t>(easily erodible)</t>
  </si>
  <si>
    <t>For FFRD use the more conservative answer for side slope unless soil type is known.</t>
  </si>
  <si>
    <t>Reservoir Size</t>
  </si>
  <si>
    <r>
      <t>C</t>
    </r>
    <r>
      <rPr>
        <vertAlign val="subscript"/>
        <sz val="10"/>
        <rFont val="Arial"/>
        <family val="2"/>
      </rPr>
      <t>B</t>
    </r>
    <r>
      <rPr>
        <sz val="10"/>
        <rFont val="Arial"/>
        <family val="2"/>
      </rPr>
      <t xml:space="preserve"> (ft)</t>
    </r>
  </si>
  <si>
    <r>
      <t>C</t>
    </r>
    <r>
      <rPr>
        <vertAlign val="subscript"/>
        <sz val="10"/>
        <rFont val="Arial"/>
        <family val="2"/>
      </rPr>
      <t xml:space="preserve">B </t>
    </r>
    <r>
      <rPr>
        <sz val="10"/>
        <rFont val="Arial"/>
        <family val="2"/>
      </rPr>
      <t>(m)</t>
    </r>
  </si>
  <si>
    <t>&lt; 1,000 ac-ft</t>
  </si>
  <si>
    <t>1,000 - 5,000 ac- ft</t>
  </si>
  <si>
    <t>5,000 - 10,000 ac- ft</t>
  </si>
  <si>
    <t>&gt; 10,000 ac-ft</t>
  </si>
  <si>
    <t>References</t>
  </si>
  <si>
    <t xml:space="preserve">
</t>
  </si>
  <si>
    <t>Explanation of the Regression Equations used for Predicting Dam Breach Parameters</t>
  </si>
  <si>
    <t>Data Source ----&gt;</t>
  </si>
  <si>
    <t>a, c, d, f</t>
  </si>
  <si>
    <t>a, c, f, g</t>
  </si>
  <si>
    <t>b, c, f, g</t>
  </si>
  <si>
    <t>a, b, c</t>
  </si>
  <si>
    <t>a</t>
  </si>
  <si>
    <t>aa</t>
  </si>
  <si>
    <t>b, c</t>
  </si>
  <si>
    <t>f</t>
  </si>
  <si>
    <t>c</t>
  </si>
  <si>
    <t>g, j</t>
  </si>
  <si>
    <t>a, aa, aaa, c</t>
  </si>
  <si>
    <t>a, aa</t>
  </si>
  <si>
    <t>a, b, c, f, aa</t>
  </si>
  <si>
    <t>b, c, f</t>
  </si>
  <si>
    <t>b, f</t>
  </si>
  <si>
    <t>a,b, aa</t>
  </si>
  <si>
    <t>Dimensionless Parameters</t>
  </si>
  <si>
    <t>DamNum</t>
  </si>
  <si>
    <t>Dam name and location</t>
  </si>
  <si>
    <t>Reference</t>
  </si>
  <si>
    <t>Year completed</t>
  </si>
  <si>
    <t>Year failed</t>
  </si>
  <si>
    <t>Failure mode</t>
  </si>
  <si>
    <t>Embankment type</t>
  </si>
  <si>
    <t>Height of dam</t>
  </si>
  <si>
    <t>Embankment width at crest</t>
  </si>
  <si>
    <t>Width of embankment at breach bottom</t>
  </si>
  <si>
    <t>Average embankment width</t>
  </si>
  <si>
    <t>Upstream Embankment Slope</t>
  </si>
  <si>
    <t>Downstream Embankment Slope</t>
  </si>
  <si>
    <t>Embankment Length</t>
  </si>
  <si>
    <t>Storage</t>
  </si>
  <si>
    <t>Reservoir surface area</t>
  </si>
  <si>
    <t>Peak outflow</t>
  </si>
  <si>
    <t>Method of determining peak outflow</t>
  </si>
  <si>
    <t>Volume of water above breach bottom at failure</t>
  </si>
  <si>
    <t>Height of water above breach bottom at failure</t>
  </si>
  <si>
    <t>Breach formation factor</t>
  </si>
  <si>
    <t>Breach shape</t>
  </si>
  <si>
    <t>Height of breach</t>
  </si>
  <si>
    <t>Top breach width</t>
  </si>
  <si>
    <t>Bottom breach width</t>
  </si>
  <si>
    <t>Avg. breach width</t>
  </si>
  <si>
    <t>Average breach side-slope factor</t>
  </si>
  <si>
    <t>Breach side slope (first)</t>
  </si>
  <si>
    <t>Breach side slope (second)</t>
  </si>
  <si>
    <t>Material removed</t>
  </si>
  <si>
    <t>Breach formation time</t>
  </si>
  <si>
    <t>Failure time</t>
  </si>
  <si>
    <t>Maximum development time</t>
  </si>
  <si>
    <t>Time to breach and empty reservoir</t>
  </si>
  <si>
    <t>Breach Width</t>
  </si>
  <si>
    <t>Volume</t>
  </si>
  <si>
    <t>Water Height</t>
  </si>
  <si>
    <t>Formation Time</t>
  </si>
  <si>
    <t>Hdam</t>
  </si>
  <si>
    <t>Wc</t>
  </si>
  <si>
    <t>Wb</t>
  </si>
  <si>
    <t>Wavg</t>
  </si>
  <si>
    <t>Zeu</t>
  </si>
  <si>
    <t>Zed</t>
  </si>
  <si>
    <t>L</t>
  </si>
  <si>
    <t>S</t>
  </si>
  <si>
    <t>A</t>
  </si>
  <si>
    <t>Qp</t>
  </si>
  <si>
    <t>Vw</t>
  </si>
  <si>
    <t>Hw</t>
  </si>
  <si>
    <t>Vw x Hw</t>
  </si>
  <si>
    <t>Hb</t>
  </si>
  <si>
    <t>Btop</t>
  </si>
  <si>
    <t>Bbottom</t>
  </si>
  <si>
    <t>Bavg</t>
  </si>
  <si>
    <t>Z</t>
  </si>
  <si>
    <t>Veroded</t>
  </si>
  <si>
    <t>t</t>
  </si>
  <si>
    <t>te</t>
  </si>
  <si>
    <t>meters</t>
  </si>
  <si>
    <t>Z horiz:1 vert</t>
  </si>
  <si>
    <t>m3</t>
  </si>
  <si>
    <t>m2</t>
  </si>
  <si>
    <t>m3/s</t>
  </si>
  <si>
    <t>m4</t>
  </si>
  <si>
    <t>shape</t>
  </si>
  <si>
    <t>(Z horiz:1 vert)</t>
  </si>
  <si>
    <t>hours</t>
  </si>
  <si>
    <t>original_sort</t>
  </si>
  <si>
    <t>dam_number</t>
  </si>
  <si>
    <t>dam_name</t>
  </si>
  <si>
    <t>reference</t>
  </si>
  <si>
    <t>year_completed</t>
  </si>
  <si>
    <t>year_failed</t>
  </si>
  <si>
    <t>failure_mode</t>
  </si>
  <si>
    <t>embankment_type</t>
  </si>
  <si>
    <t>height_of_dam</t>
  </si>
  <si>
    <t>emb_width_at_crest</t>
  </si>
  <si>
    <t>emb_width_at_bottom</t>
  </si>
  <si>
    <t>avg_emb_width</t>
  </si>
  <si>
    <t>upstream_slope</t>
  </si>
  <si>
    <t>downstream_slope</t>
  </si>
  <si>
    <t>emb_length</t>
  </si>
  <si>
    <t>storage</t>
  </si>
  <si>
    <t>surface_area</t>
  </si>
  <si>
    <t>peak_flow</t>
  </si>
  <si>
    <t>peak_method</t>
  </si>
  <si>
    <t>volume_above_breach</t>
  </si>
  <si>
    <t>depth_above_breach</t>
  </si>
  <si>
    <t>breach_formation_factor</t>
  </si>
  <si>
    <t>height_of_breach</t>
  </si>
  <si>
    <t>top_breach_width</t>
  </si>
  <si>
    <t>bottom_breach_width</t>
  </si>
  <si>
    <t>avg_breach_width</t>
  </si>
  <si>
    <t>avg_side_slope</t>
  </si>
  <si>
    <t>side_slope_1</t>
  </si>
  <si>
    <t>side_slope_2</t>
  </si>
  <si>
    <t>volume_eroded</t>
  </si>
  <si>
    <t>formation_time</t>
  </si>
  <si>
    <t>failure_time</t>
  </si>
  <si>
    <t>max_development_time</t>
  </si>
  <si>
    <t>breach_and_empty_time</t>
  </si>
  <si>
    <t>ref_string</t>
  </si>
  <si>
    <t>Apishapa, Colo.</t>
  </si>
  <si>
    <t>Best Reliable Information</t>
  </si>
  <si>
    <t>Homogeneous earthfill, fine sand</t>
  </si>
  <si>
    <t>15-min reservoir drawdown</t>
  </si>
  <si>
    <t>trapezoid</t>
  </si>
  <si>
    <t>fghijkq</t>
  </si>
  <si>
    <t>Baldwin Hills, Calif.</t>
  </si>
  <si>
    <t>Homogeneous earthfill</t>
  </si>
  <si>
    <t>triangular</t>
  </si>
  <si>
    <t>efghijkq</t>
  </si>
  <si>
    <t>Bearwallow Lake, N.C.</t>
  </si>
  <si>
    <t>Sliding</t>
  </si>
  <si>
    <t>ik</t>
  </si>
  <si>
    <t>Buckhaven No. 2, Tennessee</t>
  </si>
  <si>
    <t>k</t>
  </si>
  <si>
    <t>Buffalo Creek, W. Va.</t>
  </si>
  <si>
    <t>Seepage</t>
  </si>
  <si>
    <t>Homogeneous fill, coal waste</t>
  </si>
  <si>
    <t>slope-area measurement</t>
  </si>
  <si>
    <t>fghq</t>
  </si>
  <si>
    <t>Bullock Draw Dike, Utah</t>
  </si>
  <si>
    <t>fhik</t>
  </si>
  <si>
    <t>Butler, Arizona</t>
  </si>
  <si>
    <t>slope-area measurement 600 m downstream</t>
  </si>
  <si>
    <t>jk</t>
  </si>
  <si>
    <t>Castlewood, Colo.</t>
  </si>
  <si>
    <t>Earth/rockfill with masonry wall</t>
  </si>
  <si>
    <t>fgijkq</t>
  </si>
  <si>
    <t>Caulk Lake, Kentucky</t>
  </si>
  <si>
    <t>Piping or Sliding</t>
  </si>
  <si>
    <t>Clearwater Lake Dam, Georgia</t>
  </si>
  <si>
    <t>Coedty, England</t>
  </si>
  <si>
    <t>Earthfill with corewall</t>
  </si>
  <si>
    <t>short</t>
  </si>
  <si>
    <t>dhik</t>
  </si>
  <si>
    <t>East Fork Pond River, Kentucky</t>
  </si>
  <si>
    <t>Elk City, Okla.</t>
  </si>
  <si>
    <t>Rolled sandy clay fill with concrete corewall</t>
  </si>
  <si>
    <t>Emery, Calif.</t>
  </si>
  <si>
    <t>Fogelman, Tennessee</t>
  </si>
  <si>
    <t>Frankfurt, Germany</t>
  </si>
  <si>
    <t>unknown</t>
  </si>
  <si>
    <t>fh</t>
  </si>
  <si>
    <t>French Landing, Mich.</t>
  </si>
  <si>
    <t>1-hr reservoir drawdown</t>
  </si>
  <si>
    <t>fghijk</t>
  </si>
  <si>
    <t>Frenchman Creek, Mont.</t>
  </si>
  <si>
    <t>Goose Creek, S. Carolina</t>
  </si>
  <si>
    <t>fgh</t>
  </si>
  <si>
    <t>Grand Rapids, USA</t>
  </si>
  <si>
    <t>Earthfill with clay corewall</t>
  </si>
  <si>
    <t>dhk</t>
  </si>
  <si>
    <t>Haas Pond, Connecticut</t>
  </si>
  <si>
    <t>Hart, Mich.</t>
  </si>
  <si>
    <t>Hatchtown, Utah</t>
  </si>
  <si>
    <t>Piping or foundation defect</t>
  </si>
  <si>
    <t>Zoned earthfill</t>
  </si>
  <si>
    <t>dfghijkq</t>
  </si>
  <si>
    <t>Hell Hole, Calif.</t>
  </si>
  <si>
    <t>Rockfill</t>
  </si>
  <si>
    <t>Horse Creek, Colo.</t>
  </si>
  <si>
    <t>Homogeneous earthfill, with concrete facing</t>
  </si>
  <si>
    <t>dfik</t>
  </si>
  <si>
    <t>Hutchinson Lake Dam, Georgia</t>
  </si>
  <si>
    <t>Iowa Beef Processors, Washington</t>
  </si>
  <si>
    <t>kr</t>
  </si>
  <si>
    <t>Ireland No. 5, Colo.</t>
  </si>
  <si>
    <t>slope-area measurement "a short distance downstream "</t>
  </si>
  <si>
    <t>ijk</t>
  </si>
  <si>
    <t>Jacobs Creek, Penn.</t>
  </si>
  <si>
    <t>Johnston City, Ill.</t>
  </si>
  <si>
    <t>Johnstown (South Fork Dam, Penn.)</t>
  </si>
  <si>
    <t>Zoned earth and rockfill</t>
  </si>
  <si>
    <t>30-min reservoir drawdown</t>
  </si>
  <si>
    <t>dfgijkq</t>
  </si>
  <si>
    <t>Kelly Barnes, Ga.</t>
  </si>
  <si>
    <t>slope-area measurement 250 m downstream</t>
  </si>
  <si>
    <t>Kraftsmen's Lake Dam, Georgia</t>
  </si>
  <si>
    <t>La Fruta, Tex.</t>
  </si>
  <si>
    <t>Lake Avalon, N.M.</t>
  </si>
  <si>
    <t>hk</t>
  </si>
  <si>
    <t>Lake Frances, Calif.</t>
  </si>
  <si>
    <t>Lake Genevieve, Kentucky</t>
  </si>
  <si>
    <t>Lake Latonka, Penn.</t>
  </si>
  <si>
    <t>hik</t>
  </si>
  <si>
    <t>Lake Philema Dam, Georgia</t>
  </si>
  <si>
    <t>Lambert Lake, Tenn.</t>
  </si>
  <si>
    <t>Laurel Run, Penn.</t>
  </si>
  <si>
    <t>slope-area measurement 1.6 km downstream</t>
  </si>
  <si>
    <t>Lawn Lake, Colo.</t>
  </si>
  <si>
    <t>dam-break model</t>
  </si>
  <si>
    <t>gikq</t>
  </si>
  <si>
    <t>Lily Lake, Colo.</t>
  </si>
  <si>
    <t>slope-area measurement at unknown location</t>
  </si>
  <si>
    <t>Little Deer Creek, Utah</t>
  </si>
  <si>
    <t>Long Branch Canyon, Calif.</t>
  </si>
  <si>
    <t>Lower Latham, Colo.</t>
  </si>
  <si>
    <t>ijkp</t>
  </si>
  <si>
    <t>Lower Otay, Calif.</t>
  </si>
  <si>
    <t>Rockfill with concrete/steel corewall</t>
  </si>
  <si>
    <t>Lower Two Medicine, Mont.</t>
  </si>
  <si>
    <t>slope-area measurement 4 km downstream</t>
  </si>
  <si>
    <t>Lyman, Ariz.</t>
  </si>
  <si>
    <t>fhi</t>
  </si>
  <si>
    <t>Lynde Brook, Mass.</t>
  </si>
  <si>
    <t>fik</t>
  </si>
  <si>
    <t>Melville, Utah</t>
  </si>
  <si>
    <t>Merimac (Upper) Lake Dam, Georgia</t>
  </si>
  <si>
    <t>Mossy Lake Dam, Georgia</t>
  </si>
  <si>
    <t>Oros, Brazil</t>
  </si>
  <si>
    <t>Zoned earthfill and rockfill</t>
  </si>
  <si>
    <t>fghijkpq</t>
  </si>
  <si>
    <t>Otter Lake, Tenn.</t>
  </si>
  <si>
    <t>Pierce Reservoir, Wyo.</t>
  </si>
  <si>
    <t>Potato Hill Lake, N.C.</t>
  </si>
  <si>
    <t>Prospect, Colo.</t>
  </si>
  <si>
    <t>reservoir drawdown, unknown time period</t>
  </si>
  <si>
    <t>Quail Creek, Utah</t>
  </si>
  <si>
    <t>Rainbow Lake, Mich.</t>
  </si>
  <si>
    <t>Renegade Resort Lake, Tenn.</t>
  </si>
  <si>
    <t>Rito Manzanares, N.M.</t>
  </si>
  <si>
    <t>Salles Oliveira, Brazil</t>
  </si>
  <si>
    <t>Schaeffer, Colo.</t>
  </si>
  <si>
    <t>Earthfill with concrete corewall</t>
  </si>
  <si>
    <t>slope-area measurement 13 km downstream; twice avg outflow during 1/2 hr required to drain reservoir</t>
  </si>
  <si>
    <t>dfghikq</t>
  </si>
  <si>
    <t>Scott Farm Dam No. 2, Alberta</t>
  </si>
  <si>
    <t>Sheep Creek, USA</t>
  </si>
  <si>
    <t>Sinker Creek, USA</t>
  </si>
  <si>
    <t>Spring Lake, R.I.</t>
  </si>
  <si>
    <t>Homogeneous earthfill, clay and gravel</t>
  </si>
  <si>
    <t>Statham Lake Dam, Georgia</t>
  </si>
  <si>
    <t>Swift, Montana</t>
  </si>
  <si>
    <t>Rockfill with concrete facing</t>
  </si>
  <si>
    <t>slope-area measurement 27 km downstream</t>
  </si>
  <si>
    <t>dfgq</t>
  </si>
  <si>
    <t>Teton, Idaho</t>
  </si>
  <si>
    <t>Trial Lake, Utah</t>
  </si>
  <si>
    <t>Trout Lake, N.C.</t>
  </si>
  <si>
    <t>Upper Pond, Connecticut</t>
  </si>
  <si>
    <t>Wheatland No. 1, Wyo.</t>
  </si>
  <si>
    <t>Wilkinson Lake Dam, Georgia</t>
  </si>
  <si>
    <t>Homogeneous earthfill with corewall</t>
  </si>
  <si>
    <t>Winston, N.C.</t>
  </si>
  <si>
    <t>Earthfill with corewall; earth with rubble core</t>
  </si>
  <si>
    <t>DATA SOURCES (these are the codes that were used during early development of this spreadsheet)</t>
  </si>
  <si>
    <t>a - Froehlich, 1987   (aa - Froehlich, 1995 [18 previously uncited cases])</t>
  </si>
  <si>
    <t>aaa - Froehlich, written communication</t>
  </si>
  <si>
    <t>aq - Froehlich, 1996</t>
  </si>
  <si>
    <t>b - V. Singh &amp; Scarlatos, 1987</t>
  </si>
  <si>
    <t>c - MacDonald &amp; Langridge-Monopolis, 1984</t>
  </si>
  <si>
    <t>d - Physical and Breach Parameters for Dams with Large Storage to Height Ratios</t>
  </si>
  <si>
    <t>e - Actual and Equation Derived Dam Failure Flood Peaks</t>
  </si>
  <si>
    <t>f - K. Singh &amp; Snorasson, 1982</t>
  </si>
  <si>
    <t>g - Costa, 1985</t>
  </si>
  <si>
    <t>h - Ballentine, 1993 ASDSO</t>
  </si>
  <si>
    <t>i - SCS, 1981</t>
  </si>
  <si>
    <t>DATA SOURCES (Codes used when published)</t>
  </si>
  <si>
    <t>Babb, 1968</t>
  </si>
  <si>
    <t>b</t>
  </si>
  <si>
    <t>ICOLD, 1974</t>
  </si>
  <si>
    <t>SCS, 1981</t>
  </si>
  <si>
    <t>d</t>
  </si>
  <si>
    <t>K. Singh &amp; Snorrason, 1982</t>
  </si>
  <si>
    <t>e</t>
  </si>
  <si>
    <t>Jansen, 1983</t>
  </si>
  <si>
    <t>MacDonald &amp; Langridge-Monopolis, 1984</t>
  </si>
  <si>
    <t>g</t>
  </si>
  <si>
    <t>Costa, 1985</t>
  </si>
  <si>
    <t>h</t>
  </si>
  <si>
    <t>V. Singh &amp; Scarlatos, 1987</t>
  </si>
  <si>
    <t>i</t>
  </si>
  <si>
    <t>Froehlich, 1987</t>
  </si>
  <si>
    <t>j</t>
  </si>
  <si>
    <t>Froehlich, 1995a</t>
  </si>
  <si>
    <t>Froehlich, 1995b</t>
  </si>
  <si>
    <t>Froehlich, written communication</t>
  </si>
  <si>
    <t>n</t>
  </si>
  <si>
    <t>Ballentine, 1993</t>
  </si>
  <si>
    <t>o</t>
  </si>
  <si>
    <t>Baker &amp; Bliss, 1996</t>
  </si>
  <si>
    <t>p</t>
  </si>
  <si>
    <t>Graham, undated written communication, Physical and Breach Parameters for Dams with Large Storage to Height Ratios</t>
  </si>
  <si>
    <t>q</t>
  </si>
  <si>
    <t>Graham, undated written communication, Actual and Equation Derived Dam Failure Flood Peaks</t>
  </si>
  <si>
    <t>r</t>
  </si>
  <si>
    <t>http://www.wa.gov/ecology/shwr/dams/iowa.html</t>
  </si>
  <si>
    <t>Embankment Dimensions</t>
  </si>
  <si>
    <t>Breach Outflow</t>
  </si>
  <si>
    <t>Hydraulic Characteristics</t>
  </si>
  <si>
    <t>Breach Characteristics</t>
  </si>
  <si>
    <t>Time Parameters</t>
  </si>
  <si>
    <t>Dam</t>
  </si>
  <si>
    <t>Crest</t>
  </si>
  <si>
    <t>Base</t>
  </si>
  <si>
    <t>Average</t>
  </si>
  <si>
    <t>Upstream</t>
  </si>
  <si>
    <t>Downstream</t>
  </si>
  <si>
    <t>Peak</t>
  </si>
  <si>
    <t xml:space="preserve">Reservoir </t>
  </si>
  <si>
    <t xml:space="preserve">Volume Stored Above </t>
  </si>
  <si>
    <t>Depth Above</t>
  </si>
  <si>
    <t>Breach Formation</t>
  </si>
  <si>
    <t>Top</t>
  </si>
  <si>
    <t>Bottom</t>
  </si>
  <si>
    <t>Average Side</t>
  </si>
  <si>
    <t>Eroded</t>
  </si>
  <si>
    <t>Formation</t>
  </si>
  <si>
    <t>Failure</t>
  </si>
  <si>
    <t>Max Development</t>
  </si>
  <si>
    <t xml:space="preserve">Breach and </t>
  </si>
  <si>
    <t>Height</t>
  </si>
  <si>
    <t>Width</t>
  </si>
  <si>
    <t>Slope</t>
  </si>
  <si>
    <t>Length</t>
  </si>
  <si>
    <t>Outflow</t>
  </si>
  <si>
    <t>Method of Determining Peak Outflow</t>
  </si>
  <si>
    <t>Surface Area</t>
  </si>
  <si>
    <t>Breach Invert</t>
  </si>
  <si>
    <t>Breach</t>
  </si>
  <si>
    <t>Factor</t>
  </si>
  <si>
    <t>Slopes</t>
  </si>
  <si>
    <r>
      <t>Time</t>
    </r>
    <r>
      <rPr>
        <vertAlign val="superscript"/>
        <sz val="10"/>
        <rFont val="Arial"/>
        <family val="2"/>
      </rPr>
      <t>1</t>
    </r>
  </si>
  <si>
    <r>
      <t>Time</t>
    </r>
    <r>
      <rPr>
        <vertAlign val="superscript"/>
        <sz val="10"/>
        <rFont val="Arial"/>
        <family val="2"/>
      </rPr>
      <t>2</t>
    </r>
    <r>
      <rPr>
        <sz val="11"/>
        <color theme="1"/>
        <rFont val="Calibri"/>
        <family val="2"/>
        <scheme val="minor"/>
      </rPr>
      <t/>
    </r>
  </si>
  <si>
    <r>
      <t>Time</t>
    </r>
    <r>
      <rPr>
        <vertAlign val="superscript"/>
        <sz val="10"/>
        <rFont val="Arial"/>
        <family val="2"/>
      </rPr>
      <t>3</t>
    </r>
    <r>
      <rPr>
        <sz val="11"/>
        <color theme="1"/>
        <rFont val="Calibri"/>
        <family val="2"/>
        <scheme val="minor"/>
      </rPr>
      <t/>
    </r>
  </si>
  <si>
    <r>
      <t>Empty Time</t>
    </r>
    <r>
      <rPr>
        <vertAlign val="superscript"/>
        <sz val="10"/>
        <rFont val="Arial"/>
        <family val="2"/>
      </rPr>
      <t>4</t>
    </r>
  </si>
  <si>
    <r>
      <t>h</t>
    </r>
    <r>
      <rPr>
        <i/>
        <vertAlign val="subscript"/>
        <sz val="10"/>
        <rFont val="Arial"/>
        <family val="2"/>
      </rPr>
      <t>d</t>
    </r>
  </si>
  <si>
    <r>
      <t>W</t>
    </r>
    <r>
      <rPr>
        <i/>
        <vertAlign val="subscript"/>
        <sz val="10"/>
        <rFont val="Arial"/>
        <family val="2"/>
      </rPr>
      <t>c</t>
    </r>
  </si>
  <si>
    <r>
      <t>W</t>
    </r>
    <r>
      <rPr>
        <i/>
        <vertAlign val="subscript"/>
        <sz val="10"/>
        <rFont val="Arial"/>
        <family val="2"/>
      </rPr>
      <t>b</t>
    </r>
  </si>
  <si>
    <t>W</t>
  </si>
  <si>
    <r>
      <t>Z</t>
    </r>
    <r>
      <rPr>
        <i/>
        <vertAlign val="subscript"/>
        <sz val="10"/>
        <rFont val="Arial"/>
        <family val="2"/>
      </rPr>
      <t>e/u</t>
    </r>
  </si>
  <si>
    <r>
      <t>Z</t>
    </r>
    <r>
      <rPr>
        <i/>
        <vertAlign val="subscript"/>
        <sz val="10"/>
        <rFont val="Arial"/>
        <family val="2"/>
      </rPr>
      <t>e/d</t>
    </r>
  </si>
  <si>
    <r>
      <t>Q</t>
    </r>
    <r>
      <rPr>
        <i/>
        <vertAlign val="subscript"/>
        <sz val="10"/>
        <rFont val="Arial"/>
        <family val="2"/>
      </rPr>
      <t>p</t>
    </r>
  </si>
  <si>
    <r>
      <t>V</t>
    </r>
    <r>
      <rPr>
        <i/>
        <vertAlign val="subscript"/>
        <sz val="10"/>
        <rFont val="Arial"/>
        <family val="2"/>
      </rPr>
      <t>w</t>
    </r>
  </si>
  <si>
    <r>
      <t>h</t>
    </r>
    <r>
      <rPr>
        <i/>
        <vertAlign val="subscript"/>
        <sz val="10"/>
        <rFont val="Arial"/>
        <family val="2"/>
      </rPr>
      <t>w</t>
    </r>
  </si>
  <si>
    <r>
      <t>V</t>
    </r>
    <r>
      <rPr>
        <i/>
        <vertAlign val="subscript"/>
        <sz val="10"/>
        <rFont val="Arial"/>
        <family val="2"/>
      </rPr>
      <t>w</t>
    </r>
    <r>
      <rPr>
        <i/>
        <sz val="10"/>
        <rFont val="Arial"/>
        <family val="2"/>
      </rPr>
      <t>H</t>
    </r>
    <r>
      <rPr>
        <i/>
        <vertAlign val="subscript"/>
        <sz val="10"/>
        <rFont val="Arial"/>
        <family val="2"/>
      </rPr>
      <t>w</t>
    </r>
  </si>
  <si>
    <r>
      <t>h</t>
    </r>
    <r>
      <rPr>
        <vertAlign val="subscript"/>
        <sz val="10"/>
        <rFont val="Arial"/>
        <family val="2"/>
      </rPr>
      <t>b</t>
    </r>
  </si>
  <si>
    <r>
      <t>B</t>
    </r>
    <r>
      <rPr>
        <vertAlign val="subscript"/>
        <sz val="10"/>
        <rFont val="Arial"/>
        <family val="2"/>
      </rPr>
      <t>top</t>
    </r>
  </si>
  <si>
    <r>
      <t>B</t>
    </r>
    <r>
      <rPr>
        <vertAlign val="subscript"/>
        <sz val="10"/>
        <rFont val="Arial"/>
        <family val="2"/>
      </rPr>
      <t>bottom</t>
    </r>
  </si>
  <si>
    <t>B</t>
  </si>
  <si>
    <r>
      <t>V</t>
    </r>
    <r>
      <rPr>
        <vertAlign val="subscript"/>
        <sz val="10"/>
        <rFont val="Arial"/>
        <family val="2"/>
      </rPr>
      <t>er</t>
    </r>
  </si>
  <si>
    <r>
      <t>t</t>
    </r>
    <r>
      <rPr>
        <vertAlign val="subscript"/>
        <sz val="10"/>
        <rFont val="Arial"/>
        <family val="2"/>
      </rPr>
      <t>r</t>
    </r>
  </si>
  <si>
    <t xml:space="preserve">Breach </t>
  </si>
  <si>
    <t xml:space="preserve">Dam and Location </t>
  </si>
  <si>
    <t xml:space="preserve">Built </t>
  </si>
  <si>
    <t>Failed</t>
  </si>
  <si>
    <t>Construction</t>
  </si>
  <si>
    <t>Z:1 (h:v)</t>
  </si>
  <si>
    <r>
      <t>m</t>
    </r>
    <r>
      <rPr>
        <vertAlign val="superscript"/>
        <sz val="10"/>
        <rFont val="Arial"/>
        <family val="2"/>
      </rPr>
      <t>3</t>
    </r>
    <r>
      <rPr>
        <sz val="10"/>
        <rFont val="Arial"/>
        <family val="2"/>
      </rPr>
      <t>/s</t>
    </r>
  </si>
  <si>
    <r>
      <t>m</t>
    </r>
    <r>
      <rPr>
        <vertAlign val="superscript"/>
        <sz val="10"/>
        <rFont val="Arial"/>
        <family val="2"/>
      </rPr>
      <t>3</t>
    </r>
  </si>
  <si>
    <r>
      <t>m</t>
    </r>
    <r>
      <rPr>
        <vertAlign val="superscript"/>
        <sz val="10"/>
        <rFont val="Arial"/>
        <family val="2"/>
      </rPr>
      <t>2</t>
    </r>
  </si>
  <si>
    <r>
      <t>m</t>
    </r>
    <r>
      <rPr>
        <vertAlign val="superscript"/>
        <sz val="10"/>
        <rFont val="Arial"/>
        <family val="2"/>
      </rPr>
      <t>4</t>
    </r>
  </si>
  <si>
    <t>Shape</t>
  </si>
  <si>
    <t>hr</t>
  </si>
  <si>
    <t>Apishapa, Colorado</t>
  </si>
  <si>
    <t xml:space="preserve">Homogeneous earthfill, fine sand </t>
  </si>
  <si>
    <t>Baldwin Hills, California</t>
  </si>
  <si>
    <t>Bearwallow Lake, North Carolina</t>
  </si>
  <si>
    <t>Bradfield, England</t>
  </si>
  <si>
    <t>Rockfill/earthfill</t>
  </si>
  <si>
    <t>dh</t>
  </si>
  <si>
    <t>&lt;0.5</t>
  </si>
  <si>
    <t>Break Neck Run, USA</t>
  </si>
  <si>
    <t>Buffalo Creek, West Virginia</t>
  </si>
  <si>
    <t xml:space="preserve">Homogeneous fill, coal waste </t>
  </si>
  <si>
    <t>slope-area 600 m downstream</t>
  </si>
  <si>
    <t>Canyon Lake, USA</t>
  </si>
  <si>
    <t>Castlewood, Colorado</t>
  </si>
  <si>
    <t>Cheaha Creek, USA</t>
  </si>
  <si>
    <t>Clearwater lake Dam, Georgia</t>
  </si>
  <si>
    <t>Cougar Creek, Alberta</t>
  </si>
  <si>
    <t>Davis Reservoir, California</t>
  </si>
  <si>
    <t>Earth with concrete facing</t>
  </si>
  <si>
    <t>fg</t>
  </si>
  <si>
    <t>DMAD, Utah</t>
  </si>
  <si>
    <t>drawdown rate</t>
  </si>
  <si>
    <t>Elk City, Oklahoma</t>
  </si>
  <si>
    <t>Emery, Oklahoma</t>
  </si>
  <si>
    <t>Erindale, Canada</t>
  </si>
  <si>
    <t>Earthfill with concrete masonry corewall</t>
  </si>
  <si>
    <t>&lt;.5</t>
  </si>
  <si>
    <t>Euclides de Cunha, Brazil</t>
  </si>
  <si>
    <t>Fred Burr, Montana</t>
  </si>
  <si>
    <t>gjq</t>
  </si>
  <si>
    <t>slope-area "short distance downstream</t>
  </si>
  <si>
    <t>French Landing, Michigan</t>
  </si>
  <si>
    <t>Frenchman Creek, Montana</t>
  </si>
  <si>
    <t>Frias, Argentina</t>
  </si>
  <si>
    <t>Goose Creek, South Carolina</t>
  </si>
  <si>
    <t>Granite Creek, Alaska</t>
  </si>
  <si>
    <t>discharge 8 km downstream, unknown method</t>
  </si>
  <si>
    <t>Hart, Michigan</t>
  </si>
  <si>
    <t>Hatfield, USA</t>
  </si>
  <si>
    <t>Hebron, USA</t>
  </si>
  <si>
    <t>Hell Hole, California</t>
  </si>
  <si>
    <t>Herrin, Illinois</t>
  </si>
  <si>
    <t>Horse Creek, Colorado</t>
  </si>
  <si>
    <t>Ireland No. 5, Colorado</t>
  </si>
  <si>
    <t>Jacobs Creek, Pennsylvania</t>
  </si>
  <si>
    <t>Johnston City, Illinois</t>
  </si>
  <si>
    <t>Kaddam, India</t>
  </si>
  <si>
    <t>abdhp</t>
  </si>
  <si>
    <t>Kelly Barnes, Georgia</t>
  </si>
  <si>
    <t>slope-area 250 m downstream</t>
  </si>
  <si>
    <t>Kendall Lake Dam, South Carolina</t>
  </si>
  <si>
    <t>La Fruta, Texas</t>
  </si>
  <si>
    <t>Lake Avalon, New Mexico</t>
  </si>
  <si>
    <t>Lake Barcroft, USA</t>
  </si>
  <si>
    <t>long</t>
  </si>
  <si>
    <t>Lake Frances, California</t>
  </si>
  <si>
    <t>Lake Latonka, Pennsylvania</t>
  </si>
  <si>
    <t>Lambert Lake, Tennessee</t>
  </si>
  <si>
    <t>Laurel Run, Pennsylvania</t>
  </si>
  <si>
    <t>slope-area 1.6 km downstream</t>
  </si>
  <si>
    <t>Lawn Lake, Colorado</t>
  </si>
  <si>
    <t>Lily Lake, Colorado</t>
  </si>
  <si>
    <t>slope-area unknown location</t>
  </si>
  <si>
    <t>Long Branch Canyon, California</t>
  </si>
  <si>
    <t>Lower Latham, Colorado</t>
  </si>
  <si>
    <t>Lower Otay, California</t>
  </si>
  <si>
    <t>Lower Two Medicine, Montana</t>
  </si>
  <si>
    <t>slope-area 4 km downstream</t>
  </si>
  <si>
    <t>Lyman, Arizona</t>
  </si>
  <si>
    <t>Lynde Brook, Massachusetts</t>
  </si>
  <si>
    <t>Machhu II, India</t>
  </si>
  <si>
    <t>dhp</t>
  </si>
  <si>
    <t>Mammoth, USA</t>
  </si>
  <si>
    <t>Martin Cooling Pond Dike, Florida</t>
  </si>
  <si>
    <t>Foundation Defect</t>
  </si>
  <si>
    <t>pq</t>
  </si>
  <si>
    <t>Mill River, Massachusetts</t>
  </si>
  <si>
    <t>Earth and masonry</t>
  </si>
  <si>
    <t>Nanaksagar, India</t>
  </si>
  <si>
    <t>hp</t>
  </si>
  <si>
    <t>Nahzille, New Mexico</t>
  </si>
  <si>
    <t>North Branch Tributary, Pennsylvania</t>
  </si>
  <si>
    <t>Oakford Park, USA</t>
  </si>
  <si>
    <t>Otter lake, Tennessee</t>
  </si>
  <si>
    <t>Otto Run, USA</t>
  </si>
  <si>
    <t>Pierce Reservoir, Wyoming</t>
  </si>
  <si>
    <t>Potato Hill Lake, North Carolina</t>
  </si>
  <si>
    <t>Prospect, Colorado</t>
  </si>
  <si>
    <t>Puddingstone, California</t>
  </si>
  <si>
    <t>Rainbow Lake, Michigan</t>
  </si>
  <si>
    <t>Renegade Resort Lake, Tennessee</t>
  </si>
  <si>
    <t>Rito Manzanares, New Mexico</t>
  </si>
  <si>
    <t>Sandy Run, Pennsylvania</t>
  </si>
  <si>
    <t>fhq</t>
  </si>
  <si>
    <t>Schaeffer, Colorado</t>
  </si>
  <si>
    <t>1/2 hr required to drain reservoir</t>
  </si>
  <si>
    <t>Sherbume, USA</t>
  </si>
  <si>
    <t>South Fork Tributary, Pennsylvania</t>
  </si>
  <si>
    <t>Spring Lake, Rhode Island</t>
  </si>
  <si>
    <t>slope-area 27 km downstream</t>
  </si>
  <si>
    <t>Trout lake, North Carolina</t>
  </si>
  <si>
    <t>Upper pond, Connecticut</t>
  </si>
  <si>
    <t>Wheatland No. 1, Wyoming</t>
  </si>
  <si>
    <t>Winston, North Carolina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</si>
</sst>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0.0"/>
    <numFmt numFmtId="165" formatCode="#,##0.0"/>
    <numFmt numFmtId="166" formatCode="0.00E+00_)"/>
    <numFmt numFmtId="167" formatCode="0.000E+00_)"/>
    <numFmt numFmtId="168" formatCode="0.0_)"/>
    <numFmt numFmtId="169" formatCode="0.00_)"/>
    <numFmt numFmtId="170" formatCode="0_)"/>
    <numFmt numFmtId="171" formatCode="0.0E+00_)"/>
    <numFmt numFmtId="172" formatCode="_(* #,##0_);_(* \(#,##0\);_(* &quot;-&quot;??_);_(@_)"/>
  </numFmts>
  <fonts count="41">
    <font>
      <sz val="10"/>
      <name val="Arial"/>
    </font>
    <font>
      <sz val="11"/>
      <color theme="1"/>
      <name val="Calibri"/>
      <family val="2"/>
      <scheme val="minor"/>
    </font>
    <font>
      <sz val="10"/>
      <name val="Arial"/>
      <family val="2"/>
    </font>
    <font>
      <b/>
      <u/>
      <sz val="10"/>
      <name val="Arial"/>
      <family val="2"/>
    </font>
    <font>
      <sz val="10"/>
      <color indexed="10"/>
      <name val="Arial"/>
      <family val="2"/>
    </font>
    <font>
      <b/>
      <sz val="10"/>
      <name val="Arial"/>
      <family val="2"/>
    </font>
    <font>
      <sz val="10"/>
      <color indexed="8"/>
      <name val="Arial"/>
      <family val="2"/>
    </font>
    <font>
      <b/>
      <vertAlign val="superscript"/>
      <sz val="10"/>
      <name val="Arial"/>
      <family val="2"/>
    </font>
    <font>
      <vertAlign val="subscript"/>
      <sz val="10"/>
      <name val="Arial"/>
      <family val="2"/>
    </font>
    <font>
      <b/>
      <sz val="10"/>
      <color indexed="12"/>
      <name val="Arial"/>
      <family val="2"/>
    </font>
    <font>
      <sz val="8"/>
      <color indexed="8"/>
      <name val="Arial"/>
      <family val="2"/>
    </font>
    <font>
      <sz val="8"/>
      <color indexed="10"/>
      <name val="Arial"/>
      <family val="2"/>
    </font>
    <font>
      <sz val="10"/>
      <color rgb="FFFF0000"/>
      <name val="Arial"/>
      <family val="2"/>
    </font>
    <font>
      <sz val="10"/>
      <color rgb="FF00B050"/>
      <name val="Arial"/>
      <family val="2"/>
    </font>
    <font>
      <sz val="9"/>
      <color rgb="FF00B050"/>
      <name val="Arial"/>
      <family val="2"/>
    </font>
    <font>
      <sz val="9"/>
      <name val="Arial"/>
      <family val="2"/>
    </font>
    <font>
      <sz val="10"/>
      <color rgb="FF3F3F76"/>
      <name val="Arial"/>
      <family val="2"/>
    </font>
    <font>
      <sz val="8"/>
      <name val="Arial"/>
      <family val="2"/>
    </font>
    <font>
      <b/>
      <sz val="11"/>
      <name val="Arial"/>
      <family val="2"/>
    </font>
    <font>
      <sz val="7"/>
      <color rgb="FFFF0000"/>
      <name val="Arial"/>
      <family val="2"/>
    </font>
    <font>
      <b/>
      <sz val="12"/>
      <name val="Arial"/>
      <family val="2"/>
    </font>
    <font>
      <b/>
      <i/>
      <sz val="12"/>
      <name val="Arial"/>
      <family val="2"/>
    </font>
    <font>
      <i/>
      <sz val="10"/>
      <name val="Arial"/>
      <family val="2"/>
    </font>
    <font>
      <b/>
      <sz val="10"/>
      <color rgb="FFFF0000"/>
      <name val="Arial"/>
      <family val="2"/>
    </font>
    <font>
      <vertAlign val="superscript"/>
      <sz val="10"/>
      <name val="Arial"/>
      <family val="2"/>
    </font>
    <font>
      <i/>
      <vertAlign val="subscript"/>
      <sz val="10"/>
      <name val="Arial"/>
      <family val="2"/>
    </font>
    <font>
      <sz val="9"/>
      <color indexed="81"/>
      <name val="Tahoma"/>
      <family val="2"/>
    </font>
    <font>
      <vertAlign val="subscript"/>
      <sz val="9"/>
      <name val="Arial"/>
      <family val="2"/>
    </font>
    <font>
      <sz val="9"/>
      <color indexed="10"/>
      <name val="Tahoma"/>
      <family val="2"/>
    </font>
    <font>
      <sz val="12"/>
      <name val="Arial"/>
      <family val="2"/>
    </font>
    <font>
      <sz val="12"/>
      <name val="SWISS"/>
    </font>
    <font>
      <b/>
      <sz val="12"/>
      <name val="SWISS"/>
    </font>
    <font>
      <sz val="12"/>
      <name val="SWISS"/>
      <family val="2"/>
    </font>
    <font>
      <sz val="12"/>
      <name val="DUTCH"/>
    </font>
    <font>
      <sz val="12"/>
      <color indexed="12"/>
      <name val="SWISS"/>
      <family val="2"/>
    </font>
    <font>
      <i/>
      <sz val="12"/>
      <name val="Arial"/>
      <family val="2"/>
    </font>
    <font>
      <i/>
      <sz val="12"/>
      <name val="SWISS"/>
    </font>
    <font>
      <b/>
      <u/>
      <sz val="12"/>
      <name val="Arial"/>
      <family val="2"/>
    </font>
    <font>
      <u/>
      <sz val="12"/>
      <name val="Arial"/>
      <family val="2"/>
    </font>
    <font>
      <b/>
      <sz val="9"/>
      <color indexed="81"/>
      <name val="Tahoma"/>
      <family val="2"/>
    </font>
    <font>
      <b/>
      <sz val="9"/>
      <color indexed="10"/>
      <name val="Tahoma"/>
      <family val="2"/>
    </font>
  </fonts>
  <fills count="17">
    <fill>
      <patternFill patternType="none"/>
    </fill>
    <fill>
      <patternFill patternType="gray125"/>
    </fill>
    <fill>
      <patternFill patternType="solid">
        <fgColor indexed="13"/>
        <bgColor indexed="64"/>
      </patternFill>
    </fill>
    <fill>
      <patternFill patternType="solid">
        <fgColor rgb="FF92D050"/>
        <bgColor indexed="64"/>
      </patternFill>
    </fill>
    <fill>
      <patternFill patternType="solid">
        <fgColor rgb="FFFFFF00"/>
        <bgColor indexed="64"/>
      </patternFill>
    </fill>
    <fill>
      <patternFill patternType="solid">
        <fgColor rgb="FF00FFFF"/>
        <bgColor indexed="64"/>
      </patternFill>
    </fill>
    <fill>
      <patternFill patternType="solid">
        <fgColor theme="0" tint="-0.14999847407452621"/>
        <bgColor indexed="64"/>
      </patternFill>
    </fill>
    <fill>
      <patternFill patternType="solid">
        <fgColor theme="9" tint="0.39997558519241921"/>
        <bgColor indexed="64"/>
      </patternFill>
    </fill>
    <fill>
      <patternFill patternType="solid">
        <fgColor rgb="FFFFCC99"/>
      </patternFill>
    </fill>
    <fill>
      <patternFill patternType="solid">
        <fgColor theme="0" tint="-4.9989318521683403E-2"/>
        <bgColor indexed="64"/>
      </patternFill>
    </fill>
    <fill>
      <patternFill patternType="solid">
        <fgColor theme="0" tint="-0.249977111117893"/>
        <bgColor indexed="64"/>
      </patternFill>
    </fill>
    <fill>
      <patternFill patternType="solid">
        <fgColor rgb="FFFF9F9F"/>
        <bgColor indexed="64"/>
      </patternFill>
    </fill>
    <fill>
      <patternFill patternType="solid">
        <fgColor theme="0" tint="-0.499984740745262"/>
        <bgColor indexed="64"/>
      </patternFill>
    </fill>
    <fill>
      <patternFill patternType="solid">
        <fgColor theme="8" tint="-0.249977111117893"/>
        <bgColor indexed="64"/>
      </patternFill>
    </fill>
    <fill>
      <patternFill patternType="solid">
        <fgColor theme="8" tint="0.59999389629810485"/>
        <bgColor indexed="64"/>
      </patternFill>
    </fill>
    <fill>
      <patternFill patternType="solid">
        <fgColor indexed="15"/>
        <bgColor indexed="15"/>
      </patternFill>
    </fill>
    <fill>
      <patternFill patternType="solid">
        <fgColor theme="2" tint="-9.9978637043366805E-2"/>
        <bgColor indexed="64"/>
      </patternFill>
    </fill>
  </fills>
  <borders count="47">
    <border>
      <left/>
      <right/>
      <top/>
      <bottom/>
      <diagonal/>
    </border>
    <border>
      <left style="medium">
        <color indexed="64"/>
      </left>
      <right/>
      <top/>
      <bottom style="medium">
        <color indexed="64"/>
      </bottom>
      <diagonal/>
    </border>
    <border>
      <left/>
      <right/>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hair">
        <color indexed="64"/>
      </bottom>
      <diagonal/>
    </border>
    <border>
      <left/>
      <right style="medium">
        <color indexed="64"/>
      </right>
      <top/>
      <bottom style="medium">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auto="1"/>
      </top>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7F7F7F"/>
      </left>
      <right style="thin">
        <color rgb="FF7F7F7F"/>
      </right>
      <top style="thin">
        <color rgb="FF7F7F7F"/>
      </top>
      <bottom style="thin">
        <color rgb="FF7F7F7F"/>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thin">
        <color indexed="64"/>
      </left>
      <right style="thin">
        <color indexed="64"/>
      </right>
      <top style="thin">
        <color indexed="64"/>
      </top>
      <bottom style="medium">
        <color auto="1"/>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right/>
      <top style="medium">
        <color indexed="64"/>
      </top>
      <bottom style="medium">
        <color indexed="64"/>
      </bottom>
      <diagonal/>
    </border>
    <border>
      <left style="thick">
        <color auto="1"/>
      </left>
      <right/>
      <top/>
      <bottom/>
      <diagonal/>
    </border>
    <border>
      <left style="thick">
        <color auto="1"/>
      </left>
      <right/>
      <top/>
      <bottom style="thin">
        <color indexed="64"/>
      </bottom>
      <diagonal/>
    </border>
    <border>
      <left/>
      <right/>
      <top/>
      <bottom style="thick">
        <color auto="1"/>
      </bottom>
      <diagonal/>
    </border>
    <border>
      <left style="thick">
        <color auto="1"/>
      </left>
      <right/>
      <top/>
      <bottom style="thick">
        <color auto="1"/>
      </bottom>
      <diagonal/>
    </border>
    <border>
      <left/>
      <right style="thick">
        <color auto="1"/>
      </right>
      <top/>
      <bottom/>
      <diagonal/>
    </border>
    <border>
      <left/>
      <right style="thick">
        <color auto="1"/>
      </right>
      <top/>
      <bottom style="thick">
        <color auto="1"/>
      </bottom>
      <diagonal/>
    </border>
    <border>
      <left style="thick">
        <color auto="1"/>
      </left>
      <right/>
      <top style="thin">
        <color auto="1"/>
      </top>
      <bottom/>
      <diagonal/>
    </border>
    <border>
      <left/>
      <right style="thick">
        <color auto="1"/>
      </right>
      <top style="thin">
        <color auto="1"/>
      </top>
      <bottom/>
      <diagonal/>
    </border>
    <border>
      <left/>
      <right style="thick">
        <color auto="1"/>
      </right>
      <top/>
      <bottom style="thin">
        <color auto="1"/>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thin">
        <color indexed="64"/>
      </left>
      <right/>
      <top/>
      <bottom/>
      <diagonal/>
    </border>
    <border>
      <left/>
      <right/>
      <top style="thin">
        <color rgb="FF7F7F7F"/>
      </top>
      <bottom style="thin">
        <color indexed="64"/>
      </bottom>
      <diagonal/>
    </border>
  </borders>
  <cellStyleXfs count="6">
    <xf numFmtId="0" fontId="0" fillId="0" borderId="0"/>
    <xf numFmtId="0" fontId="2" fillId="0" borderId="0"/>
    <xf numFmtId="0" fontId="16" fillId="8" borderId="17" applyNumberFormat="0" applyAlignment="0" applyProtection="0"/>
    <xf numFmtId="0" fontId="29" fillId="0" borderId="0"/>
    <xf numFmtId="0" fontId="33" fillId="15" borderId="0"/>
    <xf numFmtId="43" fontId="2" fillId="0" borderId="0" applyFont="0" applyFill="0" applyBorder="0" applyAlignment="0" applyProtection="0"/>
  </cellStyleXfs>
  <cellXfs count="297">
    <xf numFmtId="0" fontId="0" fillId="0" borderId="0" xfId="0"/>
    <xf numFmtId="0" fontId="0" fillId="0" borderId="0" xfId="0" applyAlignment="1">
      <alignment horizontal="center" vertical="center"/>
    </xf>
    <xf numFmtId="0" fontId="2" fillId="0" borderId="0" xfId="0" applyFont="1" applyAlignment="1">
      <alignment horizontal="center" vertical="center"/>
    </xf>
    <xf numFmtId="0" fontId="0" fillId="0" borderId="0" xfId="0" applyAlignment="1">
      <alignment horizontal="left" vertical="center"/>
    </xf>
    <xf numFmtId="0" fontId="0" fillId="0" borderId="10" xfId="0" applyBorder="1" applyAlignment="1">
      <alignment horizontal="center" vertical="center"/>
    </xf>
    <xf numFmtId="165" fontId="0" fillId="0" borderId="0" xfId="0" applyNumberFormat="1" applyAlignment="1">
      <alignment horizontal="center" vertical="center"/>
    </xf>
    <xf numFmtId="0" fontId="2" fillId="0" borderId="0" xfId="0" applyFont="1" applyAlignment="1">
      <alignment horizontal="left" vertical="center"/>
    </xf>
    <xf numFmtId="0" fontId="2" fillId="0" borderId="33" xfId="0" applyFont="1" applyBorder="1" applyAlignment="1">
      <alignment horizontal="center" vertical="center"/>
    </xf>
    <xf numFmtId="0" fontId="2" fillId="0" borderId="34" xfId="0" applyFont="1" applyBorder="1" applyAlignment="1">
      <alignment horizontal="center" vertical="center"/>
    </xf>
    <xf numFmtId="0" fontId="0" fillId="0" borderId="33" xfId="0" applyBorder="1" applyAlignment="1">
      <alignment horizontal="center" vertical="center"/>
    </xf>
    <xf numFmtId="0" fontId="0" fillId="0" borderId="35" xfId="0" applyBorder="1" applyAlignment="1">
      <alignment horizontal="center" vertical="center"/>
    </xf>
    <xf numFmtId="0" fontId="5" fillId="0" borderId="35" xfId="0" applyFont="1" applyBorder="1" applyAlignment="1">
      <alignment horizontal="center" vertical="center"/>
    </xf>
    <xf numFmtId="0" fontId="5" fillId="0" borderId="36" xfId="0" applyFont="1" applyBorder="1" applyAlignment="1">
      <alignment horizontal="center" vertical="center"/>
    </xf>
    <xf numFmtId="0" fontId="2" fillId="0" borderId="36" xfId="0" applyFont="1" applyBorder="1" applyAlignment="1">
      <alignment horizontal="center" vertical="center"/>
    </xf>
    <xf numFmtId="0" fontId="2" fillId="0" borderId="35" xfId="0" applyFont="1" applyBorder="1" applyAlignment="1">
      <alignment horizontal="center" vertical="center"/>
    </xf>
    <xf numFmtId="165" fontId="2" fillId="0" borderId="0" xfId="0" applyNumberFormat="1" applyFont="1" applyAlignment="1">
      <alignment horizontal="center" vertical="center"/>
    </xf>
    <xf numFmtId="165" fontId="2" fillId="0" borderId="35" xfId="0" applyNumberFormat="1" applyFont="1" applyBorder="1" applyAlignment="1">
      <alignment horizontal="center" vertical="center"/>
    </xf>
    <xf numFmtId="165" fontId="0" fillId="0" borderId="33" xfId="0" applyNumberFormat="1" applyBorder="1" applyAlignment="1">
      <alignment horizontal="center" vertical="center"/>
    </xf>
    <xf numFmtId="165" fontId="2" fillId="0" borderId="33" xfId="0" applyNumberFormat="1" applyFont="1" applyBorder="1" applyAlignment="1">
      <alignment horizontal="center" vertical="center"/>
    </xf>
    <xf numFmtId="165" fontId="2" fillId="0" borderId="36" xfId="0" applyNumberFormat="1" applyFont="1" applyBorder="1" applyAlignment="1">
      <alignment horizontal="center" vertical="center"/>
    </xf>
    <xf numFmtId="0" fontId="22" fillId="0" borderId="33" xfId="0" applyFont="1" applyBorder="1" applyAlignment="1">
      <alignment horizontal="center" vertical="center"/>
    </xf>
    <xf numFmtId="0" fontId="22" fillId="0" borderId="0" xfId="0" applyFont="1" applyAlignment="1">
      <alignment horizontal="center" vertical="center"/>
    </xf>
    <xf numFmtId="165" fontId="22" fillId="0" borderId="33" xfId="0" applyNumberFormat="1" applyFont="1" applyBorder="1" applyAlignment="1">
      <alignment horizontal="center" vertical="center"/>
    </xf>
    <xf numFmtId="0" fontId="2" fillId="0" borderId="37" xfId="0" applyFont="1" applyBorder="1" applyAlignment="1">
      <alignment horizontal="center" vertical="center"/>
    </xf>
    <xf numFmtId="0" fontId="0" fillId="0" borderId="37" xfId="0" applyBorder="1" applyAlignment="1">
      <alignment horizontal="center" vertical="center"/>
    </xf>
    <xf numFmtId="0" fontId="2" fillId="0" borderId="38" xfId="0" applyFont="1" applyBorder="1" applyAlignment="1">
      <alignment horizontal="center" vertical="center"/>
    </xf>
    <xf numFmtId="0" fontId="22" fillId="0" borderId="37" xfId="0" applyFont="1" applyBorder="1" applyAlignment="1">
      <alignment horizontal="center" vertical="center"/>
    </xf>
    <xf numFmtId="2" fontId="0" fillId="0" borderId="33" xfId="0" applyNumberFormat="1" applyBorder="1" applyAlignment="1">
      <alignment horizontal="center" vertical="center"/>
    </xf>
    <xf numFmtId="2" fontId="0" fillId="0" borderId="0" xfId="0" applyNumberFormat="1" applyAlignment="1">
      <alignment horizontal="center" vertical="center"/>
    </xf>
    <xf numFmtId="2" fontId="2" fillId="0" borderId="0" xfId="0" applyNumberFormat="1" applyFont="1" applyAlignment="1">
      <alignment horizontal="center" vertical="center"/>
    </xf>
    <xf numFmtId="3" fontId="0" fillId="0" borderId="33" xfId="0" applyNumberFormat="1" applyBorder="1" applyAlignment="1">
      <alignment horizontal="right" vertical="center"/>
    </xf>
    <xf numFmtId="3" fontId="0" fillId="0" borderId="0" xfId="0" applyNumberFormat="1" applyAlignment="1">
      <alignment horizontal="right" vertical="center"/>
    </xf>
    <xf numFmtId="0" fontId="0" fillId="0" borderId="13" xfId="0" applyBorder="1" applyAlignment="1">
      <alignment horizontal="center" vertical="center"/>
    </xf>
    <xf numFmtId="0" fontId="2" fillId="0" borderId="13" xfId="0" applyFont="1" applyBorder="1" applyAlignment="1">
      <alignment horizontal="left" vertical="center"/>
    </xf>
    <xf numFmtId="0" fontId="0" fillId="0" borderId="39" xfId="0" applyBorder="1" applyAlignment="1">
      <alignment horizontal="center" vertical="center"/>
    </xf>
    <xf numFmtId="0" fontId="0" fillId="0" borderId="13" xfId="0" applyBorder="1" applyAlignment="1">
      <alignment horizontal="left" vertical="center"/>
    </xf>
    <xf numFmtId="165" fontId="0" fillId="0" borderId="39" xfId="0" applyNumberFormat="1" applyBorder="1" applyAlignment="1">
      <alignment horizontal="center" vertical="center"/>
    </xf>
    <xf numFmtId="165" fontId="0" fillId="0" borderId="13" xfId="0" applyNumberFormat="1" applyBorder="1" applyAlignment="1">
      <alignment horizontal="center" vertical="center"/>
    </xf>
    <xf numFmtId="3" fontId="0" fillId="0" borderId="39" xfId="0" applyNumberFormat="1" applyBorder="1" applyAlignment="1">
      <alignment horizontal="right" vertical="center"/>
    </xf>
    <xf numFmtId="3" fontId="0" fillId="0" borderId="13" xfId="0" applyNumberFormat="1" applyBorder="1" applyAlignment="1">
      <alignment horizontal="right" vertical="center"/>
    </xf>
    <xf numFmtId="2" fontId="0" fillId="0" borderId="39" xfId="0" applyNumberFormat="1" applyBorder="1" applyAlignment="1">
      <alignment horizontal="center" vertical="center"/>
    </xf>
    <xf numFmtId="2" fontId="0" fillId="0" borderId="13" xfId="0" applyNumberFormat="1" applyBorder="1" applyAlignment="1">
      <alignment horizontal="center" vertical="center"/>
    </xf>
    <xf numFmtId="0" fontId="2" fillId="0" borderId="10" xfId="0" applyFont="1" applyBorder="1" applyAlignment="1">
      <alignment horizontal="left" vertical="center"/>
    </xf>
    <xf numFmtId="0" fontId="0" fillId="0" borderId="34" xfId="0" applyBorder="1" applyAlignment="1">
      <alignment horizontal="center" vertical="center"/>
    </xf>
    <xf numFmtId="0" fontId="0" fillId="0" borderId="10" xfId="0" applyBorder="1" applyAlignment="1">
      <alignment horizontal="left" vertical="center"/>
    </xf>
    <xf numFmtId="165" fontId="0" fillId="0" borderId="34" xfId="0" applyNumberFormat="1" applyBorder="1" applyAlignment="1">
      <alignment horizontal="center" vertical="center"/>
    </xf>
    <xf numFmtId="165" fontId="0" fillId="0" borderId="10" xfId="0" applyNumberFormat="1" applyBorder="1" applyAlignment="1">
      <alignment horizontal="center" vertical="center"/>
    </xf>
    <xf numFmtId="3" fontId="0" fillId="0" borderId="34" xfId="0" applyNumberFormat="1" applyBorder="1" applyAlignment="1">
      <alignment horizontal="right" vertical="center"/>
    </xf>
    <xf numFmtId="3" fontId="0" fillId="0" borderId="10" xfId="0" applyNumberFormat="1" applyBorder="1" applyAlignment="1">
      <alignment horizontal="right" vertical="center"/>
    </xf>
    <xf numFmtId="2" fontId="0" fillId="0" borderId="34" xfId="0" applyNumberFormat="1" applyBorder="1" applyAlignment="1">
      <alignment horizontal="center" vertical="center"/>
    </xf>
    <xf numFmtId="2" fontId="0" fillId="0" borderId="10" xfId="0" applyNumberFormat="1" applyBorder="1" applyAlignment="1">
      <alignment horizontal="center" vertical="center"/>
    </xf>
    <xf numFmtId="0" fontId="2" fillId="0" borderId="40" xfId="0" applyFont="1" applyBorder="1" applyAlignment="1">
      <alignment horizontal="left" vertical="center"/>
    </xf>
    <xf numFmtId="0" fontId="0" fillId="0" borderId="37" xfId="0" applyBorder="1" applyAlignment="1">
      <alignment horizontal="left" vertical="center"/>
    </xf>
    <xf numFmtId="0" fontId="2" fillId="0" borderId="37" xfId="0" applyFont="1" applyBorder="1" applyAlignment="1">
      <alignment horizontal="left" vertical="center"/>
    </xf>
    <xf numFmtId="0" fontId="2" fillId="0" borderId="41" xfId="0" applyFont="1" applyBorder="1" applyAlignment="1">
      <alignment horizontal="left" vertical="center"/>
    </xf>
    <xf numFmtId="2" fontId="2" fillId="0" borderId="10" xfId="0" applyNumberFormat="1" applyFont="1" applyBorder="1" applyAlignment="1">
      <alignment horizontal="center" vertical="center"/>
    </xf>
    <xf numFmtId="4" fontId="0" fillId="0" borderId="0" xfId="0" applyNumberFormat="1" applyAlignment="1">
      <alignment horizontal="center" vertical="center"/>
    </xf>
    <xf numFmtId="4" fontId="0" fillId="0" borderId="13" xfId="0" applyNumberFormat="1" applyBorder="1" applyAlignment="1">
      <alignment horizontal="center" vertical="center"/>
    </xf>
    <xf numFmtId="4" fontId="0" fillId="0" borderId="10" xfId="0" applyNumberFormat="1" applyBorder="1" applyAlignment="1">
      <alignment horizontal="center" vertical="center"/>
    </xf>
    <xf numFmtId="165" fontId="0" fillId="0" borderId="33" xfId="0" applyNumberFormat="1" applyBorder="1" applyAlignment="1">
      <alignment horizontal="right" vertical="center"/>
    </xf>
    <xf numFmtId="165" fontId="0" fillId="0" borderId="39" xfId="0" applyNumberFormat="1" applyBorder="1" applyAlignment="1">
      <alignment horizontal="right" vertical="center"/>
    </xf>
    <xf numFmtId="165" fontId="0" fillId="0" borderId="34" xfId="0" applyNumberFormat="1" applyBorder="1" applyAlignment="1">
      <alignment horizontal="right" vertical="center"/>
    </xf>
    <xf numFmtId="3" fontId="0" fillId="0" borderId="37" xfId="0" applyNumberFormat="1" applyBorder="1" applyAlignment="1">
      <alignment horizontal="right" vertical="center"/>
    </xf>
    <xf numFmtId="3" fontId="0" fillId="0" borderId="40" xfId="0" applyNumberFormat="1" applyBorder="1" applyAlignment="1">
      <alignment horizontal="right" vertical="center"/>
    </xf>
    <xf numFmtId="3" fontId="0" fillId="0" borderId="41" xfId="0" applyNumberFormat="1" applyBorder="1" applyAlignment="1">
      <alignment horizontal="right" vertical="center"/>
    </xf>
    <xf numFmtId="0" fontId="2" fillId="0" borderId="39" xfId="0" applyFont="1" applyBorder="1" applyAlignment="1">
      <alignment horizontal="center" vertical="center"/>
    </xf>
    <xf numFmtId="165" fontId="0" fillId="0" borderId="40" xfId="0" applyNumberFormat="1" applyBorder="1" applyAlignment="1">
      <alignment horizontal="center" vertical="center"/>
    </xf>
    <xf numFmtId="165" fontId="0" fillId="0" borderId="37" xfId="0" applyNumberFormat="1" applyBorder="1" applyAlignment="1">
      <alignment horizontal="center" vertical="center"/>
    </xf>
    <xf numFmtId="165" fontId="2" fillId="0" borderId="13" xfId="0" applyNumberFormat="1" applyFont="1" applyBorder="1" applyAlignment="1">
      <alignment horizontal="center" vertical="center"/>
    </xf>
    <xf numFmtId="165" fontId="2" fillId="0" borderId="37" xfId="0" applyNumberFormat="1" applyFont="1" applyBorder="1" applyAlignment="1">
      <alignment horizontal="center" vertical="center"/>
    </xf>
    <xf numFmtId="165" fontId="2" fillId="0" borderId="41" xfId="0" applyNumberFormat="1" applyFont="1" applyBorder="1" applyAlignment="1">
      <alignment horizontal="center" vertical="center"/>
    </xf>
    <xf numFmtId="165" fontId="2" fillId="0" borderId="10" xfId="0" applyNumberFormat="1" applyFont="1" applyBorder="1" applyAlignment="1">
      <alignment horizontal="center" vertical="center"/>
    </xf>
    <xf numFmtId="4" fontId="2" fillId="0" borderId="0" xfId="0" applyNumberFormat="1" applyFont="1" applyAlignment="1">
      <alignment horizontal="center" vertical="center"/>
    </xf>
    <xf numFmtId="0" fontId="2" fillId="0" borderId="13" xfId="0" applyFont="1" applyBorder="1" applyAlignment="1">
      <alignment horizontal="center" vertical="center"/>
    </xf>
    <xf numFmtId="0" fontId="2" fillId="0" borderId="10" xfId="0" applyFont="1" applyBorder="1" applyAlignment="1">
      <alignment horizontal="center" vertical="center"/>
    </xf>
    <xf numFmtId="164" fontId="0" fillId="4" borderId="11" xfId="0" applyNumberFormat="1" applyFill="1" applyBorder="1" applyAlignment="1" applyProtection="1">
      <alignment horizontal="center" vertical="center"/>
      <protection locked="0"/>
    </xf>
    <xf numFmtId="0" fontId="2" fillId="2" borderId="11" xfId="0" applyFont="1" applyFill="1" applyBorder="1" applyAlignment="1" applyProtection="1">
      <alignment horizontal="center"/>
      <protection locked="0"/>
    </xf>
    <xf numFmtId="0" fontId="6" fillId="2" borderId="11" xfId="0" applyFont="1" applyFill="1" applyBorder="1" applyAlignment="1" applyProtection="1">
      <alignment horizontal="center"/>
      <protection locked="0"/>
    </xf>
    <xf numFmtId="164" fontId="6" fillId="2" borderId="11" xfId="0" applyNumberFormat="1" applyFont="1" applyFill="1" applyBorder="1" applyAlignment="1" applyProtection="1">
      <alignment horizontal="center"/>
      <protection locked="0"/>
    </xf>
    <xf numFmtId="164" fontId="6" fillId="0" borderId="0" xfId="0" applyNumberFormat="1" applyFont="1" applyAlignment="1" applyProtection="1">
      <alignment horizontal="center"/>
      <protection locked="0"/>
    </xf>
    <xf numFmtId="0" fontId="5" fillId="0" borderId="0" xfId="0" applyFont="1"/>
    <xf numFmtId="0" fontId="2" fillId="0" borderId="0" xfId="0" applyFont="1"/>
    <xf numFmtId="4" fontId="0" fillId="2" borderId="11" xfId="0" applyNumberFormat="1" applyFill="1" applyBorder="1" applyAlignment="1" applyProtection="1">
      <alignment horizontal="center"/>
      <protection locked="0"/>
    </xf>
    <xf numFmtId="3" fontId="6" fillId="2" borderId="11" xfId="0" applyNumberFormat="1" applyFont="1" applyFill="1" applyBorder="1" applyAlignment="1" applyProtection="1">
      <alignment horizontal="center"/>
      <protection locked="0"/>
    </xf>
    <xf numFmtId="3" fontId="2" fillId="4" borderId="11" xfId="0" applyNumberFormat="1" applyFont="1" applyFill="1" applyBorder="1" applyAlignment="1" applyProtection="1">
      <alignment horizontal="center"/>
      <protection locked="0"/>
    </xf>
    <xf numFmtId="0" fontId="29" fillId="0" borderId="0" xfId="3"/>
    <xf numFmtId="0" fontId="29" fillId="0" borderId="0" xfId="3" applyAlignment="1">
      <alignment horizontal="center"/>
    </xf>
    <xf numFmtId="0" fontId="34" fillId="0" borderId="0" xfId="3" applyFont="1"/>
    <xf numFmtId="0" fontId="29" fillId="9" borderId="0" xfId="3" applyFill="1"/>
    <xf numFmtId="0" fontId="20" fillId="9" borderId="0" xfId="3" applyFont="1" applyFill="1" applyAlignment="1">
      <alignment horizontal="center"/>
    </xf>
    <xf numFmtId="0" fontId="35" fillId="9" borderId="45" xfId="3" applyFont="1" applyFill="1" applyBorder="1" applyAlignment="1">
      <alignment horizontal="center"/>
    </xf>
    <xf numFmtId="0" fontId="29" fillId="9" borderId="45" xfId="3" applyFill="1" applyBorder="1"/>
    <xf numFmtId="0" fontId="29" fillId="9" borderId="0" xfId="3" applyFill="1" applyAlignment="1">
      <alignment horizontal="right"/>
    </xf>
    <xf numFmtId="0" fontId="29" fillId="9" borderId="0" xfId="3" applyFill="1" applyAlignment="1">
      <alignment horizontal="center"/>
    </xf>
    <xf numFmtId="0" fontId="30" fillId="9" borderId="0" xfId="3" applyFont="1" applyFill="1" applyAlignment="1">
      <alignment horizontal="center" wrapText="1"/>
    </xf>
    <xf numFmtId="0" fontId="31" fillId="9" borderId="0" xfId="3" applyFont="1" applyFill="1" applyAlignment="1">
      <alignment horizontal="center" wrapText="1"/>
    </xf>
    <xf numFmtId="0" fontId="36" fillId="9" borderId="45" xfId="3" applyFont="1" applyFill="1" applyBorder="1" applyAlignment="1">
      <alignment horizontal="center" wrapText="1"/>
    </xf>
    <xf numFmtId="0" fontId="36" fillId="9" borderId="0" xfId="3" applyFont="1" applyFill="1" applyAlignment="1">
      <alignment horizontal="center" wrapText="1"/>
    </xf>
    <xf numFmtId="0" fontId="35" fillId="9" borderId="0" xfId="3" applyFont="1" applyFill="1" applyAlignment="1">
      <alignment horizontal="center"/>
    </xf>
    <xf numFmtId="0" fontId="29" fillId="9" borderId="2" xfId="3" applyFill="1" applyBorder="1" applyAlignment="1">
      <alignment horizontal="center"/>
    </xf>
    <xf numFmtId="0" fontId="29" fillId="9" borderId="2" xfId="3" applyFill="1" applyBorder="1"/>
    <xf numFmtId="0" fontId="20" fillId="9" borderId="2" xfId="3" applyFont="1" applyFill="1" applyBorder="1" applyAlignment="1">
      <alignment horizontal="center"/>
    </xf>
    <xf numFmtId="0" fontId="35" fillId="9" borderId="28" xfId="3" applyFont="1" applyFill="1" applyBorder="1" applyAlignment="1">
      <alignment horizontal="center"/>
    </xf>
    <xf numFmtId="0" fontId="35" fillId="9" borderId="2" xfId="3" applyFont="1" applyFill="1" applyBorder="1" applyAlignment="1">
      <alignment horizontal="center"/>
    </xf>
    <xf numFmtId="0" fontId="29" fillId="9" borderId="28" xfId="3" applyFill="1" applyBorder="1"/>
    <xf numFmtId="0" fontId="31" fillId="0" borderId="0" xfId="3" applyFont="1"/>
    <xf numFmtId="166" fontId="29" fillId="0" borderId="0" xfId="3" applyNumberFormat="1"/>
    <xf numFmtId="167" fontId="29" fillId="0" borderId="0" xfId="3" applyNumberFormat="1"/>
    <xf numFmtId="0" fontId="20" fillId="0" borderId="0" xfId="3" applyFont="1" applyAlignment="1">
      <alignment horizontal="center"/>
    </xf>
    <xf numFmtId="0" fontId="29" fillId="0" borderId="0" xfId="3" applyAlignment="1">
      <alignment horizontal="left"/>
    </xf>
    <xf numFmtId="169" fontId="29" fillId="0" borderId="0" xfId="3" applyNumberFormat="1"/>
    <xf numFmtId="170" fontId="29" fillId="0" borderId="0" xfId="3" applyNumberFormat="1"/>
    <xf numFmtId="2" fontId="35" fillId="0" borderId="45" xfId="3" applyNumberFormat="1" applyFont="1" applyBorder="1" applyAlignment="1">
      <alignment horizontal="center"/>
    </xf>
    <xf numFmtId="1" fontId="35" fillId="0" borderId="0" xfId="3" applyNumberFormat="1" applyFont="1" applyAlignment="1">
      <alignment horizontal="center"/>
    </xf>
    <xf numFmtId="2" fontId="35" fillId="0" borderId="0" xfId="3" applyNumberFormat="1" applyFont="1" applyAlignment="1">
      <alignment horizontal="center"/>
    </xf>
    <xf numFmtId="0" fontId="29" fillId="0" borderId="45" xfId="3" applyBorder="1"/>
    <xf numFmtId="171" fontId="29" fillId="0" borderId="0" xfId="3" applyNumberFormat="1"/>
    <xf numFmtId="166" fontId="20" fillId="0" borderId="0" xfId="3" applyNumberFormat="1" applyFont="1" applyAlignment="1">
      <alignment horizontal="center"/>
    </xf>
    <xf numFmtId="0" fontId="20" fillId="16" borderId="0" xfId="3" applyFont="1" applyFill="1"/>
    <xf numFmtId="172" fontId="20" fillId="16" borderId="0" xfId="5" applyNumberFormat="1" applyFont="1" applyFill="1" applyBorder="1" applyProtection="1"/>
    <xf numFmtId="0" fontId="37" fillId="0" borderId="45" xfId="3" applyFont="1" applyBorder="1"/>
    <xf numFmtId="1" fontId="29" fillId="0" borderId="0" xfId="3" applyNumberFormat="1"/>
    <xf numFmtId="2" fontId="29" fillId="0" borderId="0" xfId="3" applyNumberFormat="1"/>
    <xf numFmtId="0" fontId="32" fillId="0" borderId="0" xfId="3" applyFont="1"/>
    <xf numFmtId="0" fontId="38" fillId="0" borderId="45" xfId="3" applyFont="1" applyBorder="1"/>
    <xf numFmtId="0" fontId="38" fillId="0" borderId="0" xfId="3" applyFont="1"/>
    <xf numFmtId="0" fontId="29" fillId="0" borderId="0" xfId="3" applyAlignment="1">
      <alignment horizontal="right"/>
    </xf>
    <xf numFmtId="0" fontId="20" fillId="16" borderId="0" xfId="3" applyFont="1" applyFill="1" applyAlignment="1">
      <alignment horizontal="left"/>
    </xf>
    <xf numFmtId="0" fontId="20" fillId="0" borderId="0" xfId="3" applyFont="1"/>
    <xf numFmtId="169" fontId="20" fillId="0" borderId="0" xfId="3" applyNumberFormat="1" applyFont="1" applyAlignment="1">
      <alignment horizontal="center"/>
    </xf>
    <xf numFmtId="164" fontId="29" fillId="0" borderId="0" xfId="3" applyNumberFormat="1"/>
    <xf numFmtId="0" fontId="0" fillId="0" borderId="0" xfId="5" applyNumberFormat="1" applyFont="1" applyBorder="1" applyAlignment="1" applyProtection="1">
      <alignment horizontal="right"/>
    </xf>
    <xf numFmtId="168" fontId="20" fillId="0" borderId="0" xfId="3" applyNumberFormat="1" applyFont="1" applyAlignment="1">
      <alignment horizontal="center"/>
    </xf>
    <xf numFmtId="0" fontId="35" fillId="0" borderId="45" xfId="3" applyFont="1" applyBorder="1" applyAlignment="1">
      <alignment horizontal="center"/>
    </xf>
    <xf numFmtId="0" fontId="35" fillId="0" borderId="0" xfId="3" applyFont="1" applyAlignment="1">
      <alignment horizontal="center"/>
    </xf>
    <xf numFmtId="0" fontId="3" fillId="0" borderId="0" xfId="0" applyFont="1"/>
    <xf numFmtId="0" fontId="0" fillId="7" borderId="0" xfId="0" applyFill="1"/>
    <xf numFmtId="0" fontId="0" fillId="0" borderId="0" xfId="0" quotePrefix="1"/>
    <xf numFmtId="0" fontId="4" fillId="0" borderId="0" xfId="0" applyFont="1"/>
    <xf numFmtId="0" fontId="0" fillId="4" borderId="0" xfId="0" applyFill="1"/>
    <xf numFmtId="0" fontId="2" fillId="0" borderId="0" xfId="0" quotePrefix="1" applyFont="1"/>
    <xf numFmtId="0" fontId="2" fillId="0" borderId="0" xfId="0" applyFont="1" applyAlignment="1">
      <alignment horizontal="right"/>
    </xf>
    <xf numFmtId="0" fontId="13" fillId="0" borderId="0" xfId="0" applyFont="1"/>
    <xf numFmtId="0" fontId="0" fillId="12" borderId="0" xfId="0" applyFill="1"/>
    <xf numFmtId="0" fontId="0" fillId="6" borderId="0" xfId="0" applyFill="1"/>
    <xf numFmtId="0" fontId="0" fillId="13" borderId="0" xfId="0" applyFill="1"/>
    <xf numFmtId="2" fontId="0" fillId="12" borderId="11" xfId="0" applyNumberFormat="1" applyFill="1" applyBorder="1" applyAlignment="1">
      <alignment horizontal="center"/>
    </xf>
    <xf numFmtId="0" fontId="0" fillId="5" borderId="0" xfId="0" applyFill="1" applyAlignment="1">
      <alignment horizontal="center"/>
    </xf>
    <xf numFmtId="0" fontId="2" fillId="0" borderId="0" xfId="0" quotePrefix="1" applyFont="1" applyAlignment="1">
      <alignment horizontal="left"/>
    </xf>
    <xf numFmtId="0" fontId="0" fillId="0" borderId="0" xfId="0" applyAlignment="1">
      <alignment horizontal="center"/>
    </xf>
    <xf numFmtId="0" fontId="22" fillId="0" borderId="0" xfId="0" applyFont="1"/>
    <xf numFmtId="2" fontId="2" fillId="0" borderId="0" xfId="0" applyNumberFormat="1" applyFont="1" applyAlignment="1">
      <alignment horizontal="left"/>
    </xf>
    <xf numFmtId="3" fontId="0" fillId="12" borderId="11" xfId="0" applyNumberFormat="1" applyFill="1" applyBorder="1" applyAlignment="1">
      <alignment horizontal="center"/>
    </xf>
    <xf numFmtId="0" fontId="0" fillId="0" borderId="0" xfId="0" applyAlignment="1">
      <alignment horizontal="right"/>
    </xf>
    <xf numFmtId="0" fontId="2" fillId="0" borderId="0" xfId="0" applyFont="1" applyAlignment="1">
      <alignment horizontal="left"/>
    </xf>
    <xf numFmtId="0" fontId="0" fillId="6" borderId="11" xfId="0" applyFill="1" applyBorder="1" applyAlignment="1">
      <alignment horizontal="center"/>
    </xf>
    <xf numFmtId="0" fontId="6" fillId="6" borderId="11" xfId="0" applyFont="1" applyFill="1" applyBorder="1" applyAlignment="1">
      <alignment horizontal="center"/>
    </xf>
    <xf numFmtId="164" fontId="0" fillId="12" borderId="11" xfId="0" applyNumberFormat="1" applyFill="1" applyBorder="1" applyAlignment="1">
      <alignment horizontal="center"/>
    </xf>
    <xf numFmtId="164" fontId="0" fillId="0" borderId="0" xfId="0" applyNumberFormat="1" applyAlignment="1">
      <alignment horizontal="center"/>
    </xf>
    <xf numFmtId="0" fontId="2" fillId="0" borderId="0" xfId="0" applyFont="1" applyAlignment="1">
      <alignment horizontal="right" vertical="center"/>
    </xf>
    <xf numFmtId="0" fontId="17" fillId="0" borderId="21" xfId="0" applyFont="1" applyBorder="1" applyAlignment="1">
      <alignment horizontal="left" vertical="top"/>
    </xf>
    <xf numFmtId="0" fontId="5" fillId="10" borderId="30" xfId="0" applyFont="1" applyFill="1" applyBorder="1" applyAlignment="1">
      <alignment horizontal="left" wrapText="1"/>
    </xf>
    <xf numFmtId="1" fontId="23" fillId="10" borderId="24" xfId="0" applyNumberFormat="1" applyFont="1" applyFill="1" applyBorder="1" applyAlignment="1">
      <alignment horizontal="center" vertical="center"/>
    </xf>
    <xf numFmtId="0" fontId="0" fillId="0" borderId="21" xfId="0" applyBorder="1" applyAlignment="1">
      <alignment horizontal="right"/>
    </xf>
    <xf numFmtId="1" fontId="0" fillId="6" borderId="11" xfId="0" applyNumberFormat="1" applyFill="1" applyBorder="1" applyAlignment="1">
      <alignment horizontal="center"/>
    </xf>
    <xf numFmtId="3" fontId="0" fillId="6" borderId="11" xfId="0" applyNumberFormat="1" applyFill="1" applyBorder="1" applyAlignment="1">
      <alignment horizontal="center"/>
    </xf>
    <xf numFmtId="0" fontId="5" fillId="0" borderId="0" xfId="0" applyFont="1" applyAlignment="1">
      <alignment vertical="center"/>
    </xf>
    <xf numFmtId="0" fontId="4" fillId="0" borderId="0" xfId="0" applyFont="1" applyAlignment="1">
      <alignment horizontal="left"/>
    </xf>
    <xf numFmtId="1" fontId="2" fillId="14" borderId="11" xfId="0" applyNumberFormat="1" applyFont="1" applyFill="1" applyBorder="1" applyAlignment="1">
      <alignment horizontal="center"/>
    </xf>
    <xf numFmtId="0" fontId="2" fillId="0" borderId="44" xfId="0" applyFont="1" applyBorder="1" applyAlignment="1">
      <alignment horizontal="left"/>
    </xf>
    <xf numFmtId="0" fontId="2" fillId="0" borderId="30" xfId="0" applyFont="1" applyBorder="1" applyAlignment="1">
      <alignment horizontal="center" wrapText="1"/>
    </xf>
    <xf numFmtId="1" fontId="0" fillId="0" borderId="31" xfId="0" applyNumberFormat="1" applyBorder="1" applyAlignment="1">
      <alignment horizontal="center" wrapText="1"/>
    </xf>
    <xf numFmtId="0" fontId="5" fillId="0" borderId="26" xfId="0" applyFont="1" applyBorder="1" applyAlignment="1">
      <alignment horizontal="center"/>
    </xf>
    <xf numFmtId="0" fontId="0" fillId="5" borderId="21" xfId="0" applyFill="1" applyBorder="1" applyAlignment="1">
      <alignment horizontal="right"/>
    </xf>
    <xf numFmtId="164" fontId="0" fillId="5" borderId="11" xfId="0" applyNumberFormat="1" applyFill="1" applyBorder="1" applyAlignment="1">
      <alignment horizontal="center"/>
    </xf>
    <xf numFmtId="164" fontId="0" fillId="13" borderId="11" xfId="0" applyNumberFormat="1" applyFill="1" applyBorder="1" applyAlignment="1">
      <alignment horizontal="center"/>
    </xf>
    <xf numFmtId="0" fontId="2" fillId="0" borderId="22" xfId="0" applyFont="1" applyBorder="1"/>
    <xf numFmtId="0" fontId="2" fillId="9" borderId="25" xfId="0" applyFont="1" applyFill="1" applyBorder="1" applyAlignment="1">
      <alignment horizontal="center"/>
    </xf>
    <xf numFmtId="1" fontId="0" fillId="9" borderId="11" xfId="0" applyNumberFormat="1" applyFill="1" applyBorder="1" applyAlignment="1">
      <alignment horizontal="center"/>
    </xf>
    <xf numFmtId="0" fontId="0" fillId="5" borderId="1" xfId="0" applyFill="1" applyBorder="1" applyAlignment="1">
      <alignment horizontal="right"/>
    </xf>
    <xf numFmtId="1" fontId="0" fillId="5" borderId="23" xfId="0" applyNumberFormat="1" applyFill="1" applyBorder="1" applyAlignment="1">
      <alignment horizontal="center"/>
    </xf>
    <xf numFmtId="0" fontId="5" fillId="0" borderId="2" xfId="0" applyFont="1" applyBorder="1"/>
    <xf numFmtId="3" fontId="0" fillId="13" borderId="23" xfId="0" applyNumberFormat="1" applyFill="1" applyBorder="1" applyAlignment="1">
      <alignment horizontal="center"/>
    </xf>
    <xf numFmtId="0" fontId="0" fillId="0" borderId="2" xfId="0" applyBorder="1"/>
    <xf numFmtId="0" fontId="5" fillId="11" borderId="23" xfId="0" applyFont="1" applyFill="1" applyBorder="1"/>
    <xf numFmtId="0" fontId="14" fillId="0" borderId="9" xfId="0" applyFont="1" applyBorder="1"/>
    <xf numFmtId="0" fontId="9" fillId="0" borderId="0" xfId="0" applyFont="1"/>
    <xf numFmtId="0" fontId="2" fillId="0" borderId="25" xfId="0" applyFont="1" applyBorder="1" applyAlignment="1">
      <alignment horizontal="center"/>
    </xf>
    <xf numFmtId="1" fontId="0" fillId="0" borderId="11" xfId="0" applyNumberFormat="1" applyBorder="1" applyAlignment="1">
      <alignment horizontal="center"/>
    </xf>
    <xf numFmtId="165" fontId="2" fillId="9" borderId="11" xfId="0" applyNumberFormat="1" applyFont="1" applyFill="1" applyBorder="1" applyAlignment="1">
      <alignment horizontal="center"/>
    </xf>
    <xf numFmtId="3" fontId="2" fillId="9" borderId="42" xfId="0" applyNumberFormat="1" applyFont="1" applyFill="1" applyBorder="1" applyAlignment="1">
      <alignment horizontal="right"/>
    </xf>
    <xf numFmtId="165" fontId="2" fillId="9" borderId="23" xfId="0" applyNumberFormat="1" applyFont="1" applyFill="1" applyBorder="1" applyAlignment="1">
      <alignment horizontal="center"/>
    </xf>
    <xf numFmtId="0" fontId="2" fillId="9" borderId="43" xfId="0" applyFont="1" applyFill="1" applyBorder="1" applyAlignment="1">
      <alignment horizontal="right"/>
    </xf>
    <xf numFmtId="0" fontId="5" fillId="0" borderId="29" xfId="0" applyFont="1" applyBorder="1" applyAlignment="1">
      <alignment horizontal="center"/>
    </xf>
    <xf numFmtId="164" fontId="0" fillId="6" borderId="11" xfId="0" applyNumberFormat="1" applyFill="1" applyBorder="1" applyAlignment="1">
      <alignment horizontal="center"/>
    </xf>
    <xf numFmtId="0" fontId="0" fillId="0" borderId="22" xfId="0" applyBorder="1"/>
    <xf numFmtId="0" fontId="12" fillId="0" borderId="0" xfId="0" applyFont="1"/>
    <xf numFmtId="0" fontId="2" fillId="0" borderId="21" xfId="0" applyFont="1" applyBorder="1" applyAlignment="1">
      <alignment horizontal="right"/>
    </xf>
    <xf numFmtId="0" fontId="4" fillId="0" borderId="22" xfId="0" applyFont="1" applyBorder="1"/>
    <xf numFmtId="0" fontId="2" fillId="5" borderId="21" xfId="0" applyFont="1" applyFill="1" applyBorder="1" applyAlignment="1">
      <alignment horizontal="right"/>
    </xf>
    <xf numFmtId="1" fontId="0" fillId="5" borderId="11" xfId="0" applyNumberFormat="1" applyFill="1" applyBorder="1" applyAlignment="1">
      <alignment horizontal="center"/>
    </xf>
    <xf numFmtId="3" fontId="2" fillId="13" borderId="11" xfId="0" applyNumberFormat="1" applyFont="1" applyFill="1" applyBorder="1" applyAlignment="1">
      <alignment horizontal="center"/>
    </xf>
    <xf numFmtId="0" fontId="5" fillId="11" borderId="11" xfId="0" applyFont="1" applyFill="1" applyBorder="1"/>
    <xf numFmtId="0" fontId="14" fillId="0" borderId="22" xfId="0" applyFont="1" applyBorder="1"/>
    <xf numFmtId="165" fontId="0" fillId="5" borderId="23" xfId="0" applyNumberFormat="1" applyFill="1" applyBorder="1" applyAlignment="1">
      <alignment horizontal="center"/>
    </xf>
    <xf numFmtId="165" fontId="0" fillId="13" borderId="23" xfId="0" applyNumberFormat="1" applyFill="1" applyBorder="1" applyAlignment="1">
      <alignment horizontal="center"/>
    </xf>
    <xf numFmtId="0" fontId="4" fillId="0" borderId="2" xfId="0" applyFont="1" applyBorder="1"/>
    <xf numFmtId="0" fontId="4" fillId="0" borderId="9" xfId="0" applyFont="1" applyBorder="1"/>
    <xf numFmtId="0" fontId="0" fillId="0" borderId="9" xfId="0" applyBorder="1"/>
    <xf numFmtId="0" fontId="0" fillId="6" borderId="11" xfId="0" applyFill="1" applyBorder="1" applyAlignment="1">
      <alignment horizontal="center" vertical="center"/>
    </xf>
    <xf numFmtId="164" fontId="0" fillId="6" borderId="11" xfId="0" applyNumberFormat="1" applyFill="1" applyBorder="1" applyAlignment="1">
      <alignment horizontal="center" vertical="center"/>
    </xf>
    <xf numFmtId="1" fontId="2" fillId="6" borderId="11" xfId="0" applyNumberFormat="1" applyFont="1" applyFill="1" applyBorder="1" applyAlignment="1">
      <alignment horizontal="center" vertical="center"/>
    </xf>
    <xf numFmtId="3" fontId="0" fillId="6" borderId="11" xfId="0" applyNumberFormat="1" applyFill="1" applyBorder="1" applyAlignment="1">
      <alignment horizontal="center" vertical="center"/>
    </xf>
    <xf numFmtId="1" fontId="0" fillId="5" borderId="11" xfId="0" applyNumberFormat="1" applyFill="1" applyBorder="1" applyAlignment="1">
      <alignment horizontal="center" vertical="center"/>
    </xf>
    <xf numFmtId="3" fontId="0" fillId="13" borderId="11" xfId="0" applyNumberFormat="1" applyFill="1" applyBorder="1" applyAlignment="1">
      <alignment horizontal="center" vertical="center"/>
    </xf>
    <xf numFmtId="165" fontId="0" fillId="5" borderId="11" xfId="0" applyNumberFormat="1" applyFill="1" applyBorder="1" applyAlignment="1">
      <alignment horizontal="center" vertical="center"/>
    </xf>
    <xf numFmtId="165" fontId="0" fillId="13" borderId="11" xfId="0" applyNumberFormat="1" applyFill="1" applyBorder="1" applyAlignment="1">
      <alignment horizontal="center" vertical="center"/>
    </xf>
    <xf numFmtId="0" fontId="0" fillId="3" borderId="0" xfId="0" applyFill="1"/>
    <xf numFmtId="0" fontId="0" fillId="3" borderId="0" xfId="0" applyFill="1" applyAlignment="1">
      <alignment horizontal="right"/>
    </xf>
    <xf numFmtId="0" fontId="0" fillId="0" borderId="21" xfId="0" applyBorder="1"/>
    <xf numFmtId="0" fontId="2" fillId="0" borderId="12" xfId="0" applyFont="1" applyBorder="1" applyAlignment="1">
      <alignment horizontal="center"/>
    </xf>
    <xf numFmtId="0" fontId="0" fillId="0" borderId="12" xfId="0" applyBorder="1" applyAlignment="1">
      <alignment horizontal="center"/>
    </xf>
    <xf numFmtId="164" fontId="0" fillId="0" borderId="12" xfId="0" applyNumberFormat="1" applyBorder="1" applyAlignment="1">
      <alignment horizontal="center"/>
    </xf>
    <xf numFmtId="0" fontId="0" fillId="0" borderId="1" xfId="0" applyBorder="1"/>
    <xf numFmtId="0" fontId="10" fillId="0" borderId="0" xfId="0" applyFont="1" applyAlignment="1">
      <alignment horizontal="center"/>
    </xf>
    <xf numFmtId="0" fontId="10" fillId="0" borderId="0" xfId="0" applyFont="1"/>
    <xf numFmtId="0" fontId="11" fillId="0" borderId="0" xfId="0" applyFont="1"/>
    <xf numFmtId="0" fontId="10" fillId="0" borderId="0" xfId="0" applyFont="1" applyAlignment="1">
      <alignment horizontal="right"/>
    </xf>
    <xf numFmtId="0" fontId="9" fillId="0" borderId="0" xfId="0" applyFont="1" applyAlignment="1">
      <alignment horizontal="right"/>
    </xf>
    <xf numFmtId="0" fontId="6" fillId="0" borderId="0" xfId="0" applyFont="1"/>
    <xf numFmtId="0" fontId="5" fillId="0" borderId="0" xfId="0" applyFont="1" applyProtection="1">
      <protection locked="0"/>
    </xf>
    <xf numFmtId="164" fontId="0" fillId="0" borderId="0" xfId="0" applyNumberFormat="1" applyAlignment="1" applyProtection="1">
      <alignment horizontal="center"/>
      <protection locked="0"/>
    </xf>
    <xf numFmtId="0" fontId="2" fillId="0" borderId="0" xfId="0" applyFont="1" applyAlignment="1" applyProtection="1">
      <alignment horizontal="left"/>
      <protection locked="0"/>
    </xf>
    <xf numFmtId="0" fontId="5" fillId="7" borderId="3" xfId="0" applyFont="1" applyFill="1" applyBorder="1"/>
    <xf numFmtId="0" fontId="0" fillId="7" borderId="4" xfId="0" applyFill="1" applyBorder="1"/>
    <xf numFmtId="0" fontId="0" fillId="7" borderId="4" xfId="0" applyFill="1" applyBorder="1" applyAlignment="1">
      <alignment horizontal="center"/>
    </xf>
    <xf numFmtId="0" fontId="0" fillId="7" borderId="7" xfId="0" applyFill="1" applyBorder="1" applyAlignment="1">
      <alignment horizontal="center"/>
    </xf>
    <xf numFmtId="0" fontId="0" fillId="7" borderId="5" xfId="0" applyFill="1" applyBorder="1" applyAlignment="1">
      <alignment horizontal="right"/>
    </xf>
    <xf numFmtId="0" fontId="0" fillId="7" borderId="6" xfId="0" applyFill="1" applyBorder="1"/>
    <xf numFmtId="0" fontId="0" fillId="7" borderId="1" xfId="0" applyFill="1" applyBorder="1" applyAlignment="1">
      <alignment horizontal="right"/>
    </xf>
    <xf numFmtId="0" fontId="0" fillId="7" borderId="2" xfId="0" applyFill="1" applyBorder="1"/>
    <xf numFmtId="0" fontId="0" fillId="7" borderId="2" xfId="0" applyFill="1" applyBorder="1" applyAlignment="1">
      <alignment horizontal="center"/>
    </xf>
    <xf numFmtId="0" fontId="0" fillId="7" borderId="9" xfId="0" applyFill="1" applyBorder="1" applyAlignment="1">
      <alignment horizontal="center"/>
    </xf>
    <xf numFmtId="0" fontId="0" fillId="0" borderId="0" xfId="0" applyAlignment="1">
      <alignment vertical="top"/>
    </xf>
    <xf numFmtId="0" fontId="21" fillId="0" borderId="0" xfId="0" applyFont="1" applyAlignment="1">
      <alignment vertical="top"/>
    </xf>
    <xf numFmtId="0" fontId="16" fillId="8" borderId="17" xfId="2" applyAlignment="1" applyProtection="1">
      <alignment horizontal="center"/>
      <protection locked="0"/>
    </xf>
    <xf numFmtId="0" fontId="2" fillId="0" borderId="0" xfId="0" applyFont="1" applyProtection="1">
      <protection locked="0"/>
    </xf>
    <xf numFmtId="1" fontId="2" fillId="7" borderId="6" xfId="0" applyNumberFormat="1" applyFont="1" applyFill="1" applyBorder="1" applyAlignment="1">
      <alignment horizontal="center"/>
    </xf>
    <xf numFmtId="1" fontId="0" fillId="7" borderId="8" xfId="0" applyNumberFormat="1" applyFill="1" applyBorder="1" applyAlignment="1">
      <alignment horizontal="center"/>
    </xf>
    <xf numFmtId="4" fontId="16" fillId="6" borderId="17" xfId="2" applyNumberFormat="1" applyFill="1" applyAlignment="1" applyProtection="1">
      <alignment horizontal="center"/>
    </xf>
    <xf numFmtId="4" fontId="0" fillId="6" borderId="11" xfId="0" applyNumberFormat="1" applyFill="1" applyBorder="1" applyAlignment="1">
      <alignment horizontal="center"/>
    </xf>
    <xf numFmtId="0" fontId="16" fillId="0" borderId="46" xfId="2" applyNumberFormat="1" applyFill="1" applyBorder="1" applyAlignment="1" applyProtection="1">
      <alignment horizontal="center"/>
      <protection locked="0"/>
    </xf>
    <xf numFmtId="164" fontId="2" fillId="6" borderId="11" xfId="0" applyNumberFormat="1" applyFont="1" applyFill="1" applyBorder="1" applyAlignment="1">
      <alignment horizontal="center"/>
    </xf>
    <xf numFmtId="164" fontId="0" fillId="0" borderId="0" xfId="0" applyNumberFormat="1" applyProtection="1">
      <protection locked="0"/>
    </xf>
    <xf numFmtId="0" fontId="5" fillId="10" borderId="31" xfId="0" applyFont="1" applyFill="1" applyBorder="1" applyAlignment="1">
      <alignment horizontal="center" wrapText="1"/>
    </xf>
    <xf numFmtId="0" fontId="5" fillId="0" borderId="33" xfId="0" applyFont="1" applyBorder="1" applyAlignment="1">
      <alignment horizontal="center" vertical="center"/>
    </xf>
    <xf numFmtId="0" fontId="5" fillId="0" borderId="0" xfId="0" applyFont="1" applyAlignment="1">
      <alignment horizontal="center" vertical="center"/>
    </xf>
    <xf numFmtId="0" fontId="5" fillId="0" borderId="37" xfId="0" applyFont="1" applyBorder="1" applyAlignment="1">
      <alignment horizontal="center" vertical="center"/>
    </xf>
    <xf numFmtId="0" fontId="2" fillId="0" borderId="0" xfId="0" applyFont="1" applyAlignment="1">
      <alignment horizontal="center"/>
    </xf>
    <xf numFmtId="0" fontId="6" fillId="0" borderId="0" xfId="0" applyFont="1" applyAlignment="1">
      <alignment horizontal="center"/>
    </xf>
    <xf numFmtId="3" fontId="2" fillId="0" borderId="0" xfId="0" applyNumberFormat="1" applyFont="1" applyAlignment="1">
      <alignment horizontal="center"/>
    </xf>
    <xf numFmtId="1" fontId="2" fillId="0" borderId="0" xfId="0" applyNumberFormat="1" applyFont="1" applyAlignment="1">
      <alignment horizontal="center"/>
    </xf>
    <xf numFmtId="0" fontId="4" fillId="0" borderId="0" xfId="0" applyFont="1" applyProtection="1">
      <protection hidden="1"/>
    </xf>
    <xf numFmtId="0" fontId="4" fillId="0" borderId="0" xfId="0" applyFont="1" applyAlignment="1">
      <alignment vertical="top" wrapText="1"/>
    </xf>
    <xf numFmtId="0" fontId="6" fillId="0" borderId="0" xfId="0" applyFont="1" applyAlignment="1">
      <alignment horizontal="right"/>
    </xf>
    <xf numFmtId="0" fontId="2" fillId="0" borderId="0" xfId="0" applyFont="1" applyAlignment="1">
      <alignment vertical="top" wrapText="1"/>
    </xf>
    <xf numFmtId="0" fontId="0" fillId="0" borderId="15" xfId="0" applyBorder="1" applyAlignment="1">
      <alignment horizontal="center"/>
    </xf>
    <xf numFmtId="0" fontId="0" fillId="0" borderId="16" xfId="0" applyBorder="1" applyAlignment="1">
      <alignment horizontal="center"/>
    </xf>
    <xf numFmtId="0" fontId="15" fillId="0" borderId="22" xfId="0" applyFont="1" applyBorder="1" applyAlignment="1">
      <alignment horizontal="center" vertical="center" wrapText="1"/>
    </xf>
    <xf numFmtId="0" fontId="18" fillId="6" borderId="18" xfId="0" applyFont="1" applyFill="1" applyBorder="1" applyAlignment="1">
      <alignment horizontal="left"/>
    </xf>
    <xf numFmtId="0" fontId="18" fillId="6" borderId="19" xfId="0" applyFont="1" applyFill="1" applyBorder="1" applyAlignment="1">
      <alignment horizontal="left"/>
    </xf>
    <xf numFmtId="0" fontId="18" fillId="6" borderId="20" xfId="0" applyFont="1" applyFill="1" applyBorder="1" applyAlignment="1">
      <alignment horizontal="left"/>
    </xf>
    <xf numFmtId="0" fontId="19" fillId="0" borderId="0" xfId="0" applyFont="1" applyAlignment="1">
      <alignment horizontal="left" vertical="top" wrapText="1"/>
    </xf>
    <xf numFmtId="0" fontId="19" fillId="0" borderId="22" xfId="0" applyFont="1" applyBorder="1" applyAlignment="1">
      <alignment horizontal="left" vertical="top" wrapText="1"/>
    </xf>
    <xf numFmtId="0" fontId="0" fillId="0" borderId="21" xfId="0" applyBorder="1" applyAlignment="1">
      <alignment horizontal="center" wrapText="1"/>
    </xf>
    <xf numFmtId="0" fontId="0" fillId="0" borderId="0" xfId="0" applyAlignment="1">
      <alignment horizontal="center" wrapText="1"/>
    </xf>
    <xf numFmtId="0" fontId="5" fillId="0" borderId="15" xfId="0" applyFont="1" applyBorder="1" applyAlignment="1">
      <alignment horizontal="center"/>
    </xf>
    <xf numFmtId="0" fontId="5" fillId="0" borderId="32" xfId="0" applyFont="1" applyBorder="1" applyAlignment="1">
      <alignment horizontal="center"/>
    </xf>
    <xf numFmtId="0" fontId="5" fillId="0" borderId="16" xfId="0" applyFont="1" applyBorder="1" applyAlignment="1">
      <alignment horizontal="center"/>
    </xf>
    <xf numFmtId="0" fontId="2" fillId="9" borderId="25" xfId="0" applyFont="1" applyFill="1" applyBorder="1" applyAlignment="1">
      <alignment horizontal="center" vertical="center"/>
    </xf>
    <xf numFmtId="0" fontId="2" fillId="9" borderId="27" xfId="0" applyFont="1" applyFill="1" applyBorder="1" applyAlignment="1">
      <alignment horizontal="center" vertical="center"/>
    </xf>
    <xf numFmtId="1" fontId="2" fillId="9" borderId="11" xfId="0" applyNumberFormat="1" applyFont="1" applyFill="1" applyBorder="1" applyAlignment="1">
      <alignment horizontal="center" vertical="center"/>
    </xf>
    <xf numFmtId="1" fontId="2" fillId="9" borderId="23" xfId="0" applyNumberFormat="1" applyFont="1" applyFill="1" applyBorder="1" applyAlignment="1">
      <alignment horizontal="center" vertical="center"/>
    </xf>
    <xf numFmtId="0" fontId="5" fillId="10" borderId="31" xfId="0" applyFont="1" applyFill="1" applyBorder="1" applyAlignment="1">
      <alignment horizontal="center" wrapText="1"/>
    </xf>
    <xf numFmtId="0" fontId="5" fillId="10" borderId="14" xfId="0" applyFont="1" applyFill="1" applyBorder="1" applyAlignment="1">
      <alignment horizontal="center" wrapText="1"/>
    </xf>
    <xf numFmtId="164" fontId="0" fillId="0" borderId="31" xfId="0" applyNumberFormat="1" applyBorder="1" applyAlignment="1">
      <alignment horizontal="center" wrapText="1"/>
    </xf>
    <xf numFmtId="164" fontId="0" fillId="0" borderId="14" xfId="0" applyNumberFormat="1" applyBorder="1" applyAlignment="1">
      <alignment horizontal="center" wrapText="1"/>
    </xf>
    <xf numFmtId="165" fontId="0" fillId="9" borderId="11" xfId="0" applyNumberFormat="1" applyFill="1" applyBorder="1" applyAlignment="1">
      <alignment horizontal="center"/>
    </xf>
    <xf numFmtId="165" fontId="0" fillId="9" borderId="42" xfId="0" applyNumberFormat="1" applyFill="1" applyBorder="1" applyAlignment="1">
      <alignment horizontal="center"/>
    </xf>
    <xf numFmtId="165" fontId="0" fillId="0" borderId="11" xfId="0" applyNumberFormat="1" applyBorder="1" applyAlignment="1">
      <alignment horizontal="center"/>
    </xf>
    <xf numFmtId="165" fontId="0" fillId="0" borderId="42" xfId="0" applyNumberFormat="1" applyBorder="1" applyAlignment="1">
      <alignment horizontal="center"/>
    </xf>
    <xf numFmtId="0" fontId="35" fillId="9" borderId="0" xfId="3" applyFont="1" applyFill="1" applyAlignment="1">
      <alignment horizontal="center"/>
    </xf>
    <xf numFmtId="0" fontId="5" fillId="0" borderId="33" xfId="0" applyFont="1" applyBorder="1" applyAlignment="1">
      <alignment horizontal="center" vertical="center"/>
    </xf>
    <xf numFmtId="0" fontId="5" fillId="0" borderId="0" xfId="0" applyFont="1" applyAlignment="1">
      <alignment horizontal="center" vertical="center"/>
    </xf>
    <xf numFmtId="0" fontId="5" fillId="0" borderId="37" xfId="0" applyFont="1" applyBorder="1" applyAlignment="1">
      <alignment horizontal="center" vertical="center"/>
    </xf>
    <xf numFmtId="165" fontId="5" fillId="0" borderId="33" xfId="0" applyNumberFormat="1" applyFont="1" applyBorder="1" applyAlignment="1">
      <alignment horizontal="center" vertical="center"/>
    </xf>
    <xf numFmtId="165" fontId="5" fillId="0" borderId="0" xfId="0" applyNumberFormat="1" applyFont="1" applyAlignment="1">
      <alignment horizontal="center" vertical="center"/>
    </xf>
  </cellXfs>
  <cellStyles count="6">
    <cellStyle name="Comma 2" xfId="5" xr:uid="{00000000-0005-0000-0000-000000000000}"/>
    <cellStyle name="Input" xfId="2" builtinId="20"/>
    <cellStyle name="Normal" xfId="0" builtinId="0"/>
    <cellStyle name="Normal 2" xfId="1" xr:uid="{00000000-0005-0000-0000-000003000000}"/>
    <cellStyle name="Normal 3" xfId="3" xr:uid="{00000000-0005-0000-0000-000004000000}"/>
    <cellStyle name="Style1" xfId="4" xr:uid="{00000000-0005-0000-0000-000005000000}"/>
  </cellStyles>
  <dxfs count="10">
    <dxf>
      <fill>
        <patternFill>
          <bgColor theme="6" tint="0.39994506668294322"/>
        </patternFill>
      </fill>
    </dxf>
    <dxf>
      <fill>
        <patternFill>
          <bgColor theme="5" tint="0.39994506668294322"/>
        </patternFill>
      </fill>
    </dxf>
    <dxf>
      <font>
        <color auto="1"/>
      </font>
      <fill>
        <patternFill>
          <bgColor rgb="FF92D050"/>
        </patternFill>
      </fill>
    </dxf>
    <dxf>
      <font>
        <color auto="1"/>
      </font>
      <fill>
        <patternFill>
          <bgColor theme="6" tint="0.59996337778862885"/>
        </patternFill>
      </fill>
    </dxf>
    <dxf>
      <font>
        <color auto="1"/>
      </font>
      <fill>
        <patternFill>
          <bgColor theme="6" tint="0.39994506668294322"/>
        </patternFill>
      </fill>
    </dxf>
    <dxf>
      <font>
        <color auto="1"/>
      </font>
      <fill>
        <patternFill>
          <bgColor theme="6" tint="0.39994506668294322"/>
        </patternFill>
      </fill>
    </dxf>
    <dxf>
      <font>
        <color auto="1"/>
      </font>
      <fill>
        <patternFill>
          <bgColor theme="6" tint="0.39994506668294322"/>
        </patternFill>
      </fill>
    </dxf>
    <dxf>
      <font>
        <color auto="1"/>
      </font>
      <fill>
        <patternFill>
          <bgColor rgb="FF92D050"/>
        </patternFill>
      </fill>
    </dxf>
    <dxf>
      <fill>
        <patternFill>
          <bgColor theme="6" tint="0.59996337778862885"/>
        </patternFill>
      </fill>
    </dxf>
    <dxf>
      <fill>
        <patternFill>
          <bgColor theme="6" tint="0.39994506668294322"/>
        </patternFill>
      </fill>
    </dxf>
  </dxfs>
  <tableStyles count="0" defaultTableStyle="TableStyleMedium9" defaultPivotStyle="PivotStyleLight16"/>
  <colors>
    <mruColors>
      <color rgb="FF00FFFF"/>
      <color rgb="FF31849B"/>
      <color rgb="FFFF9F9F"/>
      <color rgb="FFFFFF99"/>
      <color rgb="FFFF5050"/>
      <color rgb="FFFF0066"/>
      <color rgb="FFE86E0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30-EC42-11CE-9E0D-00AA006002F3}" ax:persistence="persistStreamInit" r:id="rId1"/>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Average Breach Width vs </a:t>
            </a:r>
          </a:p>
          <a:p>
            <a:pPr>
              <a:defRPr sz="2400"/>
            </a:pPr>
            <a:r>
              <a:rPr lang="en-US" sz="2400"/>
              <a:t>Pool Volume</a:t>
            </a:r>
          </a:p>
        </c:rich>
      </c:tx>
      <c:overlay val="1"/>
    </c:title>
    <c:autoTitleDeleted val="0"/>
    <c:plotArea>
      <c:layout>
        <c:manualLayout>
          <c:layoutTarget val="inner"/>
          <c:xMode val="edge"/>
          <c:yMode val="edge"/>
          <c:x val="0.10871871797139813"/>
          <c:y val="0.13183780221304917"/>
          <c:w val="0.8253367491765361"/>
          <c:h val="0.73040219029224929"/>
        </c:manualLayout>
      </c:layout>
      <c:scatterChart>
        <c:scatterStyle val="lineMarker"/>
        <c:varyColors val="0"/>
        <c:ser>
          <c:idx val="0"/>
          <c:order val="0"/>
          <c:tx>
            <c:v>Historic Data</c:v>
          </c:tx>
          <c:spPr>
            <a:ln w="28575">
              <a:noFill/>
            </a:ln>
          </c:spPr>
          <c:xVal>
            <c:numRef>
              <c:f>'Filtered Data &amp; Plots'!$T$8:$T$84</c:f>
              <c:numCache>
                <c:formatCode>General</c:formatCode>
                <c:ptCount val="77"/>
                <c:pt idx="0">
                  <c:v>22200000</c:v>
                </c:pt>
                <c:pt idx="1">
                  <c:v>910000</c:v>
                </c:pt>
                <c:pt idx="2">
                  <c:v>49300</c:v>
                </c:pt>
                <c:pt idx="3">
                  <c:v>24700</c:v>
                </c:pt>
                <c:pt idx="4" formatCode="0.00E+00_)">
                  <c:v>483525</c:v>
                </c:pt>
                <c:pt idx="5">
                  <c:v>740000</c:v>
                </c:pt>
                <c:pt idx="6">
                  <c:v>2380000</c:v>
                </c:pt>
                <c:pt idx="7">
                  <c:v>6170000</c:v>
                </c:pt>
                <c:pt idx="8">
                  <c:v>698000</c:v>
                </c:pt>
                <c:pt idx="9">
                  <c:v>466000</c:v>
                </c:pt>
                <c:pt idx="10">
                  <c:v>311000</c:v>
                </c:pt>
                <c:pt idx="11">
                  <c:v>1870000</c:v>
                </c:pt>
                <c:pt idx="12">
                  <c:v>1180000</c:v>
                </c:pt>
                <c:pt idx="13">
                  <c:v>425000</c:v>
                </c:pt>
                <c:pt idx="14">
                  <c:v>493000</c:v>
                </c:pt>
                <c:pt idx="15" formatCode="0.00E+00_)">
                  <c:v>351542</c:v>
                </c:pt>
                <c:pt idx="16">
                  <c:v>3870000</c:v>
                </c:pt>
                <c:pt idx="17">
                  <c:v>16000000</c:v>
                </c:pt>
                <c:pt idx="18" formatCode="0.00E+00_)">
                  <c:v>10600000</c:v>
                </c:pt>
                <c:pt idx="19">
                  <c:v>25500</c:v>
                </c:pt>
                <c:pt idx="20">
                  <c:v>23400</c:v>
                </c:pt>
                <c:pt idx="21">
                  <c:v>6350000</c:v>
                </c:pt>
                <c:pt idx="22">
                  <c:v>14800000</c:v>
                </c:pt>
                <c:pt idx="23">
                  <c:v>30600000</c:v>
                </c:pt>
                <c:pt idx="24">
                  <c:v>12800000</c:v>
                </c:pt>
                <c:pt idx="25">
                  <c:v>1170000</c:v>
                </c:pt>
                <c:pt idx="26">
                  <c:v>333000</c:v>
                </c:pt>
                <c:pt idx="27">
                  <c:v>160000</c:v>
                </c:pt>
                <c:pt idx="28">
                  <c:v>423000</c:v>
                </c:pt>
                <c:pt idx="29">
                  <c:v>575000</c:v>
                </c:pt>
                <c:pt idx="30">
                  <c:v>18900000</c:v>
                </c:pt>
                <c:pt idx="31">
                  <c:v>777000</c:v>
                </c:pt>
                <c:pt idx="32">
                  <c:v>177000</c:v>
                </c:pt>
                <c:pt idx="33">
                  <c:v>78900000</c:v>
                </c:pt>
                <c:pt idx="34">
                  <c:v>31500000</c:v>
                </c:pt>
                <c:pt idx="35">
                  <c:v>789000</c:v>
                </c:pt>
                <c:pt idx="36">
                  <c:v>680000</c:v>
                </c:pt>
                <c:pt idx="37">
                  <c:v>4090000</c:v>
                </c:pt>
                <c:pt idx="38">
                  <c:v>4780000</c:v>
                </c:pt>
                <c:pt idx="39">
                  <c:v>296000</c:v>
                </c:pt>
                <c:pt idx="40">
                  <c:v>555000</c:v>
                </c:pt>
                <c:pt idx="41">
                  <c:v>798000</c:v>
                </c:pt>
                <c:pt idx="42">
                  <c:v>92500</c:v>
                </c:pt>
                <c:pt idx="43">
                  <c:v>1360000</c:v>
                </c:pt>
                <c:pt idx="44">
                  <c:v>284000</c:v>
                </c:pt>
                <c:pt idx="45">
                  <c:v>7080000</c:v>
                </c:pt>
                <c:pt idx="46">
                  <c:v>49300000</c:v>
                </c:pt>
                <c:pt idx="47">
                  <c:v>29600000</c:v>
                </c:pt>
                <c:pt idx="48">
                  <c:v>35800000</c:v>
                </c:pt>
                <c:pt idx="49">
                  <c:v>2880000</c:v>
                </c:pt>
                <c:pt idx="50">
                  <c:v>24700000</c:v>
                </c:pt>
                <c:pt idx="51">
                  <c:v>69600</c:v>
                </c:pt>
                <c:pt idx="52">
                  <c:v>4130000</c:v>
                </c:pt>
                <c:pt idx="53">
                  <c:v>660000000</c:v>
                </c:pt>
                <c:pt idx="54">
                  <c:v>109000</c:v>
                </c:pt>
                <c:pt idx="55">
                  <c:v>4070000</c:v>
                </c:pt>
                <c:pt idx="56">
                  <c:v>105000</c:v>
                </c:pt>
                <c:pt idx="57">
                  <c:v>3540000</c:v>
                </c:pt>
                <c:pt idx="58">
                  <c:v>30800000</c:v>
                </c:pt>
                <c:pt idx="59">
                  <c:v>6780000</c:v>
                </c:pt>
                <c:pt idx="60">
                  <c:v>13900</c:v>
                </c:pt>
                <c:pt idx="61">
                  <c:v>24700</c:v>
                </c:pt>
                <c:pt idx="62" formatCode="0.00E+00_)">
                  <c:v>71541947</c:v>
                </c:pt>
                <c:pt idx="63">
                  <c:v>4440000</c:v>
                </c:pt>
                <c:pt idx="64">
                  <c:v>86000</c:v>
                </c:pt>
                <c:pt idx="65" formatCode="0.00E+00_)">
                  <c:v>2911017</c:v>
                </c:pt>
                <c:pt idx="66" formatCode="0.00E+00_)">
                  <c:v>3330401</c:v>
                </c:pt>
                <c:pt idx="67">
                  <c:v>136000</c:v>
                </c:pt>
                <c:pt idx="68">
                  <c:v>564000</c:v>
                </c:pt>
                <c:pt idx="69" formatCode="0.00E+00_)">
                  <c:v>37004455</c:v>
                </c:pt>
                <c:pt idx="70">
                  <c:v>310000000</c:v>
                </c:pt>
                <c:pt idx="71">
                  <c:v>1480000</c:v>
                </c:pt>
                <c:pt idx="72">
                  <c:v>493000</c:v>
                </c:pt>
                <c:pt idx="73">
                  <c:v>222000</c:v>
                </c:pt>
                <c:pt idx="74">
                  <c:v>11600000</c:v>
                </c:pt>
                <c:pt idx="75">
                  <c:v>533000</c:v>
                </c:pt>
                <c:pt idx="76">
                  <c:v>662000</c:v>
                </c:pt>
              </c:numCache>
            </c:numRef>
          </c:xVal>
          <c:yVal>
            <c:numRef>
              <c:f>'Filtered Data &amp; Plots'!$AA$8:$AA$84</c:f>
              <c:numCache>
                <c:formatCode>General</c:formatCode>
                <c:ptCount val="77"/>
                <c:pt idx="0">
                  <c:v>93</c:v>
                </c:pt>
                <c:pt idx="1">
                  <c:v>25</c:v>
                </c:pt>
                <c:pt idx="2">
                  <c:v>12.2</c:v>
                </c:pt>
                <c:pt idx="3">
                  <c:v>4.72</c:v>
                </c:pt>
                <c:pt idx="4">
                  <c:v>125</c:v>
                </c:pt>
                <c:pt idx="5">
                  <c:v>12.5</c:v>
                </c:pt>
                <c:pt idx="6">
                  <c:v>62.5</c:v>
                </c:pt>
                <c:pt idx="7">
                  <c:v>44.2</c:v>
                </c:pt>
                <c:pt idx="8">
                  <c:v>35.1</c:v>
                </c:pt>
                <c:pt idx="9">
                  <c:v>22.8</c:v>
                </c:pt>
                <c:pt idx="10">
                  <c:v>42.7</c:v>
                </c:pt>
                <c:pt idx="11">
                  <c:v>17.2</c:v>
                </c:pt>
                <c:pt idx="12">
                  <c:v>36.6</c:v>
                </c:pt>
                <c:pt idx="13">
                  <c:v>10.8</c:v>
                </c:pt>
                <c:pt idx="14">
                  <c:v>7.62</c:v>
                </c:pt>
                <c:pt idx="15">
                  <c:v>6.9</c:v>
                </c:pt>
                <c:pt idx="16">
                  <c:v>27.4</c:v>
                </c:pt>
                <c:pt idx="17">
                  <c:v>54.6</c:v>
                </c:pt>
                <c:pt idx="18">
                  <c:v>26.4</c:v>
                </c:pt>
                <c:pt idx="19">
                  <c:v>19</c:v>
                </c:pt>
                <c:pt idx="20">
                  <c:v>10.7</c:v>
                </c:pt>
                <c:pt idx="21">
                  <c:v>73.900000000000006</c:v>
                </c:pt>
                <c:pt idx="22">
                  <c:v>151</c:v>
                </c:pt>
                <c:pt idx="23">
                  <c:v>121</c:v>
                </c:pt>
                <c:pt idx="24">
                  <c:v>73.099999999999994</c:v>
                </c:pt>
                <c:pt idx="25">
                  <c:v>33.4</c:v>
                </c:pt>
                <c:pt idx="26">
                  <c:v>16.8</c:v>
                </c:pt>
                <c:pt idx="27">
                  <c:v>13.5</c:v>
                </c:pt>
                <c:pt idx="28">
                  <c:v>17.5</c:v>
                </c:pt>
                <c:pt idx="29">
                  <c:v>8.23</c:v>
                </c:pt>
                <c:pt idx="30">
                  <c:v>94.5</c:v>
                </c:pt>
                <c:pt idx="31">
                  <c:v>27.3</c:v>
                </c:pt>
                <c:pt idx="32">
                  <c:v>14.5</c:v>
                </c:pt>
                <c:pt idx="33">
                  <c:v>58.8</c:v>
                </c:pt>
                <c:pt idx="34">
                  <c:v>130</c:v>
                </c:pt>
                <c:pt idx="35">
                  <c:v>18.899999999999999</c:v>
                </c:pt>
                <c:pt idx="36">
                  <c:v>16.8</c:v>
                </c:pt>
                <c:pt idx="37">
                  <c:v>39.200000000000003</c:v>
                </c:pt>
                <c:pt idx="38">
                  <c:v>47.2</c:v>
                </c:pt>
                <c:pt idx="39">
                  <c:v>7.62</c:v>
                </c:pt>
                <c:pt idx="40">
                  <c:v>35.1</c:v>
                </c:pt>
                <c:pt idx="41">
                  <c:v>22.2</c:v>
                </c:pt>
                <c:pt idx="42">
                  <c:v>10.8</c:v>
                </c:pt>
                <c:pt idx="43">
                  <c:v>29.6</c:v>
                </c:pt>
                <c:pt idx="44">
                  <c:v>9.14</c:v>
                </c:pt>
                <c:pt idx="45">
                  <c:v>79.2</c:v>
                </c:pt>
                <c:pt idx="46">
                  <c:v>133</c:v>
                </c:pt>
                <c:pt idx="47">
                  <c:v>67</c:v>
                </c:pt>
                <c:pt idx="48">
                  <c:v>97</c:v>
                </c:pt>
                <c:pt idx="49">
                  <c:v>30.5</c:v>
                </c:pt>
                <c:pt idx="50">
                  <c:v>32.799999999999997</c:v>
                </c:pt>
                <c:pt idx="51">
                  <c:v>14.2</c:v>
                </c:pt>
                <c:pt idx="52">
                  <c:v>41.5</c:v>
                </c:pt>
                <c:pt idx="53">
                  <c:v>165</c:v>
                </c:pt>
                <c:pt idx="54">
                  <c:v>9.3000000000000007</c:v>
                </c:pt>
                <c:pt idx="55">
                  <c:v>30.5</c:v>
                </c:pt>
                <c:pt idx="56">
                  <c:v>16.5</c:v>
                </c:pt>
                <c:pt idx="57">
                  <c:v>88.4</c:v>
                </c:pt>
                <c:pt idx="58">
                  <c:v>70</c:v>
                </c:pt>
                <c:pt idx="59">
                  <c:v>38.9</c:v>
                </c:pt>
                <c:pt idx="60">
                  <c:v>2.29</c:v>
                </c:pt>
                <c:pt idx="61">
                  <c:v>13.3</c:v>
                </c:pt>
                <c:pt idx="62">
                  <c:v>168</c:v>
                </c:pt>
                <c:pt idx="63">
                  <c:v>137</c:v>
                </c:pt>
                <c:pt idx="64">
                  <c:v>15</c:v>
                </c:pt>
                <c:pt idx="65">
                  <c:v>22</c:v>
                </c:pt>
                <c:pt idx="66">
                  <c:v>70.599999999999994</c:v>
                </c:pt>
                <c:pt idx="67">
                  <c:v>14.5</c:v>
                </c:pt>
                <c:pt idx="68" formatCode="0.0_)">
                  <c:v>21</c:v>
                </c:pt>
                <c:pt idx="69">
                  <c:v>225</c:v>
                </c:pt>
                <c:pt idx="70">
                  <c:v>151</c:v>
                </c:pt>
                <c:pt idx="71">
                  <c:v>21</c:v>
                </c:pt>
                <c:pt idx="72">
                  <c:v>26.2</c:v>
                </c:pt>
                <c:pt idx="73">
                  <c:v>16.5</c:v>
                </c:pt>
                <c:pt idx="74">
                  <c:v>35.4</c:v>
                </c:pt>
                <c:pt idx="75" formatCode="0.0_)">
                  <c:v>29</c:v>
                </c:pt>
                <c:pt idx="76">
                  <c:v>19.8</c:v>
                </c:pt>
              </c:numCache>
            </c:numRef>
          </c:yVal>
          <c:smooth val="0"/>
          <c:extLst>
            <c:ext xmlns:c16="http://schemas.microsoft.com/office/drawing/2014/chart" uri="{C3380CC4-5D6E-409C-BE32-E72D297353CC}">
              <c16:uniqueId val="{00000000-DA7B-4A85-8D94-066B5D26A6F0}"/>
            </c:ext>
          </c:extLst>
        </c:ser>
        <c:ser>
          <c:idx val="1"/>
          <c:order val="1"/>
          <c:tx>
            <c:v>MacDonald</c:v>
          </c:tx>
          <c:spPr>
            <a:ln w="28575">
              <a:noFill/>
            </a:ln>
          </c:spPr>
          <c:xVal>
            <c:numRef>
              <c:f>'Dam Regression Equations'!$E$10</c:f>
              <c:numCache>
                <c:formatCode>#,##0</c:formatCode>
                <c:ptCount val="1"/>
                <c:pt idx="0">
                  <c:v>117758544.5</c:v>
                </c:pt>
              </c:numCache>
            </c:numRef>
          </c:xVal>
          <c:yVal>
            <c:numRef>
              <c:f>'Dam Regression Equations'!$E$24</c:f>
              <c:numCache>
                <c:formatCode>#,##0</c:formatCode>
                <c:ptCount val="1"/>
                <c:pt idx="0">
                  <c:v>64.968195619041893</c:v>
                </c:pt>
              </c:numCache>
            </c:numRef>
          </c:yVal>
          <c:smooth val="0"/>
          <c:extLst>
            <c:ext xmlns:c16="http://schemas.microsoft.com/office/drawing/2014/chart" uri="{C3380CC4-5D6E-409C-BE32-E72D297353CC}">
              <c16:uniqueId val="{00000001-DA7B-4A85-8D94-066B5D26A6F0}"/>
            </c:ext>
          </c:extLst>
        </c:ser>
        <c:ser>
          <c:idx val="3"/>
          <c:order val="2"/>
          <c:tx>
            <c:v>Froehlich1995</c:v>
          </c:tx>
          <c:spPr>
            <a:ln w="28575">
              <a:noFill/>
            </a:ln>
          </c:spPr>
          <c:xVal>
            <c:numRef>
              <c:f>'Dam Regression Equations'!$E$10</c:f>
              <c:numCache>
                <c:formatCode>#,##0</c:formatCode>
                <c:ptCount val="1"/>
                <c:pt idx="0">
                  <c:v>117758544.5</c:v>
                </c:pt>
              </c:numCache>
            </c:numRef>
          </c:xVal>
          <c:yVal>
            <c:numRef>
              <c:f>'Dam Regression Equations'!$E$29</c:f>
              <c:numCache>
                <c:formatCode>#,##0</c:formatCode>
                <c:ptCount val="1"/>
                <c:pt idx="0">
                  <c:v>147.52499401359901</c:v>
                </c:pt>
              </c:numCache>
            </c:numRef>
          </c:yVal>
          <c:smooth val="0"/>
          <c:extLst>
            <c:ext xmlns:c16="http://schemas.microsoft.com/office/drawing/2014/chart" uri="{C3380CC4-5D6E-409C-BE32-E72D297353CC}">
              <c16:uniqueId val="{00000002-DA7B-4A85-8D94-066B5D26A6F0}"/>
            </c:ext>
          </c:extLst>
        </c:ser>
        <c:ser>
          <c:idx val="4"/>
          <c:order val="3"/>
          <c:tx>
            <c:v>Froehlich2008</c:v>
          </c:tx>
          <c:spPr>
            <a:ln w="28575">
              <a:noFill/>
            </a:ln>
          </c:spPr>
          <c:xVal>
            <c:numRef>
              <c:f>'Dam Regression Equations'!$E$10</c:f>
              <c:numCache>
                <c:formatCode>#,##0</c:formatCode>
                <c:ptCount val="1"/>
                <c:pt idx="0">
                  <c:v>117758544.5</c:v>
                </c:pt>
              </c:numCache>
            </c:numRef>
          </c:xVal>
          <c:yVal>
            <c:numRef>
              <c:f>'Dam Regression Equations'!$E$36</c:f>
              <c:numCache>
                <c:formatCode>#,##0</c:formatCode>
                <c:ptCount val="1"/>
                <c:pt idx="0">
                  <c:v>121.22357543816383</c:v>
                </c:pt>
              </c:numCache>
            </c:numRef>
          </c:yVal>
          <c:smooth val="0"/>
          <c:extLst>
            <c:ext xmlns:c16="http://schemas.microsoft.com/office/drawing/2014/chart" uri="{C3380CC4-5D6E-409C-BE32-E72D297353CC}">
              <c16:uniqueId val="{00000003-DA7B-4A85-8D94-066B5D26A6F0}"/>
            </c:ext>
          </c:extLst>
        </c:ser>
        <c:ser>
          <c:idx val="5"/>
          <c:order val="4"/>
          <c:tx>
            <c:v>Von Thun</c:v>
          </c:tx>
          <c:spPr>
            <a:ln w="28575">
              <a:noFill/>
            </a:ln>
          </c:spPr>
          <c:xVal>
            <c:numRef>
              <c:f>'Dam Regression Equations'!$E$10</c:f>
              <c:numCache>
                <c:formatCode>#,##0</c:formatCode>
                <c:ptCount val="1"/>
                <c:pt idx="0">
                  <c:v>117758544.5</c:v>
                </c:pt>
              </c:numCache>
            </c:numRef>
          </c:xVal>
          <c:yVal>
            <c:numRef>
              <c:f>'Dam Regression Equations'!$E$43</c:f>
              <c:numCache>
                <c:formatCode>#,##0</c:formatCode>
                <c:ptCount val="1"/>
                <c:pt idx="0">
                  <c:v>191.50584000000003</c:v>
                </c:pt>
              </c:numCache>
            </c:numRef>
          </c:yVal>
          <c:smooth val="0"/>
          <c:extLst>
            <c:ext xmlns:c16="http://schemas.microsoft.com/office/drawing/2014/chart" uri="{C3380CC4-5D6E-409C-BE32-E72D297353CC}">
              <c16:uniqueId val="{00000004-DA7B-4A85-8D94-066B5D26A6F0}"/>
            </c:ext>
          </c:extLst>
        </c:ser>
        <c:dLbls>
          <c:showLegendKey val="0"/>
          <c:showVal val="0"/>
          <c:showCatName val="0"/>
          <c:showSerName val="0"/>
          <c:showPercent val="0"/>
          <c:showBubbleSize val="0"/>
        </c:dLbls>
        <c:axId val="445067176"/>
        <c:axId val="650997784"/>
      </c:scatterChart>
      <c:valAx>
        <c:axId val="445067176"/>
        <c:scaling>
          <c:logBase val="10"/>
          <c:orientation val="minMax"/>
        </c:scaling>
        <c:delete val="0"/>
        <c:axPos val="b"/>
        <c:majorGridlines>
          <c:spPr>
            <a:ln>
              <a:solidFill>
                <a:sysClr val="window" lastClr="FFFFFF">
                  <a:lumMod val="85000"/>
                </a:sysClr>
              </a:solidFill>
            </a:ln>
          </c:spPr>
        </c:majorGridlines>
        <c:title>
          <c:tx>
            <c:rich>
              <a:bodyPr/>
              <a:lstStyle/>
              <a:p>
                <a:pPr>
                  <a:defRPr sz="2000"/>
                </a:pPr>
                <a:r>
                  <a:rPr lang="en-US" sz="2000"/>
                  <a:t>Vw (m^3)</a:t>
                </a:r>
              </a:p>
            </c:rich>
          </c:tx>
          <c:layout>
            <c:manualLayout>
              <c:xMode val="edge"/>
              <c:yMode val="edge"/>
              <c:x val="0.44229894970244488"/>
              <c:y val="0.90590722355357767"/>
            </c:manualLayout>
          </c:layout>
          <c:overlay val="0"/>
        </c:title>
        <c:numFmt formatCode="0E+##" sourceLinked="0"/>
        <c:majorTickMark val="out"/>
        <c:minorTickMark val="none"/>
        <c:tickLblPos val="nextTo"/>
        <c:txPr>
          <a:bodyPr/>
          <a:lstStyle/>
          <a:p>
            <a:pPr>
              <a:defRPr sz="1400"/>
            </a:pPr>
            <a:endParaRPr lang="en-US"/>
          </a:p>
        </c:txPr>
        <c:crossAx val="650997784"/>
        <c:crossesAt val="0.1"/>
        <c:crossBetween val="midCat"/>
      </c:valAx>
      <c:valAx>
        <c:axId val="650997784"/>
        <c:scaling>
          <c:logBase val="10"/>
          <c:orientation val="minMax"/>
          <c:max val="10000"/>
        </c:scaling>
        <c:delete val="0"/>
        <c:axPos val="l"/>
        <c:majorGridlines>
          <c:spPr>
            <a:ln>
              <a:solidFill>
                <a:sysClr val="window" lastClr="FFFFFF">
                  <a:lumMod val="85000"/>
                </a:sysClr>
              </a:solidFill>
            </a:ln>
          </c:spPr>
        </c:majorGridlines>
        <c:title>
          <c:tx>
            <c:rich>
              <a:bodyPr rot="0" vert="horz"/>
              <a:lstStyle/>
              <a:p>
                <a:pPr>
                  <a:defRPr sz="2000"/>
                </a:pPr>
                <a:r>
                  <a:rPr lang="en-US" sz="2000"/>
                  <a:t>B</a:t>
                </a:r>
                <a:r>
                  <a:rPr lang="en-US" sz="1800"/>
                  <a:t>avg</a:t>
                </a:r>
                <a:r>
                  <a:rPr lang="en-US" sz="2000"/>
                  <a:t> </a:t>
                </a:r>
              </a:p>
            </c:rich>
          </c:tx>
          <c:layout>
            <c:manualLayout>
              <c:xMode val="edge"/>
              <c:yMode val="edge"/>
              <c:x val="1.2585200193426018E-2"/>
              <c:y val="0.52260132199194165"/>
            </c:manualLayout>
          </c:layout>
          <c:overlay val="0"/>
        </c:title>
        <c:numFmt formatCode="0E+##" sourceLinked="0"/>
        <c:majorTickMark val="out"/>
        <c:minorTickMark val="none"/>
        <c:tickLblPos val="nextTo"/>
        <c:txPr>
          <a:bodyPr/>
          <a:lstStyle/>
          <a:p>
            <a:pPr>
              <a:defRPr sz="1400"/>
            </a:pPr>
            <a:endParaRPr lang="en-US"/>
          </a:p>
        </c:txPr>
        <c:crossAx val="445067176"/>
        <c:crosses val="autoZero"/>
        <c:crossBetween val="midCat"/>
      </c:valAx>
    </c:plotArea>
    <c:legend>
      <c:legendPos val="b"/>
      <c:overlay val="0"/>
      <c:spPr>
        <a:solidFill>
          <a:schemeClr val="bg1"/>
        </a:solidFill>
        <a:ln>
          <a:solidFill>
            <a:srgbClr val="4F81BD"/>
          </a:solidFill>
        </a:ln>
      </c:spPr>
      <c:txPr>
        <a:bodyPr/>
        <a:lstStyle/>
        <a:p>
          <a:pPr>
            <a:defRPr sz="1400" b="1"/>
          </a:pPr>
          <a:endParaRPr lang="en-US"/>
        </a:p>
      </c:txPr>
    </c:legend>
    <c:plotVisOnly val="1"/>
    <c:dispBlanksAs val="gap"/>
    <c:showDLblsOverMax val="0"/>
  </c:chart>
  <c:printSettings>
    <c:headerFooter/>
    <c:pageMargins b="0.75000000000000178" l="0.70000000000000062" r="0.70000000000000062" t="0.75000000000000178"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Breach Width vs Water Height</a:t>
            </a:r>
          </a:p>
        </c:rich>
      </c:tx>
      <c:overlay val="1"/>
    </c:title>
    <c:autoTitleDeleted val="0"/>
    <c:plotArea>
      <c:layout>
        <c:manualLayout>
          <c:layoutTarget val="inner"/>
          <c:xMode val="edge"/>
          <c:yMode val="edge"/>
          <c:x val="0.10974525838511873"/>
          <c:y val="0.1277046743622379"/>
          <c:w val="0.82559561160253614"/>
          <c:h val="0.74423597123487706"/>
        </c:manualLayout>
      </c:layout>
      <c:scatterChart>
        <c:scatterStyle val="lineMarker"/>
        <c:varyColors val="0"/>
        <c:ser>
          <c:idx val="0"/>
          <c:order val="0"/>
          <c:tx>
            <c:v>Historic Dam Failures</c:v>
          </c:tx>
          <c:spPr>
            <a:ln w="28575">
              <a:noFill/>
            </a:ln>
          </c:spPr>
          <c:xVal>
            <c:numRef>
              <c:f>'Filtered Data &amp; Plots'!$U$8:$U$84</c:f>
              <c:numCache>
                <c:formatCode>General</c:formatCode>
                <c:ptCount val="77"/>
                <c:pt idx="0">
                  <c:v>28</c:v>
                </c:pt>
                <c:pt idx="1">
                  <c:v>12.2</c:v>
                </c:pt>
                <c:pt idx="2">
                  <c:v>5.79</c:v>
                </c:pt>
                <c:pt idx="3">
                  <c:v>6.1</c:v>
                </c:pt>
                <c:pt idx="4">
                  <c:v>14.02</c:v>
                </c:pt>
                <c:pt idx="5">
                  <c:v>3.05</c:v>
                </c:pt>
                <c:pt idx="6">
                  <c:v>7.16</c:v>
                </c:pt>
                <c:pt idx="7">
                  <c:v>21.6</c:v>
                </c:pt>
                <c:pt idx="8">
                  <c:v>11.1</c:v>
                </c:pt>
                <c:pt idx="9">
                  <c:v>4.05</c:v>
                </c:pt>
                <c:pt idx="10">
                  <c:v>11</c:v>
                </c:pt>
                <c:pt idx="11">
                  <c:v>9.8000000000000007</c:v>
                </c:pt>
                <c:pt idx="12">
                  <c:v>9.44</c:v>
                </c:pt>
                <c:pt idx="13">
                  <c:v>6.55</c:v>
                </c:pt>
                <c:pt idx="14">
                  <c:v>11.1</c:v>
                </c:pt>
                <c:pt idx="15">
                  <c:v>8.23</c:v>
                </c:pt>
                <c:pt idx="16">
                  <c:v>8.5299999999999994</c:v>
                </c:pt>
                <c:pt idx="17">
                  <c:v>10.8</c:v>
                </c:pt>
                <c:pt idx="18">
                  <c:v>1.37</c:v>
                </c:pt>
                <c:pt idx="19">
                  <c:v>6.4</c:v>
                </c:pt>
                <c:pt idx="20">
                  <c:v>2.99</c:v>
                </c:pt>
                <c:pt idx="21">
                  <c:v>10.7</c:v>
                </c:pt>
                <c:pt idx="22">
                  <c:v>16.8</c:v>
                </c:pt>
                <c:pt idx="23">
                  <c:v>35.1</c:v>
                </c:pt>
                <c:pt idx="24">
                  <c:v>7.01</c:v>
                </c:pt>
                <c:pt idx="25">
                  <c:v>4.42</c:v>
                </c:pt>
                <c:pt idx="26">
                  <c:v>4.42</c:v>
                </c:pt>
                <c:pt idx="27">
                  <c:v>3.81</c:v>
                </c:pt>
                <c:pt idx="28">
                  <c:v>20.100000000000001</c:v>
                </c:pt>
                <c:pt idx="29">
                  <c:v>3.05</c:v>
                </c:pt>
                <c:pt idx="30">
                  <c:v>24.6</c:v>
                </c:pt>
                <c:pt idx="31">
                  <c:v>11.3</c:v>
                </c:pt>
                <c:pt idx="32">
                  <c:v>3.66</c:v>
                </c:pt>
                <c:pt idx="33">
                  <c:v>7.9</c:v>
                </c:pt>
                <c:pt idx="34">
                  <c:v>13.7</c:v>
                </c:pt>
                <c:pt idx="35">
                  <c:v>14</c:v>
                </c:pt>
                <c:pt idx="36">
                  <c:v>6.71</c:v>
                </c:pt>
                <c:pt idx="37">
                  <c:v>6.25</c:v>
                </c:pt>
                <c:pt idx="38" formatCode="0.00_)">
                  <c:v>9</c:v>
                </c:pt>
                <c:pt idx="39">
                  <c:v>12.8</c:v>
                </c:pt>
                <c:pt idx="40">
                  <c:v>14.1</c:v>
                </c:pt>
                <c:pt idx="41">
                  <c:v>6.71</c:v>
                </c:pt>
                <c:pt idx="42">
                  <c:v>3.35</c:v>
                </c:pt>
                <c:pt idx="43">
                  <c:v>22.9</c:v>
                </c:pt>
                <c:pt idx="44">
                  <c:v>3.17</c:v>
                </c:pt>
                <c:pt idx="45">
                  <c:v>5.79</c:v>
                </c:pt>
                <c:pt idx="46">
                  <c:v>39.6</c:v>
                </c:pt>
                <c:pt idx="47">
                  <c:v>11.3</c:v>
                </c:pt>
                <c:pt idx="48">
                  <c:v>16.2</c:v>
                </c:pt>
                <c:pt idx="49">
                  <c:v>11.6</c:v>
                </c:pt>
                <c:pt idx="50">
                  <c:v>7.92</c:v>
                </c:pt>
                <c:pt idx="51">
                  <c:v>3.44</c:v>
                </c:pt>
                <c:pt idx="52">
                  <c:v>4.41</c:v>
                </c:pt>
                <c:pt idx="53">
                  <c:v>35.799999999999997</c:v>
                </c:pt>
                <c:pt idx="54">
                  <c:v>5</c:v>
                </c:pt>
                <c:pt idx="55">
                  <c:v>8.08</c:v>
                </c:pt>
                <c:pt idx="56">
                  <c:v>7.77</c:v>
                </c:pt>
                <c:pt idx="57">
                  <c:v>1.68</c:v>
                </c:pt>
                <c:pt idx="58">
                  <c:v>16.7</c:v>
                </c:pt>
                <c:pt idx="59">
                  <c:v>10</c:v>
                </c:pt>
                <c:pt idx="60">
                  <c:v>3.66</c:v>
                </c:pt>
                <c:pt idx="61">
                  <c:v>4.57</c:v>
                </c:pt>
                <c:pt idx="62" formatCode="0.00_)">
                  <c:v>38.4</c:v>
                </c:pt>
                <c:pt idx="63">
                  <c:v>30.5</c:v>
                </c:pt>
                <c:pt idx="64">
                  <c:v>10.4</c:v>
                </c:pt>
                <c:pt idx="65" formatCode="0.00_)">
                  <c:v>14.02</c:v>
                </c:pt>
                <c:pt idx="66" formatCode="0.00_)">
                  <c:v>21.34</c:v>
                </c:pt>
                <c:pt idx="67" formatCode="0.00_)">
                  <c:v>5.49</c:v>
                </c:pt>
                <c:pt idx="68">
                  <c:v>5.55</c:v>
                </c:pt>
                <c:pt idx="69">
                  <c:v>47.8536</c:v>
                </c:pt>
                <c:pt idx="70">
                  <c:v>77.400000000000006</c:v>
                </c:pt>
                <c:pt idx="71">
                  <c:v>5.18</c:v>
                </c:pt>
                <c:pt idx="72">
                  <c:v>8.5299999999999994</c:v>
                </c:pt>
                <c:pt idx="73">
                  <c:v>5.18</c:v>
                </c:pt>
                <c:pt idx="74">
                  <c:v>12.2</c:v>
                </c:pt>
                <c:pt idx="75">
                  <c:v>3.57</c:v>
                </c:pt>
                <c:pt idx="76">
                  <c:v>6.4</c:v>
                </c:pt>
              </c:numCache>
            </c:numRef>
          </c:xVal>
          <c:yVal>
            <c:numRef>
              <c:f>'Filtered Data &amp; Plots'!$AA$8:$AA$84</c:f>
              <c:numCache>
                <c:formatCode>General</c:formatCode>
                <c:ptCount val="77"/>
                <c:pt idx="0">
                  <c:v>93</c:v>
                </c:pt>
                <c:pt idx="1">
                  <c:v>25</c:v>
                </c:pt>
                <c:pt idx="2">
                  <c:v>12.2</c:v>
                </c:pt>
                <c:pt idx="3">
                  <c:v>4.72</c:v>
                </c:pt>
                <c:pt idx="4">
                  <c:v>125</c:v>
                </c:pt>
                <c:pt idx="5">
                  <c:v>12.5</c:v>
                </c:pt>
                <c:pt idx="6">
                  <c:v>62.5</c:v>
                </c:pt>
                <c:pt idx="7">
                  <c:v>44.2</c:v>
                </c:pt>
                <c:pt idx="8">
                  <c:v>35.1</c:v>
                </c:pt>
                <c:pt idx="9">
                  <c:v>22.8</c:v>
                </c:pt>
                <c:pt idx="10">
                  <c:v>42.7</c:v>
                </c:pt>
                <c:pt idx="11">
                  <c:v>17.2</c:v>
                </c:pt>
                <c:pt idx="12">
                  <c:v>36.6</c:v>
                </c:pt>
                <c:pt idx="13">
                  <c:v>10.8</c:v>
                </c:pt>
                <c:pt idx="14">
                  <c:v>7.62</c:v>
                </c:pt>
                <c:pt idx="15">
                  <c:v>6.9</c:v>
                </c:pt>
                <c:pt idx="16">
                  <c:v>27.4</c:v>
                </c:pt>
                <c:pt idx="17">
                  <c:v>54.6</c:v>
                </c:pt>
                <c:pt idx="18">
                  <c:v>26.4</c:v>
                </c:pt>
                <c:pt idx="19">
                  <c:v>19</c:v>
                </c:pt>
                <c:pt idx="20">
                  <c:v>10.7</c:v>
                </c:pt>
                <c:pt idx="21">
                  <c:v>73.900000000000006</c:v>
                </c:pt>
                <c:pt idx="22">
                  <c:v>151</c:v>
                </c:pt>
                <c:pt idx="23">
                  <c:v>121</c:v>
                </c:pt>
                <c:pt idx="24">
                  <c:v>73.099999999999994</c:v>
                </c:pt>
                <c:pt idx="25">
                  <c:v>33.4</c:v>
                </c:pt>
                <c:pt idx="26">
                  <c:v>16.8</c:v>
                </c:pt>
                <c:pt idx="27">
                  <c:v>13.5</c:v>
                </c:pt>
                <c:pt idx="28">
                  <c:v>17.5</c:v>
                </c:pt>
                <c:pt idx="29">
                  <c:v>8.23</c:v>
                </c:pt>
                <c:pt idx="30">
                  <c:v>94.5</c:v>
                </c:pt>
                <c:pt idx="31">
                  <c:v>27.3</c:v>
                </c:pt>
                <c:pt idx="32">
                  <c:v>14.5</c:v>
                </c:pt>
                <c:pt idx="33">
                  <c:v>58.8</c:v>
                </c:pt>
                <c:pt idx="34">
                  <c:v>130</c:v>
                </c:pt>
                <c:pt idx="35">
                  <c:v>18.899999999999999</c:v>
                </c:pt>
                <c:pt idx="36">
                  <c:v>16.8</c:v>
                </c:pt>
                <c:pt idx="37">
                  <c:v>39.200000000000003</c:v>
                </c:pt>
                <c:pt idx="38">
                  <c:v>47.2</c:v>
                </c:pt>
                <c:pt idx="39">
                  <c:v>7.62</c:v>
                </c:pt>
                <c:pt idx="40">
                  <c:v>35.1</c:v>
                </c:pt>
                <c:pt idx="41">
                  <c:v>22.2</c:v>
                </c:pt>
                <c:pt idx="42">
                  <c:v>10.8</c:v>
                </c:pt>
                <c:pt idx="43">
                  <c:v>29.6</c:v>
                </c:pt>
                <c:pt idx="44">
                  <c:v>9.14</c:v>
                </c:pt>
                <c:pt idx="45">
                  <c:v>79.2</c:v>
                </c:pt>
                <c:pt idx="46">
                  <c:v>133</c:v>
                </c:pt>
                <c:pt idx="47">
                  <c:v>67</c:v>
                </c:pt>
                <c:pt idx="48">
                  <c:v>97</c:v>
                </c:pt>
                <c:pt idx="49">
                  <c:v>30.5</c:v>
                </c:pt>
                <c:pt idx="50">
                  <c:v>32.799999999999997</c:v>
                </c:pt>
                <c:pt idx="51">
                  <c:v>14.2</c:v>
                </c:pt>
                <c:pt idx="52">
                  <c:v>41.5</c:v>
                </c:pt>
                <c:pt idx="53">
                  <c:v>165</c:v>
                </c:pt>
                <c:pt idx="54">
                  <c:v>9.3000000000000007</c:v>
                </c:pt>
                <c:pt idx="55">
                  <c:v>30.5</c:v>
                </c:pt>
                <c:pt idx="56">
                  <c:v>16.5</c:v>
                </c:pt>
                <c:pt idx="57">
                  <c:v>88.4</c:v>
                </c:pt>
                <c:pt idx="58">
                  <c:v>70</c:v>
                </c:pt>
                <c:pt idx="59">
                  <c:v>38.9</c:v>
                </c:pt>
                <c:pt idx="60">
                  <c:v>2.29</c:v>
                </c:pt>
                <c:pt idx="61">
                  <c:v>13.3</c:v>
                </c:pt>
                <c:pt idx="62">
                  <c:v>168</c:v>
                </c:pt>
                <c:pt idx="63">
                  <c:v>137</c:v>
                </c:pt>
                <c:pt idx="64">
                  <c:v>15</c:v>
                </c:pt>
                <c:pt idx="65">
                  <c:v>22</c:v>
                </c:pt>
                <c:pt idx="66">
                  <c:v>70.599999999999994</c:v>
                </c:pt>
                <c:pt idx="67">
                  <c:v>14.5</c:v>
                </c:pt>
                <c:pt idx="68" formatCode="0.0_)">
                  <c:v>21</c:v>
                </c:pt>
                <c:pt idx="69">
                  <c:v>225</c:v>
                </c:pt>
                <c:pt idx="70">
                  <c:v>151</c:v>
                </c:pt>
                <c:pt idx="71">
                  <c:v>21</c:v>
                </c:pt>
                <c:pt idx="72">
                  <c:v>26.2</c:v>
                </c:pt>
                <c:pt idx="73">
                  <c:v>16.5</c:v>
                </c:pt>
                <c:pt idx="74">
                  <c:v>35.4</c:v>
                </c:pt>
                <c:pt idx="75" formatCode="0.0_)">
                  <c:v>29</c:v>
                </c:pt>
                <c:pt idx="76">
                  <c:v>19.8</c:v>
                </c:pt>
              </c:numCache>
            </c:numRef>
          </c:yVal>
          <c:smooth val="0"/>
          <c:extLst>
            <c:ext xmlns:c16="http://schemas.microsoft.com/office/drawing/2014/chart" uri="{C3380CC4-5D6E-409C-BE32-E72D297353CC}">
              <c16:uniqueId val="{00000000-8542-486F-A5F8-8CF0B0B74F98}"/>
            </c:ext>
          </c:extLst>
        </c:ser>
        <c:ser>
          <c:idx val="1"/>
          <c:order val="1"/>
          <c:tx>
            <c:v>MacDonald</c:v>
          </c:tx>
          <c:spPr>
            <a:ln w="28575">
              <a:noFill/>
            </a:ln>
          </c:spPr>
          <c:xVal>
            <c:numRef>
              <c:f>'Dam Regression Equations'!$E$11</c:f>
              <c:numCache>
                <c:formatCode>0.00</c:formatCode>
                <c:ptCount val="1"/>
                <c:pt idx="0">
                  <c:v>54.656736000000016</c:v>
                </c:pt>
              </c:numCache>
            </c:numRef>
          </c:xVal>
          <c:yVal>
            <c:numRef>
              <c:f>'Dam Regression Equations'!$E$24</c:f>
              <c:numCache>
                <c:formatCode>#,##0</c:formatCode>
                <c:ptCount val="1"/>
                <c:pt idx="0">
                  <c:v>64.968195619041893</c:v>
                </c:pt>
              </c:numCache>
            </c:numRef>
          </c:yVal>
          <c:smooth val="0"/>
          <c:extLst>
            <c:ext xmlns:c16="http://schemas.microsoft.com/office/drawing/2014/chart" uri="{C3380CC4-5D6E-409C-BE32-E72D297353CC}">
              <c16:uniqueId val="{00000001-8542-486F-A5F8-8CF0B0B74F98}"/>
            </c:ext>
          </c:extLst>
        </c:ser>
        <c:ser>
          <c:idx val="2"/>
          <c:order val="2"/>
          <c:tx>
            <c:v>Froehlich1995</c:v>
          </c:tx>
          <c:spPr>
            <a:ln w="28575">
              <a:noFill/>
            </a:ln>
          </c:spPr>
          <c:xVal>
            <c:numRef>
              <c:f>'Dam Regression Equations'!$E$11</c:f>
              <c:numCache>
                <c:formatCode>0.00</c:formatCode>
                <c:ptCount val="1"/>
                <c:pt idx="0">
                  <c:v>54.656736000000016</c:v>
                </c:pt>
              </c:numCache>
            </c:numRef>
          </c:xVal>
          <c:yVal>
            <c:numRef>
              <c:f>'Dam Regression Equations'!$E$29</c:f>
              <c:numCache>
                <c:formatCode>#,##0</c:formatCode>
                <c:ptCount val="1"/>
                <c:pt idx="0">
                  <c:v>147.52499401359901</c:v>
                </c:pt>
              </c:numCache>
            </c:numRef>
          </c:yVal>
          <c:smooth val="0"/>
          <c:extLst>
            <c:ext xmlns:c16="http://schemas.microsoft.com/office/drawing/2014/chart" uri="{C3380CC4-5D6E-409C-BE32-E72D297353CC}">
              <c16:uniqueId val="{00000002-8542-486F-A5F8-8CF0B0B74F98}"/>
            </c:ext>
          </c:extLst>
        </c:ser>
        <c:ser>
          <c:idx val="3"/>
          <c:order val="3"/>
          <c:tx>
            <c:v>Froehlich2008</c:v>
          </c:tx>
          <c:spPr>
            <a:ln w="28575">
              <a:noFill/>
            </a:ln>
          </c:spPr>
          <c:xVal>
            <c:numRef>
              <c:f>'Dam Regression Equations'!$E$11</c:f>
              <c:numCache>
                <c:formatCode>0.00</c:formatCode>
                <c:ptCount val="1"/>
                <c:pt idx="0">
                  <c:v>54.656736000000016</c:v>
                </c:pt>
              </c:numCache>
            </c:numRef>
          </c:xVal>
          <c:yVal>
            <c:numRef>
              <c:f>'Dam Regression Equations'!$E$36</c:f>
              <c:numCache>
                <c:formatCode>#,##0</c:formatCode>
                <c:ptCount val="1"/>
                <c:pt idx="0">
                  <c:v>121.22357543816383</c:v>
                </c:pt>
              </c:numCache>
            </c:numRef>
          </c:yVal>
          <c:smooth val="0"/>
          <c:extLst>
            <c:ext xmlns:c16="http://schemas.microsoft.com/office/drawing/2014/chart" uri="{C3380CC4-5D6E-409C-BE32-E72D297353CC}">
              <c16:uniqueId val="{00000003-8542-486F-A5F8-8CF0B0B74F98}"/>
            </c:ext>
          </c:extLst>
        </c:ser>
        <c:ser>
          <c:idx val="4"/>
          <c:order val="4"/>
          <c:tx>
            <c:v>Von Thun</c:v>
          </c:tx>
          <c:spPr>
            <a:ln w="28575">
              <a:noFill/>
            </a:ln>
          </c:spPr>
          <c:xVal>
            <c:numRef>
              <c:f>'Dam Regression Equations'!$E$11</c:f>
              <c:numCache>
                <c:formatCode>0.00</c:formatCode>
                <c:ptCount val="1"/>
                <c:pt idx="0">
                  <c:v>54.656736000000016</c:v>
                </c:pt>
              </c:numCache>
            </c:numRef>
          </c:xVal>
          <c:yVal>
            <c:numRef>
              <c:f>'Dam Regression Equations'!$E$43</c:f>
              <c:numCache>
                <c:formatCode>#,##0</c:formatCode>
                <c:ptCount val="1"/>
                <c:pt idx="0">
                  <c:v>191.50584000000003</c:v>
                </c:pt>
              </c:numCache>
            </c:numRef>
          </c:yVal>
          <c:smooth val="0"/>
          <c:extLst>
            <c:ext xmlns:c16="http://schemas.microsoft.com/office/drawing/2014/chart" uri="{C3380CC4-5D6E-409C-BE32-E72D297353CC}">
              <c16:uniqueId val="{00000004-8542-486F-A5F8-8CF0B0B74F98}"/>
            </c:ext>
          </c:extLst>
        </c:ser>
        <c:dLbls>
          <c:showLegendKey val="0"/>
          <c:showVal val="0"/>
          <c:showCatName val="0"/>
          <c:showSerName val="0"/>
          <c:showPercent val="0"/>
          <c:showBubbleSize val="0"/>
        </c:dLbls>
        <c:axId val="650998960"/>
        <c:axId val="650996608"/>
      </c:scatterChart>
      <c:valAx>
        <c:axId val="650998960"/>
        <c:scaling>
          <c:logBase val="10"/>
          <c:orientation val="minMax"/>
        </c:scaling>
        <c:delete val="0"/>
        <c:axPos val="b"/>
        <c:title>
          <c:tx>
            <c:rich>
              <a:bodyPr/>
              <a:lstStyle/>
              <a:p>
                <a:pPr>
                  <a:defRPr/>
                </a:pPr>
                <a:r>
                  <a:rPr lang="en-US" sz="2000"/>
                  <a:t>Hw </a:t>
                </a:r>
                <a:endParaRPr lang="en-US"/>
              </a:p>
            </c:rich>
          </c:tx>
          <c:layout>
            <c:manualLayout>
              <c:xMode val="edge"/>
              <c:yMode val="edge"/>
              <c:x val="0.48653417034210938"/>
              <c:y val="0.91129921259842506"/>
            </c:manualLayout>
          </c:layout>
          <c:overlay val="0"/>
        </c:title>
        <c:numFmt formatCode="0E+##" sourceLinked="0"/>
        <c:majorTickMark val="out"/>
        <c:minorTickMark val="none"/>
        <c:tickLblPos val="nextTo"/>
        <c:txPr>
          <a:bodyPr/>
          <a:lstStyle/>
          <a:p>
            <a:pPr>
              <a:defRPr sz="1400"/>
            </a:pPr>
            <a:endParaRPr lang="en-US"/>
          </a:p>
        </c:txPr>
        <c:crossAx val="650996608"/>
        <c:crossesAt val="0.1"/>
        <c:crossBetween val="midCat"/>
      </c:valAx>
      <c:valAx>
        <c:axId val="650996608"/>
        <c:scaling>
          <c:logBase val="10"/>
          <c:orientation val="minMax"/>
        </c:scaling>
        <c:delete val="0"/>
        <c:axPos val="l"/>
        <c:majorGridlines/>
        <c:title>
          <c:tx>
            <c:rich>
              <a:bodyPr rot="0" vert="horz"/>
              <a:lstStyle/>
              <a:p>
                <a:pPr>
                  <a:defRPr sz="2000"/>
                </a:pPr>
                <a:r>
                  <a:rPr lang="en-US" sz="2000"/>
                  <a:t>Bavg </a:t>
                </a:r>
              </a:p>
            </c:rich>
          </c:tx>
          <c:layout>
            <c:manualLayout>
              <c:xMode val="edge"/>
              <c:yMode val="edge"/>
              <c:x val="2.7986220472441016E-2"/>
              <c:y val="0.4655538690193855"/>
            </c:manualLayout>
          </c:layout>
          <c:overlay val="0"/>
        </c:title>
        <c:numFmt formatCode="0E+##" sourceLinked="0"/>
        <c:majorTickMark val="out"/>
        <c:minorTickMark val="none"/>
        <c:tickLblPos val="nextTo"/>
        <c:txPr>
          <a:bodyPr/>
          <a:lstStyle/>
          <a:p>
            <a:pPr>
              <a:defRPr sz="1400"/>
            </a:pPr>
            <a:endParaRPr lang="en-US"/>
          </a:p>
        </c:txPr>
        <c:crossAx val="650998960"/>
        <c:crossesAt val="0.1"/>
        <c:crossBetween val="midCat"/>
      </c:valAx>
    </c:plotArea>
    <c:legend>
      <c:legendPos val="b"/>
      <c:overlay val="0"/>
      <c:spPr>
        <a:solidFill>
          <a:sysClr val="window" lastClr="FFFFFF"/>
        </a:solidFill>
        <a:ln>
          <a:solidFill>
            <a:srgbClr val="4F81BD"/>
          </a:solidFill>
        </a:ln>
      </c:spPr>
      <c:txPr>
        <a:bodyPr/>
        <a:lstStyle/>
        <a:p>
          <a:pPr>
            <a:defRPr sz="1600" b="1"/>
          </a:pPr>
          <a:endParaRPr lang="en-US"/>
        </a:p>
      </c:txPr>
    </c:legend>
    <c:plotVisOnly val="1"/>
    <c:dispBlanksAs val="gap"/>
    <c:showDLblsOverMax val="0"/>
  </c:chart>
  <c:printSettings>
    <c:headerFooter/>
    <c:pageMargins b="0.750000000000002" l="0.70000000000000062" r="0.70000000000000062" t="0.750000000000002"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Formation</a:t>
            </a:r>
            <a:r>
              <a:rPr lang="en-US" sz="2400" baseline="0"/>
              <a:t> Time</a:t>
            </a:r>
            <a:r>
              <a:rPr lang="en-US" sz="2400"/>
              <a:t> vs </a:t>
            </a:r>
          </a:p>
          <a:p>
            <a:pPr>
              <a:defRPr sz="2400"/>
            </a:pPr>
            <a:r>
              <a:rPr lang="en-US" sz="2400"/>
              <a:t>Water</a:t>
            </a:r>
            <a:r>
              <a:rPr lang="en-US" sz="2400" baseline="0"/>
              <a:t> Height</a:t>
            </a:r>
            <a:endParaRPr lang="en-US" sz="2400"/>
          </a:p>
        </c:rich>
      </c:tx>
      <c:overlay val="1"/>
    </c:title>
    <c:autoTitleDeleted val="0"/>
    <c:plotArea>
      <c:layout>
        <c:manualLayout>
          <c:layoutTarget val="inner"/>
          <c:xMode val="edge"/>
          <c:yMode val="edge"/>
          <c:x val="0.13237653492670318"/>
          <c:y val="0.13914743415693806"/>
          <c:w val="0.81968544446413838"/>
          <c:h val="0.73326503804918386"/>
        </c:manualLayout>
      </c:layout>
      <c:scatterChart>
        <c:scatterStyle val="lineMarker"/>
        <c:varyColors val="0"/>
        <c:ser>
          <c:idx val="0"/>
          <c:order val="0"/>
          <c:tx>
            <c:v>Historic Dam Failures</c:v>
          </c:tx>
          <c:spPr>
            <a:ln w="28575">
              <a:noFill/>
            </a:ln>
          </c:spPr>
          <c:xVal>
            <c:numRef>
              <c:f>'Filtered Data &amp; Plots'!$U$8:$U$84</c:f>
              <c:numCache>
                <c:formatCode>General</c:formatCode>
                <c:ptCount val="77"/>
                <c:pt idx="0">
                  <c:v>28</c:v>
                </c:pt>
                <c:pt idx="1">
                  <c:v>12.2</c:v>
                </c:pt>
                <c:pt idx="2">
                  <c:v>5.79</c:v>
                </c:pt>
                <c:pt idx="3">
                  <c:v>6.1</c:v>
                </c:pt>
                <c:pt idx="4">
                  <c:v>14.02</c:v>
                </c:pt>
                <c:pt idx="5">
                  <c:v>3.05</c:v>
                </c:pt>
                <c:pt idx="6">
                  <c:v>7.16</c:v>
                </c:pt>
                <c:pt idx="7">
                  <c:v>21.6</c:v>
                </c:pt>
                <c:pt idx="8">
                  <c:v>11.1</c:v>
                </c:pt>
                <c:pt idx="9">
                  <c:v>4.05</c:v>
                </c:pt>
                <c:pt idx="10">
                  <c:v>11</c:v>
                </c:pt>
                <c:pt idx="11">
                  <c:v>9.8000000000000007</c:v>
                </c:pt>
                <c:pt idx="12">
                  <c:v>9.44</c:v>
                </c:pt>
                <c:pt idx="13">
                  <c:v>6.55</c:v>
                </c:pt>
                <c:pt idx="14">
                  <c:v>11.1</c:v>
                </c:pt>
                <c:pt idx="15">
                  <c:v>8.23</c:v>
                </c:pt>
                <c:pt idx="16">
                  <c:v>8.5299999999999994</c:v>
                </c:pt>
                <c:pt idx="17">
                  <c:v>10.8</c:v>
                </c:pt>
                <c:pt idx="18">
                  <c:v>1.37</c:v>
                </c:pt>
                <c:pt idx="19">
                  <c:v>6.4</c:v>
                </c:pt>
                <c:pt idx="20">
                  <c:v>2.99</c:v>
                </c:pt>
                <c:pt idx="21">
                  <c:v>10.7</c:v>
                </c:pt>
                <c:pt idx="22">
                  <c:v>16.8</c:v>
                </c:pt>
                <c:pt idx="23">
                  <c:v>35.1</c:v>
                </c:pt>
                <c:pt idx="24">
                  <c:v>7.01</c:v>
                </c:pt>
                <c:pt idx="25">
                  <c:v>4.42</c:v>
                </c:pt>
                <c:pt idx="26">
                  <c:v>4.42</c:v>
                </c:pt>
                <c:pt idx="27">
                  <c:v>3.81</c:v>
                </c:pt>
                <c:pt idx="28">
                  <c:v>20.100000000000001</c:v>
                </c:pt>
                <c:pt idx="29">
                  <c:v>3.05</c:v>
                </c:pt>
                <c:pt idx="30">
                  <c:v>24.6</c:v>
                </c:pt>
                <c:pt idx="31">
                  <c:v>11.3</c:v>
                </c:pt>
                <c:pt idx="32">
                  <c:v>3.66</c:v>
                </c:pt>
                <c:pt idx="33">
                  <c:v>7.9</c:v>
                </c:pt>
                <c:pt idx="34">
                  <c:v>13.7</c:v>
                </c:pt>
                <c:pt idx="35">
                  <c:v>14</c:v>
                </c:pt>
                <c:pt idx="36">
                  <c:v>6.71</c:v>
                </c:pt>
                <c:pt idx="37">
                  <c:v>6.25</c:v>
                </c:pt>
                <c:pt idx="38" formatCode="0.00_)">
                  <c:v>9</c:v>
                </c:pt>
                <c:pt idx="39">
                  <c:v>12.8</c:v>
                </c:pt>
                <c:pt idx="40">
                  <c:v>14.1</c:v>
                </c:pt>
                <c:pt idx="41">
                  <c:v>6.71</c:v>
                </c:pt>
                <c:pt idx="42">
                  <c:v>3.35</c:v>
                </c:pt>
                <c:pt idx="43">
                  <c:v>22.9</c:v>
                </c:pt>
                <c:pt idx="44">
                  <c:v>3.17</c:v>
                </c:pt>
                <c:pt idx="45">
                  <c:v>5.79</c:v>
                </c:pt>
                <c:pt idx="46">
                  <c:v>39.6</c:v>
                </c:pt>
                <c:pt idx="47">
                  <c:v>11.3</c:v>
                </c:pt>
                <c:pt idx="48">
                  <c:v>16.2</c:v>
                </c:pt>
                <c:pt idx="49">
                  <c:v>11.6</c:v>
                </c:pt>
                <c:pt idx="50">
                  <c:v>7.92</c:v>
                </c:pt>
                <c:pt idx="51">
                  <c:v>3.44</c:v>
                </c:pt>
                <c:pt idx="52">
                  <c:v>4.41</c:v>
                </c:pt>
                <c:pt idx="53">
                  <c:v>35.799999999999997</c:v>
                </c:pt>
                <c:pt idx="54">
                  <c:v>5</c:v>
                </c:pt>
                <c:pt idx="55">
                  <c:v>8.08</c:v>
                </c:pt>
                <c:pt idx="56">
                  <c:v>7.77</c:v>
                </c:pt>
                <c:pt idx="57">
                  <c:v>1.68</c:v>
                </c:pt>
                <c:pt idx="58">
                  <c:v>16.7</c:v>
                </c:pt>
                <c:pt idx="59">
                  <c:v>10</c:v>
                </c:pt>
                <c:pt idx="60">
                  <c:v>3.66</c:v>
                </c:pt>
                <c:pt idx="61">
                  <c:v>4.57</c:v>
                </c:pt>
                <c:pt idx="62" formatCode="0.00_)">
                  <c:v>38.4</c:v>
                </c:pt>
                <c:pt idx="63">
                  <c:v>30.5</c:v>
                </c:pt>
                <c:pt idx="64">
                  <c:v>10.4</c:v>
                </c:pt>
                <c:pt idx="65" formatCode="0.00_)">
                  <c:v>14.02</c:v>
                </c:pt>
                <c:pt idx="66" formatCode="0.00_)">
                  <c:v>21.34</c:v>
                </c:pt>
                <c:pt idx="67" formatCode="0.00_)">
                  <c:v>5.49</c:v>
                </c:pt>
                <c:pt idx="68">
                  <c:v>5.55</c:v>
                </c:pt>
                <c:pt idx="69">
                  <c:v>47.8536</c:v>
                </c:pt>
                <c:pt idx="70">
                  <c:v>77.400000000000006</c:v>
                </c:pt>
                <c:pt idx="71">
                  <c:v>5.18</c:v>
                </c:pt>
                <c:pt idx="72">
                  <c:v>8.5299999999999994</c:v>
                </c:pt>
                <c:pt idx="73">
                  <c:v>5.18</c:v>
                </c:pt>
                <c:pt idx="74">
                  <c:v>12.2</c:v>
                </c:pt>
                <c:pt idx="75">
                  <c:v>3.57</c:v>
                </c:pt>
                <c:pt idx="76">
                  <c:v>6.4</c:v>
                </c:pt>
              </c:numCache>
            </c:numRef>
          </c:xVal>
          <c:yVal>
            <c:numRef>
              <c:f>'Filtered Data &amp; Plots'!$AF$8:$AF$84</c:f>
              <c:numCache>
                <c:formatCode>General</c:formatCode>
                <c:ptCount val="77"/>
                <c:pt idx="0">
                  <c:v>0.75</c:v>
                </c:pt>
                <c:pt idx="1">
                  <c:v>0.33333333333333331</c:v>
                </c:pt>
                <c:pt idx="7">
                  <c:v>0.5</c:v>
                </c:pt>
                <c:pt idx="10">
                  <c:v>0.25</c:v>
                </c:pt>
                <c:pt idx="16">
                  <c:v>0.58333333333333337</c:v>
                </c:pt>
                <c:pt idx="22">
                  <c:v>1</c:v>
                </c:pt>
                <c:pt idx="23">
                  <c:v>0.75</c:v>
                </c:pt>
                <c:pt idx="27">
                  <c:v>0.5</c:v>
                </c:pt>
                <c:pt idx="30">
                  <c:v>0.75</c:v>
                </c:pt>
                <c:pt idx="43">
                  <c:v>0.33333333333333331</c:v>
                </c:pt>
                <c:pt idx="45">
                  <c:v>1.5</c:v>
                </c:pt>
                <c:pt idx="46">
                  <c:v>1</c:v>
                </c:pt>
                <c:pt idx="53">
                  <c:v>8.5</c:v>
                </c:pt>
                <c:pt idx="55">
                  <c:v>1</c:v>
                </c:pt>
                <c:pt idx="57">
                  <c:v>2.5</c:v>
                </c:pt>
                <c:pt idx="58">
                  <c:v>1</c:v>
                </c:pt>
                <c:pt idx="63">
                  <c:v>0.5</c:v>
                </c:pt>
                <c:pt idx="70">
                  <c:v>1.25</c:v>
                </c:pt>
                <c:pt idx="74">
                  <c:v>1.5</c:v>
                </c:pt>
              </c:numCache>
            </c:numRef>
          </c:yVal>
          <c:smooth val="0"/>
          <c:extLst>
            <c:ext xmlns:c16="http://schemas.microsoft.com/office/drawing/2014/chart" uri="{C3380CC4-5D6E-409C-BE32-E72D297353CC}">
              <c16:uniqueId val="{00000000-6FF5-4D60-A0DF-ED694F2EC166}"/>
            </c:ext>
          </c:extLst>
        </c:ser>
        <c:ser>
          <c:idx val="1"/>
          <c:order val="1"/>
          <c:tx>
            <c:v>MacDonald</c:v>
          </c:tx>
          <c:spPr>
            <a:ln w="28575">
              <a:noFill/>
            </a:ln>
          </c:spPr>
          <c:xVal>
            <c:numRef>
              <c:f>'Dam Regression Equations'!$E$11</c:f>
              <c:numCache>
                <c:formatCode>0.00</c:formatCode>
                <c:ptCount val="1"/>
                <c:pt idx="0">
                  <c:v>54.656736000000016</c:v>
                </c:pt>
              </c:numCache>
            </c:numRef>
          </c:xVal>
          <c:yVal>
            <c:numRef>
              <c:f>'Dam Regression Equations'!$E$23</c:f>
              <c:numCache>
                <c:formatCode>0.0</c:formatCode>
                <c:ptCount val="1"/>
                <c:pt idx="0">
                  <c:v>2.5114271158694512</c:v>
                </c:pt>
              </c:numCache>
            </c:numRef>
          </c:yVal>
          <c:smooth val="0"/>
          <c:extLst>
            <c:ext xmlns:c16="http://schemas.microsoft.com/office/drawing/2014/chart" uri="{C3380CC4-5D6E-409C-BE32-E72D297353CC}">
              <c16:uniqueId val="{00000001-6FF5-4D60-A0DF-ED694F2EC166}"/>
            </c:ext>
          </c:extLst>
        </c:ser>
        <c:ser>
          <c:idx val="2"/>
          <c:order val="2"/>
          <c:tx>
            <c:v>Froehlich1995</c:v>
          </c:tx>
          <c:spPr>
            <a:ln w="28575">
              <a:noFill/>
            </a:ln>
          </c:spPr>
          <c:xVal>
            <c:numRef>
              <c:f>'Dam Regression Equations'!$E$11</c:f>
              <c:numCache>
                <c:formatCode>0.00</c:formatCode>
                <c:ptCount val="1"/>
                <c:pt idx="0">
                  <c:v>54.656736000000016</c:v>
                </c:pt>
              </c:numCache>
            </c:numRef>
          </c:xVal>
          <c:yVal>
            <c:numRef>
              <c:f>'Dam Regression Equations'!$E$31</c:f>
              <c:numCache>
                <c:formatCode>#,##0.0</c:formatCode>
                <c:ptCount val="1"/>
                <c:pt idx="0">
                  <c:v>1.3139546630012227</c:v>
                </c:pt>
              </c:numCache>
            </c:numRef>
          </c:yVal>
          <c:smooth val="0"/>
          <c:extLst>
            <c:ext xmlns:c16="http://schemas.microsoft.com/office/drawing/2014/chart" uri="{C3380CC4-5D6E-409C-BE32-E72D297353CC}">
              <c16:uniqueId val="{00000002-6FF5-4D60-A0DF-ED694F2EC166}"/>
            </c:ext>
          </c:extLst>
        </c:ser>
        <c:ser>
          <c:idx val="3"/>
          <c:order val="3"/>
          <c:tx>
            <c:v>Froehlich2008</c:v>
          </c:tx>
          <c:spPr>
            <a:ln w="28575">
              <a:noFill/>
            </a:ln>
          </c:spPr>
          <c:xVal>
            <c:numRef>
              <c:f>'Dam Regression Equations'!$E$11</c:f>
              <c:numCache>
                <c:formatCode>0.00</c:formatCode>
                <c:ptCount val="1"/>
                <c:pt idx="0">
                  <c:v>54.656736000000016</c:v>
                </c:pt>
              </c:numCache>
            </c:numRef>
          </c:xVal>
          <c:yVal>
            <c:numRef>
              <c:f>'Dam Regression Equations'!$E$38</c:f>
              <c:numCache>
                <c:formatCode>#,##0.0</c:formatCode>
                <c:ptCount val="1"/>
                <c:pt idx="0">
                  <c:v>1.11302972116948</c:v>
                </c:pt>
              </c:numCache>
            </c:numRef>
          </c:yVal>
          <c:smooth val="0"/>
          <c:extLst>
            <c:ext xmlns:c16="http://schemas.microsoft.com/office/drawing/2014/chart" uri="{C3380CC4-5D6E-409C-BE32-E72D297353CC}">
              <c16:uniqueId val="{00000003-6FF5-4D60-A0DF-ED694F2EC166}"/>
            </c:ext>
          </c:extLst>
        </c:ser>
        <c:ser>
          <c:idx val="4"/>
          <c:order val="4"/>
          <c:tx>
            <c:v>Von Thun (erosion resistant)</c:v>
          </c:tx>
          <c:spPr>
            <a:ln w="28575">
              <a:noFill/>
            </a:ln>
          </c:spPr>
          <c:xVal>
            <c:numRef>
              <c:f>'Dam Regression Equations'!$E$11</c:f>
              <c:numCache>
                <c:formatCode>0.00</c:formatCode>
                <c:ptCount val="1"/>
                <c:pt idx="0">
                  <c:v>54.656736000000016</c:v>
                </c:pt>
              </c:numCache>
            </c:numRef>
          </c:xVal>
          <c:yVal>
            <c:numRef>
              <c:f>'Dam Regression Equations'!$E$45</c:f>
              <c:numCache>
                <c:formatCode>#,##0.0</c:formatCode>
                <c:ptCount val="1"/>
                <c:pt idx="0">
                  <c:v>1.3431347200000003</c:v>
                </c:pt>
              </c:numCache>
            </c:numRef>
          </c:yVal>
          <c:smooth val="0"/>
          <c:extLst>
            <c:ext xmlns:c16="http://schemas.microsoft.com/office/drawing/2014/chart" uri="{C3380CC4-5D6E-409C-BE32-E72D297353CC}">
              <c16:uniqueId val="{00000004-6FF5-4D60-A0DF-ED694F2EC166}"/>
            </c:ext>
          </c:extLst>
        </c:ser>
        <c:dLbls>
          <c:showLegendKey val="0"/>
          <c:showVal val="0"/>
          <c:showCatName val="0"/>
          <c:showSerName val="0"/>
          <c:showPercent val="0"/>
          <c:showBubbleSize val="0"/>
        </c:dLbls>
        <c:axId val="651000136"/>
        <c:axId val="650998176"/>
      </c:scatterChart>
      <c:valAx>
        <c:axId val="651000136"/>
        <c:scaling>
          <c:logBase val="10"/>
          <c:orientation val="minMax"/>
        </c:scaling>
        <c:delete val="0"/>
        <c:axPos val="b"/>
        <c:title>
          <c:tx>
            <c:rich>
              <a:bodyPr/>
              <a:lstStyle/>
              <a:p>
                <a:pPr>
                  <a:defRPr sz="2000"/>
                </a:pPr>
                <a:r>
                  <a:rPr lang="en-US" sz="2000"/>
                  <a:t>Hw </a:t>
                </a:r>
              </a:p>
            </c:rich>
          </c:tx>
          <c:layout>
            <c:manualLayout>
              <c:xMode val="edge"/>
              <c:yMode val="edge"/>
              <c:x val="0.49780416103449254"/>
              <c:y val="0.91179268352325527"/>
            </c:manualLayout>
          </c:layout>
          <c:overlay val="0"/>
        </c:title>
        <c:numFmt formatCode="0E+##" sourceLinked="0"/>
        <c:majorTickMark val="out"/>
        <c:minorTickMark val="none"/>
        <c:tickLblPos val="nextTo"/>
        <c:txPr>
          <a:bodyPr/>
          <a:lstStyle/>
          <a:p>
            <a:pPr>
              <a:defRPr sz="1400"/>
            </a:pPr>
            <a:endParaRPr lang="en-US"/>
          </a:p>
        </c:txPr>
        <c:crossAx val="650998176"/>
        <c:crossesAt val="0.1"/>
        <c:crossBetween val="midCat"/>
      </c:valAx>
      <c:valAx>
        <c:axId val="650998176"/>
        <c:scaling>
          <c:logBase val="10"/>
          <c:orientation val="minMax"/>
        </c:scaling>
        <c:delete val="0"/>
        <c:axPos val="l"/>
        <c:majorGridlines/>
        <c:title>
          <c:tx>
            <c:rich>
              <a:bodyPr rot="0" vert="horz"/>
              <a:lstStyle/>
              <a:p>
                <a:pPr>
                  <a:defRPr sz="2000"/>
                </a:pPr>
                <a:r>
                  <a:rPr lang="en-US" sz="2000"/>
                  <a:t>tf</a:t>
                </a:r>
                <a:r>
                  <a:rPr lang="en-US" sz="2000" baseline="0"/>
                  <a:t> (hr)</a:t>
                </a:r>
                <a:endParaRPr lang="en-US" sz="2000"/>
              </a:p>
            </c:rich>
          </c:tx>
          <c:layout>
            <c:manualLayout>
              <c:xMode val="edge"/>
              <c:yMode val="edge"/>
              <c:x val="2.0319553805774281E-2"/>
              <c:y val="0.50571451158966552"/>
            </c:manualLayout>
          </c:layout>
          <c:overlay val="0"/>
        </c:title>
        <c:numFmt formatCode="0E+##" sourceLinked="0"/>
        <c:majorTickMark val="out"/>
        <c:minorTickMark val="none"/>
        <c:tickLblPos val="nextTo"/>
        <c:txPr>
          <a:bodyPr/>
          <a:lstStyle/>
          <a:p>
            <a:pPr>
              <a:defRPr sz="1400"/>
            </a:pPr>
            <a:endParaRPr lang="en-US"/>
          </a:p>
        </c:txPr>
        <c:crossAx val="651000136"/>
        <c:crossesAt val="0.1"/>
        <c:crossBetween val="midCat"/>
      </c:valAx>
    </c:plotArea>
    <c:legend>
      <c:legendPos val="b"/>
      <c:overlay val="0"/>
      <c:spPr>
        <a:solidFill>
          <a:sysClr val="window" lastClr="FFFFFF"/>
        </a:solidFill>
        <a:ln>
          <a:solidFill>
            <a:srgbClr val="4F81BD"/>
          </a:solidFill>
        </a:ln>
      </c:spPr>
      <c:txPr>
        <a:bodyPr/>
        <a:lstStyle/>
        <a:p>
          <a:pPr>
            <a:defRPr sz="1400" b="1" baseline="0"/>
          </a:pPr>
          <a:endParaRPr lang="en-US"/>
        </a:p>
      </c:txPr>
    </c:legend>
    <c:plotVisOnly val="1"/>
    <c:dispBlanksAs val="gap"/>
    <c:showDLblsOverMax val="0"/>
  </c:chart>
  <c:printSettings>
    <c:headerFooter/>
    <c:pageMargins b="0.75000000000000244" l="0.70000000000000062" r="0.70000000000000062" t="0.75000000000000244"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2400"/>
            </a:pPr>
            <a:r>
              <a:rPr lang="en-US" sz="2400"/>
              <a:t>Formation</a:t>
            </a:r>
            <a:r>
              <a:rPr lang="en-US" sz="2400" baseline="0"/>
              <a:t> Time </a:t>
            </a:r>
            <a:r>
              <a:rPr lang="en-US" sz="2400"/>
              <a:t>vs </a:t>
            </a:r>
          </a:p>
          <a:p>
            <a:pPr>
              <a:defRPr sz="2400"/>
            </a:pPr>
            <a:r>
              <a:rPr lang="en-US" sz="2400"/>
              <a:t>Pool Volume</a:t>
            </a:r>
          </a:p>
        </c:rich>
      </c:tx>
      <c:layout>
        <c:manualLayout>
          <c:xMode val="edge"/>
          <c:yMode val="edge"/>
          <c:x val="0.31906608739370496"/>
          <c:y val="1.4407924358397125E-2"/>
        </c:manualLayout>
      </c:layout>
      <c:overlay val="1"/>
    </c:title>
    <c:autoTitleDeleted val="0"/>
    <c:plotArea>
      <c:layout>
        <c:manualLayout>
          <c:layoutTarget val="inner"/>
          <c:xMode val="edge"/>
          <c:yMode val="edge"/>
          <c:x val="0.10190454184197659"/>
          <c:y val="0.12627666476404537"/>
          <c:w val="0.84633994114166733"/>
          <c:h val="0.73947409657989382"/>
        </c:manualLayout>
      </c:layout>
      <c:scatterChart>
        <c:scatterStyle val="lineMarker"/>
        <c:varyColors val="0"/>
        <c:ser>
          <c:idx val="0"/>
          <c:order val="0"/>
          <c:tx>
            <c:v>Historic Dam Failures</c:v>
          </c:tx>
          <c:spPr>
            <a:ln w="28575">
              <a:noFill/>
            </a:ln>
          </c:spPr>
          <c:xVal>
            <c:numRef>
              <c:f>'Filtered Data &amp; Plots'!$T$8:$T$84</c:f>
              <c:numCache>
                <c:formatCode>General</c:formatCode>
                <c:ptCount val="77"/>
                <c:pt idx="0">
                  <c:v>22200000</c:v>
                </c:pt>
                <c:pt idx="1">
                  <c:v>910000</c:v>
                </c:pt>
                <c:pt idx="2">
                  <c:v>49300</c:v>
                </c:pt>
                <c:pt idx="3">
                  <c:v>24700</c:v>
                </c:pt>
                <c:pt idx="4" formatCode="0.00E+00_)">
                  <c:v>483525</c:v>
                </c:pt>
                <c:pt idx="5">
                  <c:v>740000</c:v>
                </c:pt>
                <c:pt idx="6">
                  <c:v>2380000</c:v>
                </c:pt>
                <c:pt idx="7">
                  <c:v>6170000</c:v>
                </c:pt>
                <c:pt idx="8">
                  <c:v>698000</c:v>
                </c:pt>
                <c:pt idx="9">
                  <c:v>466000</c:v>
                </c:pt>
                <c:pt idx="10">
                  <c:v>311000</c:v>
                </c:pt>
                <c:pt idx="11">
                  <c:v>1870000</c:v>
                </c:pt>
                <c:pt idx="12">
                  <c:v>1180000</c:v>
                </c:pt>
                <c:pt idx="13">
                  <c:v>425000</c:v>
                </c:pt>
                <c:pt idx="14">
                  <c:v>493000</c:v>
                </c:pt>
                <c:pt idx="15" formatCode="0.00E+00_)">
                  <c:v>351542</c:v>
                </c:pt>
                <c:pt idx="16">
                  <c:v>3870000</c:v>
                </c:pt>
                <c:pt idx="17">
                  <c:v>16000000</c:v>
                </c:pt>
                <c:pt idx="18" formatCode="0.00E+00_)">
                  <c:v>10600000</c:v>
                </c:pt>
                <c:pt idx="19">
                  <c:v>25500</c:v>
                </c:pt>
                <c:pt idx="20">
                  <c:v>23400</c:v>
                </c:pt>
                <c:pt idx="21">
                  <c:v>6350000</c:v>
                </c:pt>
                <c:pt idx="22">
                  <c:v>14800000</c:v>
                </c:pt>
                <c:pt idx="23">
                  <c:v>30600000</c:v>
                </c:pt>
                <c:pt idx="24">
                  <c:v>12800000</c:v>
                </c:pt>
                <c:pt idx="25">
                  <c:v>1170000</c:v>
                </c:pt>
                <c:pt idx="26">
                  <c:v>333000</c:v>
                </c:pt>
                <c:pt idx="27">
                  <c:v>160000</c:v>
                </c:pt>
                <c:pt idx="28">
                  <c:v>423000</c:v>
                </c:pt>
                <c:pt idx="29">
                  <c:v>575000</c:v>
                </c:pt>
                <c:pt idx="30">
                  <c:v>18900000</c:v>
                </c:pt>
                <c:pt idx="31">
                  <c:v>777000</c:v>
                </c:pt>
                <c:pt idx="32">
                  <c:v>177000</c:v>
                </c:pt>
                <c:pt idx="33">
                  <c:v>78900000</c:v>
                </c:pt>
                <c:pt idx="34">
                  <c:v>31500000</c:v>
                </c:pt>
                <c:pt idx="35">
                  <c:v>789000</c:v>
                </c:pt>
                <c:pt idx="36">
                  <c:v>680000</c:v>
                </c:pt>
                <c:pt idx="37">
                  <c:v>4090000</c:v>
                </c:pt>
                <c:pt idx="38">
                  <c:v>4780000</c:v>
                </c:pt>
                <c:pt idx="39">
                  <c:v>296000</c:v>
                </c:pt>
                <c:pt idx="40">
                  <c:v>555000</c:v>
                </c:pt>
                <c:pt idx="41">
                  <c:v>798000</c:v>
                </c:pt>
                <c:pt idx="42">
                  <c:v>92500</c:v>
                </c:pt>
                <c:pt idx="43">
                  <c:v>1360000</c:v>
                </c:pt>
                <c:pt idx="44">
                  <c:v>284000</c:v>
                </c:pt>
                <c:pt idx="45">
                  <c:v>7080000</c:v>
                </c:pt>
                <c:pt idx="46">
                  <c:v>49300000</c:v>
                </c:pt>
                <c:pt idx="47">
                  <c:v>29600000</c:v>
                </c:pt>
                <c:pt idx="48">
                  <c:v>35800000</c:v>
                </c:pt>
                <c:pt idx="49">
                  <c:v>2880000</c:v>
                </c:pt>
                <c:pt idx="50">
                  <c:v>24700000</c:v>
                </c:pt>
                <c:pt idx="51">
                  <c:v>69600</c:v>
                </c:pt>
                <c:pt idx="52">
                  <c:v>4130000</c:v>
                </c:pt>
                <c:pt idx="53">
                  <c:v>660000000</c:v>
                </c:pt>
                <c:pt idx="54">
                  <c:v>109000</c:v>
                </c:pt>
                <c:pt idx="55">
                  <c:v>4070000</c:v>
                </c:pt>
                <c:pt idx="56">
                  <c:v>105000</c:v>
                </c:pt>
                <c:pt idx="57">
                  <c:v>3540000</c:v>
                </c:pt>
                <c:pt idx="58">
                  <c:v>30800000</c:v>
                </c:pt>
                <c:pt idx="59">
                  <c:v>6780000</c:v>
                </c:pt>
                <c:pt idx="60">
                  <c:v>13900</c:v>
                </c:pt>
                <c:pt idx="61">
                  <c:v>24700</c:v>
                </c:pt>
                <c:pt idx="62" formatCode="0.00E+00_)">
                  <c:v>71541947</c:v>
                </c:pt>
                <c:pt idx="63">
                  <c:v>4440000</c:v>
                </c:pt>
                <c:pt idx="64">
                  <c:v>86000</c:v>
                </c:pt>
                <c:pt idx="65" formatCode="0.00E+00_)">
                  <c:v>2911017</c:v>
                </c:pt>
                <c:pt idx="66" formatCode="0.00E+00_)">
                  <c:v>3330401</c:v>
                </c:pt>
                <c:pt idx="67">
                  <c:v>136000</c:v>
                </c:pt>
                <c:pt idx="68">
                  <c:v>564000</c:v>
                </c:pt>
                <c:pt idx="69" formatCode="0.00E+00_)">
                  <c:v>37004455</c:v>
                </c:pt>
                <c:pt idx="70">
                  <c:v>310000000</c:v>
                </c:pt>
                <c:pt idx="71">
                  <c:v>1480000</c:v>
                </c:pt>
                <c:pt idx="72">
                  <c:v>493000</c:v>
                </c:pt>
                <c:pt idx="73">
                  <c:v>222000</c:v>
                </c:pt>
                <c:pt idx="74">
                  <c:v>11600000</c:v>
                </c:pt>
                <c:pt idx="75">
                  <c:v>533000</c:v>
                </c:pt>
                <c:pt idx="76">
                  <c:v>662000</c:v>
                </c:pt>
              </c:numCache>
            </c:numRef>
          </c:xVal>
          <c:yVal>
            <c:numRef>
              <c:f>'Filtered Data &amp; Plots'!$AF$8:$AF$84</c:f>
              <c:numCache>
                <c:formatCode>General</c:formatCode>
                <c:ptCount val="77"/>
                <c:pt idx="0">
                  <c:v>0.75</c:v>
                </c:pt>
                <c:pt idx="1">
                  <c:v>0.33333333333333331</c:v>
                </c:pt>
                <c:pt idx="7">
                  <c:v>0.5</c:v>
                </c:pt>
                <c:pt idx="10">
                  <c:v>0.25</c:v>
                </c:pt>
                <c:pt idx="16">
                  <c:v>0.58333333333333337</c:v>
                </c:pt>
                <c:pt idx="22">
                  <c:v>1</c:v>
                </c:pt>
                <c:pt idx="23">
                  <c:v>0.75</c:v>
                </c:pt>
                <c:pt idx="27">
                  <c:v>0.5</c:v>
                </c:pt>
                <c:pt idx="30">
                  <c:v>0.75</c:v>
                </c:pt>
                <c:pt idx="43">
                  <c:v>0.33333333333333331</c:v>
                </c:pt>
                <c:pt idx="45">
                  <c:v>1.5</c:v>
                </c:pt>
                <c:pt idx="46">
                  <c:v>1</c:v>
                </c:pt>
                <c:pt idx="53">
                  <c:v>8.5</c:v>
                </c:pt>
                <c:pt idx="55">
                  <c:v>1</c:v>
                </c:pt>
                <c:pt idx="57">
                  <c:v>2.5</c:v>
                </c:pt>
                <c:pt idx="58">
                  <c:v>1</c:v>
                </c:pt>
                <c:pt idx="63">
                  <c:v>0.5</c:v>
                </c:pt>
                <c:pt idx="70">
                  <c:v>1.25</c:v>
                </c:pt>
                <c:pt idx="74">
                  <c:v>1.5</c:v>
                </c:pt>
              </c:numCache>
            </c:numRef>
          </c:yVal>
          <c:smooth val="0"/>
          <c:extLst>
            <c:ext xmlns:c16="http://schemas.microsoft.com/office/drawing/2014/chart" uri="{C3380CC4-5D6E-409C-BE32-E72D297353CC}">
              <c16:uniqueId val="{00000000-8F9B-400E-85A4-99E2C1566679}"/>
            </c:ext>
          </c:extLst>
        </c:ser>
        <c:ser>
          <c:idx val="1"/>
          <c:order val="1"/>
          <c:tx>
            <c:v>MacDonald</c:v>
          </c:tx>
          <c:spPr>
            <a:ln w="28575">
              <a:noFill/>
            </a:ln>
          </c:spPr>
          <c:xVal>
            <c:numRef>
              <c:f>'Dam Regression Equations'!$E$10</c:f>
              <c:numCache>
                <c:formatCode>#,##0</c:formatCode>
                <c:ptCount val="1"/>
                <c:pt idx="0">
                  <c:v>117758544.5</c:v>
                </c:pt>
              </c:numCache>
            </c:numRef>
          </c:xVal>
          <c:yVal>
            <c:numRef>
              <c:f>'Dam Regression Equations'!$E$23</c:f>
              <c:numCache>
                <c:formatCode>0.0</c:formatCode>
                <c:ptCount val="1"/>
                <c:pt idx="0">
                  <c:v>2.5114271158694512</c:v>
                </c:pt>
              </c:numCache>
            </c:numRef>
          </c:yVal>
          <c:smooth val="0"/>
          <c:extLst>
            <c:ext xmlns:c16="http://schemas.microsoft.com/office/drawing/2014/chart" uri="{C3380CC4-5D6E-409C-BE32-E72D297353CC}">
              <c16:uniqueId val="{00000001-8F9B-400E-85A4-99E2C1566679}"/>
            </c:ext>
          </c:extLst>
        </c:ser>
        <c:ser>
          <c:idx val="2"/>
          <c:order val="2"/>
          <c:tx>
            <c:v>Froehlich1995</c:v>
          </c:tx>
          <c:spPr>
            <a:ln w="28575">
              <a:noFill/>
            </a:ln>
          </c:spPr>
          <c:xVal>
            <c:numRef>
              <c:f>'Dam Regression Equations'!$E$10</c:f>
              <c:numCache>
                <c:formatCode>#,##0</c:formatCode>
                <c:ptCount val="1"/>
                <c:pt idx="0">
                  <c:v>117758544.5</c:v>
                </c:pt>
              </c:numCache>
            </c:numRef>
          </c:xVal>
          <c:yVal>
            <c:numRef>
              <c:f>'Dam Regression Equations'!$E$31</c:f>
              <c:numCache>
                <c:formatCode>#,##0.0</c:formatCode>
                <c:ptCount val="1"/>
                <c:pt idx="0">
                  <c:v>1.3139546630012227</c:v>
                </c:pt>
              </c:numCache>
            </c:numRef>
          </c:yVal>
          <c:smooth val="0"/>
          <c:extLst>
            <c:ext xmlns:c16="http://schemas.microsoft.com/office/drawing/2014/chart" uri="{C3380CC4-5D6E-409C-BE32-E72D297353CC}">
              <c16:uniqueId val="{00000002-8F9B-400E-85A4-99E2C1566679}"/>
            </c:ext>
          </c:extLst>
        </c:ser>
        <c:ser>
          <c:idx val="3"/>
          <c:order val="3"/>
          <c:tx>
            <c:v>Froehlich2008</c:v>
          </c:tx>
          <c:spPr>
            <a:ln w="28575">
              <a:noFill/>
            </a:ln>
          </c:spPr>
          <c:xVal>
            <c:numRef>
              <c:f>'Dam Regression Equations'!$E$10</c:f>
              <c:numCache>
                <c:formatCode>#,##0</c:formatCode>
                <c:ptCount val="1"/>
                <c:pt idx="0">
                  <c:v>117758544.5</c:v>
                </c:pt>
              </c:numCache>
            </c:numRef>
          </c:xVal>
          <c:yVal>
            <c:numRef>
              <c:f>'Dam Regression Equations'!$E$38</c:f>
              <c:numCache>
                <c:formatCode>#,##0.0</c:formatCode>
                <c:ptCount val="1"/>
                <c:pt idx="0">
                  <c:v>1.11302972116948</c:v>
                </c:pt>
              </c:numCache>
            </c:numRef>
          </c:yVal>
          <c:smooth val="0"/>
          <c:extLst>
            <c:ext xmlns:c16="http://schemas.microsoft.com/office/drawing/2014/chart" uri="{C3380CC4-5D6E-409C-BE32-E72D297353CC}">
              <c16:uniqueId val="{00000003-8F9B-400E-85A4-99E2C1566679}"/>
            </c:ext>
          </c:extLst>
        </c:ser>
        <c:ser>
          <c:idx val="4"/>
          <c:order val="4"/>
          <c:tx>
            <c:v>Von Thun (erosion resistant)</c:v>
          </c:tx>
          <c:spPr>
            <a:ln w="28575">
              <a:noFill/>
            </a:ln>
          </c:spPr>
          <c:xVal>
            <c:numRef>
              <c:f>'Dam Regression Equations'!$E$10</c:f>
              <c:numCache>
                <c:formatCode>#,##0</c:formatCode>
                <c:ptCount val="1"/>
                <c:pt idx="0">
                  <c:v>117758544.5</c:v>
                </c:pt>
              </c:numCache>
            </c:numRef>
          </c:xVal>
          <c:yVal>
            <c:numRef>
              <c:f>'Dam Regression Equations'!$E$45</c:f>
              <c:numCache>
                <c:formatCode>#,##0.0</c:formatCode>
                <c:ptCount val="1"/>
                <c:pt idx="0">
                  <c:v>1.3431347200000003</c:v>
                </c:pt>
              </c:numCache>
            </c:numRef>
          </c:yVal>
          <c:smooth val="0"/>
          <c:extLst>
            <c:ext xmlns:c16="http://schemas.microsoft.com/office/drawing/2014/chart" uri="{C3380CC4-5D6E-409C-BE32-E72D297353CC}">
              <c16:uniqueId val="{00000004-8F9B-400E-85A4-99E2C1566679}"/>
            </c:ext>
          </c:extLst>
        </c:ser>
        <c:dLbls>
          <c:showLegendKey val="0"/>
          <c:showVal val="0"/>
          <c:showCatName val="0"/>
          <c:showSerName val="0"/>
          <c:showPercent val="0"/>
          <c:showBubbleSize val="0"/>
        </c:dLbls>
        <c:axId val="651000528"/>
        <c:axId val="651001704"/>
      </c:scatterChart>
      <c:valAx>
        <c:axId val="651000528"/>
        <c:scaling>
          <c:logBase val="10"/>
          <c:orientation val="minMax"/>
        </c:scaling>
        <c:delete val="0"/>
        <c:axPos val="b"/>
        <c:majorGridlines>
          <c:spPr>
            <a:ln>
              <a:solidFill>
                <a:schemeClr val="bg1">
                  <a:lumMod val="85000"/>
                </a:schemeClr>
              </a:solidFill>
            </a:ln>
          </c:spPr>
        </c:majorGridlines>
        <c:title>
          <c:tx>
            <c:rich>
              <a:bodyPr/>
              <a:lstStyle/>
              <a:p>
                <a:pPr>
                  <a:defRPr sz="2000"/>
                </a:pPr>
                <a:r>
                  <a:rPr lang="en-US" sz="2000"/>
                  <a:t>Vw (m^3)</a:t>
                </a:r>
              </a:p>
            </c:rich>
          </c:tx>
          <c:layout>
            <c:manualLayout>
              <c:xMode val="edge"/>
              <c:yMode val="edge"/>
              <c:x val="0.444946751260409"/>
              <c:y val="0.907723669608413"/>
            </c:manualLayout>
          </c:layout>
          <c:overlay val="0"/>
        </c:title>
        <c:numFmt formatCode="0E+##" sourceLinked="0"/>
        <c:majorTickMark val="out"/>
        <c:minorTickMark val="none"/>
        <c:tickLblPos val="nextTo"/>
        <c:txPr>
          <a:bodyPr/>
          <a:lstStyle/>
          <a:p>
            <a:pPr>
              <a:defRPr sz="1400"/>
            </a:pPr>
            <a:endParaRPr lang="en-US"/>
          </a:p>
        </c:txPr>
        <c:crossAx val="651001704"/>
        <c:crossesAt val="1.0000000000000045E-5"/>
        <c:crossBetween val="midCat"/>
      </c:valAx>
      <c:valAx>
        <c:axId val="651001704"/>
        <c:scaling>
          <c:logBase val="10"/>
          <c:orientation val="minMax"/>
          <c:min val="1.0000000000000045E-5"/>
        </c:scaling>
        <c:delete val="0"/>
        <c:axPos val="l"/>
        <c:majorGridlines>
          <c:spPr>
            <a:ln>
              <a:solidFill>
                <a:schemeClr val="bg1">
                  <a:lumMod val="85000"/>
                </a:schemeClr>
              </a:solidFill>
            </a:ln>
          </c:spPr>
        </c:majorGridlines>
        <c:title>
          <c:tx>
            <c:rich>
              <a:bodyPr rot="0" vert="horz"/>
              <a:lstStyle/>
              <a:p>
                <a:pPr>
                  <a:defRPr sz="2000"/>
                </a:pPr>
                <a:r>
                  <a:rPr lang="en-US" sz="2000"/>
                  <a:t>tf (hr)</a:t>
                </a:r>
              </a:p>
            </c:rich>
          </c:tx>
          <c:layout>
            <c:manualLayout>
              <c:xMode val="edge"/>
              <c:yMode val="edge"/>
              <c:x val="1.5484714590532299E-2"/>
              <c:y val="0.52464381969032392"/>
            </c:manualLayout>
          </c:layout>
          <c:overlay val="0"/>
        </c:title>
        <c:numFmt formatCode="0E+##" sourceLinked="0"/>
        <c:majorTickMark val="out"/>
        <c:minorTickMark val="none"/>
        <c:tickLblPos val="nextTo"/>
        <c:txPr>
          <a:bodyPr/>
          <a:lstStyle/>
          <a:p>
            <a:pPr>
              <a:defRPr sz="1400"/>
            </a:pPr>
            <a:endParaRPr lang="en-US"/>
          </a:p>
        </c:txPr>
        <c:crossAx val="651000528"/>
        <c:crossesAt val="1.0000000000000033E-3"/>
        <c:crossBetween val="midCat"/>
      </c:valAx>
    </c:plotArea>
    <c:legend>
      <c:legendPos val="b"/>
      <c:overlay val="0"/>
      <c:spPr>
        <a:solidFill>
          <a:sysClr val="window" lastClr="FFFFFF"/>
        </a:solidFill>
        <a:ln>
          <a:solidFill>
            <a:srgbClr val="4F81BD"/>
          </a:solidFill>
        </a:ln>
      </c:spPr>
      <c:txPr>
        <a:bodyPr/>
        <a:lstStyle/>
        <a:p>
          <a:pPr>
            <a:defRPr sz="1400" b="1" baseline="0"/>
          </a:pPr>
          <a:endParaRPr lang="en-US"/>
        </a:p>
      </c:txPr>
    </c:legend>
    <c:plotVisOnly val="1"/>
    <c:dispBlanksAs val="gap"/>
    <c:showDLblsOverMax val="0"/>
  </c:chart>
  <c:printSettings>
    <c:headerFooter/>
    <c:pageMargins b="0.75000000000000222" l="0.70000000000000062" r="0.70000000000000062" t="0.75000000000000222" header="0.30000000000000032" footer="0.30000000000000032"/>
    <c:pageSetup/>
  </c:printSettings>
</c:chartSpace>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8" Type="http://schemas.openxmlformats.org/officeDocument/2006/relationships/image" Target="../media/image11.png"/><Relationship Id="rId13" Type="http://schemas.openxmlformats.org/officeDocument/2006/relationships/image" Target="../media/image16.png"/><Relationship Id="rId3" Type="http://schemas.openxmlformats.org/officeDocument/2006/relationships/image" Target="../media/image6.png"/><Relationship Id="rId7" Type="http://schemas.openxmlformats.org/officeDocument/2006/relationships/image" Target="../media/image10.png"/><Relationship Id="rId12" Type="http://schemas.openxmlformats.org/officeDocument/2006/relationships/image" Target="../media/image15.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11" Type="http://schemas.openxmlformats.org/officeDocument/2006/relationships/image" Target="../media/image14.png"/><Relationship Id="rId5" Type="http://schemas.openxmlformats.org/officeDocument/2006/relationships/image" Target="../media/image8.png"/><Relationship Id="rId10" Type="http://schemas.openxmlformats.org/officeDocument/2006/relationships/image" Target="../media/image13.png"/><Relationship Id="rId4" Type="http://schemas.openxmlformats.org/officeDocument/2006/relationships/image" Target="../media/image7.png"/><Relationship Id="rId9" Type="http://schemas.openxmlformats.org/officeDocument/2006/relationships/image" Target="../media/image12.png"/><Relationship Id="rId14" Type="http://schemas.openxmlformats.org/officeDocument/2006/relationships/image" Target="../media/image17.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image" Target="../media/image18.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1514475</xdr:colOff>
      <xdr:row>37</xdr:row>
      <xdr:rowOff>171450</xdr:rowOff>
    </xdr:from>
    <xdr:to>
      <xdr:col>14</xdr:col>
      <xdr:colOff>942975</xdr:colOff>
      <xdr:row>51</xdr:row>
      <xdr:rowOff>23084</xdr:rowOff>
    </xdr:to>
    <xdr:pic>
      <xdr:nvPicPr>
        <xdr:cNvPr id="2" name="Picture 30">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8467725" y="7353300"/>
          <a:ext cx="4600575" cy="2537684"/>
        </a:xfrm>
        <a:prstGeom prst="rect">
          <a:avLst/>
        </a:prstGeom>
        <a:noFill/>
        <a:ln w="1">
          <a:noFill/>
          <a:miter lim="800000"/>
          <a:headEnd/>
          <a:tailEnd type="none" w="med" len="med"/>
        </a:ln>
        <a:effectLst/>
      </xdr:spPr>
    </xdr:pic>
    <xdr:clientData/>
  </xdr:twoCellAnchor>
  <xdr:twoCellAnchor editAs="oneCell">
    <xdr:from>
      <xdr:col>9</xdr:col>
      <xdr:colOff>1438275</xdr:colOff>
      <xdr:row>26</xdr:row>
      <xdr:rowOff>66676</xdr:rowOff>
    </xdr:from>
    <xdr:to>
      <xdr:col>14</xdr:col>
      <xdr:colOff>1022538</xdr:colOff>
      <xdr:row>37</xdr:row>
      <xdr:rowOff>171450</xdr:rowOff>
    </xdr:to>
    <xdr:pic>
      <xdr:nvPicPr>
        <xdr:cNvPr id="2060" name="Picture 12">
          <a:extLst>
            <a:ext uri="{FF2B5EF4-FFF2-40B4-BE49-F238E27FC236}">
              <a16:creationId xmlns:a16="http://schemas.microsoft.com/office/drawing/2014/main" id="{00000000-0008-0000-0000-00000C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8391525" y="5153026"/>
          <a:ext cx="4756338" cy="2200274"/>
        </a:xfrm>
        <a:prstGeom prst="rect">
          <a:avLst/>
        </a:prstGeom>
        <a:noFill/>
        <a:ln w="1">
          <a:noFill/>
          <a:miter lim="800000"/>
          <a:headEnd/>
          <a:tailEnd type="none" w="med" len="med"/>
        </a:ln>
        <a:effectLst/>
      </xdr:spPr>
    </xdr:pic>
    <xdr:clientData/>
  </xdr:twoCellAnchor>
  <mc:AlternateContent xmlns:mc="http://schemas.openxmlformats.org/markup-compatibility/2006">
    <mc:Choice xmlns:a14="http://schemas.microsoft.com/office/drawing/2010/main" Requires="a14">
      <xdr:twoCellAnchor editAs="oneCell">
        <xdr:from>
          <xdr:col>2</xdr:col>
          <xdr:colOff>9525</xdr:colOff>
          <xdr:row>16</xdr:row>
          <xdr:rowOff>0</xdr:rowOff>
        </xdr:from>
        <xdr:to>
          <xdr:col>5</xdr:col>
          <xdr:colOff>19050</xdr:colOff>
          <xdr:row>17</xdr:row>
          <xdr:rowOff>9525</xdr:rowOff>
        </xdr:to>
        <xdr:sp macro="" textlink="">
          <xdr:nvSpPr>
            <xdr:cNvPr id="2058" name="ComboBox1" hidden="1">
              <a:extLst>
                <a:ext uri="{63B3BB69-23CF-44E3-9099-C40C66FF867C}">
                  <a14:compatExt spid="_x0000_s2058"/>
                </a:ext>
                <a:ext uri="{FF2B5EF4-FFF2-40B4-BE49-F238E27FC236}">
                  <a16:creationId xmlns:a16="http://schemas.microsoft.com/office/drawing/2014/main" id="{00000000-0008-0000-0000-00000A08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fLocksWithSheet="0"/>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16</xdr:col>
      <xdr:colOff>209550</xdr:colOff>
      <xdr:row>4</xdr:row>
      <xdr:rowOff>95250</xdr:rowOff>
    </xdr:from>
    <xdr:to>
      <xdr:col>26</xdr:col>
      <xdr:colOff>295275</xdr:colOff>
      <xdr:row>23</xdr:row>
      <xdr:rowOff>114300</xdr:rowOff>
    </xdr:to>
    <xdr:pic>
      <xdr:nvPicPr>
        <xdr:cNvPr id="2051" name="Picture 3">
          <a:extLst>
            <a:ext uri="{FF2B5EF4-FFF2-40B4-BE49-F238E27FC236}">
              <a16:creationId xmlns:a16="http://schemas.microsoft.com/office/drawing/2014/main" id="{00000000-0008-0000-0600-00000308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392025" y="6629400"/>
          <a:ext cx="6181725" cy="30956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161925</xdr:colOff>
      <xdr:row>4</xdr:row>
      <xdr:rowOff>95250</xdr:rowOff>
    </xdr:from>
    <xdr:to>
      <xdr:col>16</xdr:col>
      <xdr:colOff>152400</xdr:colOff>
      <xdr:row>23</xdr:row>
      <xdr:rowOff>114300</xdr:rowOff>
    </xdr:to>
    <xdr:pic>
      <xdr:nvPicPr>
        <xdr:cNvPr id="2052" name="Picture 4">
          <a:extLst>
            <a:ext uri="{FF2B5EF4-FFF2-40B4-BE49-F238E27FC236}">
              <a16:creationId xmlns:a16="http://schemas.microsoft.com/office/drawing/2014/main" id="{00000000-0008-0000-0600-00000408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6391275" y="6229350"/>
          <a:ext cx="5953125" cy="32766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25</xdr:row>
      <xdr:rowOff>38100</xdr:rowOff>
    </xdr:from>
    <xdr:to>
      <xdr:col>7</xdr:col>
      <xdr:colOff>581025</xdr:colOff>
      <xdr:row>37</xdr:row>
      <xdr:rowOff>152400</xdr:rowOff>
    </xdr:to>
    <xdr:pic>
      <xdr:nvPicPr>
        <xdr:cNvPr id="2054" name="Picture 6">
          <a:extLst>
            <a:ext uri="{FF2B5EF4-FFF2-40B4-BE49-F238E27FC236}">
              <a16:creationId xmlns:a16="http://schemas.microsoft.com/office/drawing/2014/main" id="{00000000-0008-0000-0600-000006080000}"/>
            </a:ext>
          </a:extLst>
        </xdr:cNvPr>
        <xdr:cNvPicPr>
          <a:picLocks noChangeAspect="1" noChangeArrowheads="1"/>
        </xdr:cNvPicPr>
      </xdr:nvPicPr>
      <xdr:blipFill>
        <a:blip xmlns:r="http://schemas.openxmlformats.org/officeDocument/2006/relationships" r:embed="rId3" cstate="print"/>
        <a:srcRect/>
        <a:stretch>
          <a:fillRect/>
        </a:stretch>
      </xdr:blipFill>
      <xdr:spPr bwMode="auto">
        <a:xfrm>
          <a:off x="57150" y="9772650"/>
          <a:ext cx="6143625" cy="21717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104775</xdr:colOff>
      <xdr:row>25</xdr:row>
      <xdr:rowOff>47625</xdr:rowOff>
    </xdr:from>
    <xdr:to>
      <xdr:col>13</xdr:col>
      <xdr:colOff>666750</xdr:colOff>
      <xdr:row>37</xdr:row>
      <xdr:rowOff>95250</xdr:rowOff>
    </xdr:to>
    <xdr:pic>
      <xdr:nvPicPr>
        <xdr:cNvPr id="2055" name="Picture 7">
          <a:extLst>
            <a:ext uri="{FF2B5EF4-FFF2-40B4-BE49-F238E27FC236}">
              <a16:creationId xmlns:a16="http://schemas.microsoft.com/office/drawing/2014/main" id="{00000000-0008-0000-0600-000007080000}"/>
            </a:ext>
          </a:extLst>
        </xdr:cNvPr>
        <xdr:cNvPicPr>
          <a:picLocks noChangeAspect="1" noChangeArrowheads="1"/>
        </xdr:cNvPicPr>
      </xdr:nvPicPr>
      <xdr:blipFill>
        <a:blip xmlns:r="http://schemas.openxmlformats.org/officeDocument/2006/relationships" r:embed="rId4" cstate="print"/>
        <a:srcRect/>
        <a:stretch>
          <a:fillRect/>
        </a:stretch>
      </xdr:blipFill>
      <xdr:spPr bwMode="auto">
        <a:xfrm>
          <a:off x="6324600" y="9382125"/>
          <a:ext cx="5210175" cy="19907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47625</xdr:colOff>
      <xdr:row>25</xdr:row>
      <xdr:rowOff>47625</xdr:rowOff>
    </xdr:from>
    <xdr:to>
      <xdr:col>21</xdr:col>
      <xdr:colOff>295275</xdr:colOff>
      <xdr:row>30</xdr:row>
      <xdr:rowOff>28575</xdr:rowOff>
    </xdr:to>
    <xdr:pic>
      <xdr:nvPicPr>
        <xdr:cNvPr id="2056" name="Picture 8">
          <a:extLst>
            <a:ext uri="{FF2B5EF4-FFF2-40B4-BE49-F238E27FC236}">
              <a16:creationId xmlns:a16="http://schemas.microsoft.com/office/drawing/2014/main" id="{00000000-0008-0000-0600-000008080000}"/>
            </a:ext>
          </a:extLst>
        </xdr:cNvPr>
        <xdr:cNvPicPr>
          <a:picLocks noChangeAspect="1" noChangeArrowheads="1"/>
        </xdr:cNvPicPr>
      </xdr:nvPicPr>
      <xdr:blipFill>
        <a:blip xmlns:r="http://schemas.openxmlformats.org/officeDocument/2006/relationships" r:embed="rId5" cstate="print"/>
        <a:srcRect/>
        <a:stretch>
          <a:fillRect/>
        </a:stretch>
      </xdr:blipFill>
      <xdr:spPr bwMode="auto">
        <a:xfrm>
          <a:off x="11620500" y="9344025"/>
          <a:ext cx="3952875" cy="790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39</xdr:row>
      <xdr:rowOff>57150</xdr:rowOff>
    </xdr:from>
    <xdr:to>
      <xdr:col>7</xdr:col>
      <xdr:colOff>542925</xdr:colOff>
      <xdr:row>52</xdr:row>
      <xdr:rowOff>142875</xdr:rowOff>
    </xdr:to>
    <xdr:pic>
      <xdr:nvPicPr>
        <xdr:cNvPr id="2057" name="Picture 9">
          <a:extLst>
            <a:ext uri="{FF2B5EF4-FFF2-40B4-BE49-F238E27FC236}">
              <a16:creationId xmlns:a16="http://schemas.microsoft.com/office/drawing/2014/main" id="{00000000-0008-0000-0600-000009080000}"/>
            </a:ext>
          </a:extLst>
        </xdr:cNvPr>
        <xdr:cNvPicPr>
          <a:picLocks noChangeAspect="1" noChangeArrowheads="1"/>
        </xdr:cNvPicPr>
      </xdr:nvPicPr>
      <xdr:blipFill>
        <a:blip xmlns:r="http://schemas.openxmlformats.org/officeDocument/2006/relationships" r:embed="rId6" cstate="print"/>
        <a:srcRect/>
        <a:stretch>
          <a:fillRect/>
        </a:stretch>
      </xdr:blipFill>
      <xdr:spPr bwMode="auto">
        <a:xfrm>
          <a:off x="57150" y="12192000"/>
          <a:ext cx="6105525" cy="2314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57150</xdr:colOff>
      <xdr:row>39</xdr:row>
      <xdr:rowOff>57150</xdr:rowOff>
    </xdr:from>
    <xdr:to>
      <xdr:col>13</xdr:col>
      <xdr:colOff>628650</xdr:colOff>
      <xdr:row>52</xdr:row>
      <xdr:rowOff>114300</xdr:rowOff>
    </xdr:to>
    <xdr:pic>
      <xdr:nvPicPr>
        <xdr:cNvPr id="2058" name="Picture 10">
          <a:extLst>
            <a:ext uri="{FF2B5EF4-FFF2-40B4-BE49-F238E27FC236}">
              <a16:creationId xmlns:a16="http://schemas.microsoft.com/office/drawing/2014/main" id="{00000000-0008-0000-0600-00000A080000}"/>
            </a:ext>
          </a:extLst>
        </xdr:cNvPr>
        <xdr:cNvPicPr>
          <a:picLocks noChangeAspect="1" noChangeArrowheads="1"/>
        </xdr:cNvPicPr>
      </xdr:nvPicPr>
      <xdr:blipFill>
        <a:blip xmlns:r="http://schemas.openxmlformats.org/officeDocument/2006/relationships" r:embed="rId7" cstate="print"/>
        <a:srcRect/>
        <a:stretch>
          <a:fillRect/>
        </a:stretch>
      </xdr:blipFill>
      <xdr:spPr bwMode="auto">
        <a:xfrm>
          <a:off x="6286500" y="12192000"/>
          <a:ext cx="5219700" cy="22860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14</xdr:col>
      <xdr:colOff>28575</xdr:colOff>
      <xdr:row>39</xdr:row>
      <xdr:rowOff>47625</xdr:rowOff>
    </xdr:from>
    <xdr:to>
      <xdr:col>20</xdr:col>
      <xdr:colOff>142875</xdr:colOff>
      <xdr:row>41</xdr:row>
      <xdr:rowOff>152400</xdr:rowOff>
    </xdr:to>
    <xdr:pic>
      <xdr:nvPicPr>
        <xdr:cNvPr id="2059" name="Picture 11">
          <a:extLst>
            <a:ext uri="{FF2B5EF4-FFF2-40B4-BE49-F238E27FC236}">
              <a16:creationId xmlns:a16="http://schemas.microsoft.com/office/drawing/2014/main" id="{00000000-0008-0000-0600-00000B080000}"/>
            </a:ext>
          </a:extLst>
        </xdr:cNvPr>
        <xdr:cNvPicPr>
          <a:picLocks noChangeAspect="1" noChangeArrowheads="1"/>
        </xdr:cNvPicPr>
      </xdr:nvPicPr>
      <xdr:blipFill>
        <a:blip xmlns:r="http://schemas.openxmlformats.org/officeDocument/2006/relationships" r:embed="rId8" cstate="print"/>
        <a:srcRect/>
        <a:stretch>
          <a:fillRect/>
        </a:stretch>
      </xdr:blipFill>
      <xdr:spPr bwMode="auto">
        <a:xfrm>
          <a:off x="11601450" y="11772900"/>
          <a:ext cx="3190875" cy="4286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54</xdr:row>
      <xdr:rowOff>76200</xdr:rowOff>
    </xdr:from>
    <xdr:to>
      <xdr:col>8</xdr:col>
      <xdr:colOff>38100</xdr:colOff>
      <xdr:row>69</xdr:row>
      <xdr:rowOff>28575</xdr:rowOff>
    </xdr:to>
    <xdr:pic>
      <xdr:nvPicPr>
        <xdr:cNvPr id="2060" name="Picture 12">
          <a:extLst>
            <a:ext uri="{FF2B5EF4-FFF2-40B4-BE49-F238E27FC236}">
              <a16:creationId xmlns:a16="http://schemas.microsoft.com/office/drawing/2014/main" id="{00000000-0008-0000-0600-00000C080000}"/>
            </a:ext>
          </a:extLst>
        </xdr:cNvPr>
        <xdr:cNvPicPr>
          <a:picLocks noChangeAspect="1" noChangeArrowheads="1"/>
        </xdr:cNvPicPr>
      </xdr:nvPicPr>
      <xdr:blipFill>
        <a:blip xmlns:r="http://schemas.openxmlformats.org/officeDocument/2006/relationships" r:embed="rId9" cstate="print"/>
        <a:srcRect/>
        <a:stretch>
          <a:fillRect/>
        </a:stretch>
      </xdr:blipFill>
      <xdr:spPr bwMode="auto">
        <a:xfrm>
          <a:off x="57150" y="14782800"/>
          <a:ext cx="6210300" cy="25241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133350</xdr:colOff>
      <xdr:row>54</xdr:row>
      <xdr:rowOff>57150</xdr:rowOff>
    </xdr:from>
    <xdr:to>
      <xdr:col>15</xdr:col>
      <xdr:colOff>352425</xdr:colOff>
      <xdr:row>61</xdr:row>
      <xdr:rowOff>0</xdr:rowOff>
    </xdr:to>
    <xdr:pic>
      <xdr:nvPicPr>
        <xdr:cNvPr id="2061" name="Picture 13">
          <a:extLst>
            <a:ext uri="{FF2B5EF4-FFF2-40B4-BE49-F238E27FC236}">
              <a16:creationId xmlns:a16="http://schemas.microsoft.com/office/drawing/2014/main" id="{00000000-0008-0000-0600-00000D080000}"/>
            </a:ext>
          </a:extLst>
        </xdr:cNvPr>
        <xdr:cNvPicPr>
          <a:picLocks noChangeAspect="1" noChangeArrowheads="1"/>
        </xdr:cNvPicPr>
      </xdr:nvPicPr>
      <xdr:blipFill>
        <a:blip xmlns:r="http://schemas.openxmlformats.org/officeDocument/2006/relationships" r:embed="rId10" cstate="print"/>
        <a:srcRect/>
        <a:stretch>
          <a:fillRect/>
        </a:stretch>
      </xdr:blipFill>
      <xdr:spPr bwMode="auto">
        <a:xfrm>
          <a:off x="6362700" y="14763750"/>
          <a:ext cx="5572125" cy="114300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123825</xdr:colOff>
      <xdr:row>61</xdr:row>
      <xdr:rowOff>76201</xdr:rowOff>
    </xdr:from>
    <xdr:to>
      <xdr:col>15</xdr:col>
      <xdr:colOff>381000</xdr:colOff>
      <xdr:row>67</xdr:row>
      <xdr:rowOff>68765</xdr:rowOff>
    </xdr:to>
    <xdr:pic>
      <xdr:nvPicPr>
        <xdr:cNvPr id="2062" name="Picture 14">
          <a:extLst>
            <a:ext uri="{FF2B5EF4-FFF2-40B4-BE49-F238E27FC236}">
              <a16:creationId xmlns:a16="http://schemas.microsoft.com/office/drawing/2014/main" id="{00000000-0008-0000-0600-00000E080000}"/>
            </a:ext>
          </a:extLst>
        </xdr:cNvPr>
        <xdr:cNvPicPr>
          <a:picLocks noChangeAspect="1" noChangeArrowheads="1"/>
        </xdr:cNvPicPr>
      </xdr:nvPicPr>
      <xdr:blipFill>
        <a:blip xmlns:r="http://schemas.openxmlformats.org/officeDocument/2006/relationships" r:embed="rId11" cstate="print"/>
        <a:srcRect/>
        <a:stretch>
          <a:fillRect/>
        </a:stretch>
      </xdr:blipFill>
      <xdr:spPr bwMode="auto">
        <a:xfrm>
          <a:off x="6343650" y="15363826"/>
          <a:ext cx="5610225" cy="964114"/>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8</xdr:col>
      <xdr:colOff>142875</xdr:colOff>
      <xdr:row>67</xdr:row>
      <xdr:rowOff>133350</xdr:rowOff>
    </xdr:from>
    <xdr:to>
      <xdr:col>13</xdr:col>
      <xdr:colOff>590550</xdr:colOff>
      <xdr:row>76</xdr:row>
      <xdr:rowOff>57150</xdr:rowOff>
    </xdr:to>
    <xdr:pic>
      <xdr:nvPicPr>
        <xdr:cNvPr id="2063" name="Picture 15">
          <a:extLst>
            <a:ext uri="{FF2B5EF4-FFF2-40B4-BE49-F238E27FC236}">
              <a16:creationId xmlns:a16="http://schemas.microsoft.com/office/drawing/2014/main" id="{00000000-0008-0000-0600-00000F080000}"/>
            </a:ext>
          </a:extLst>
        </xdr:cNvPr>
        <xdr:cNvPicPr>
          <a:picLocks noChangeAspect="1" noChangeArrowheads="1"/>
        </xdr:cNvPicPr>
      </xdr:nvPicPr>
      <xdr:blipFill>
        <a:blip xmlns:r="http://schemas.openxmlformats.org/officeDocument/2006/relationships" r:embed="rId12" cstate="print"/>
        <a:srcRect/>
        <a:stretch>
          <a:fillRect/>
        </a:stretch>
      </xdr:blipFill>
      <xdr:spPr bwMode="auto">
        <a:xfrm>
          <a:off x="6362700" y="16392525"/>
          <a:ext cx="5095875" cy="138112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69</xdr:row>
      <xdr:rowOff>123825</xdr:rowOff>
    </xdr:from>
    <xdr:to>
      <xdr:col>8</xdr:col>
      <xdr:colOff>57150</xdr:colOff>
      <xdr:row>74</xdr:row>
      <xdr:rowOff>104775</xdr:rowOff>
    </xdr:to>
    <xdr:pic>
      <xdr:nvPicPr>
        <xdr:cNvPr id="2064" name="Picture 16">
          <a:extLst>
            <a:ext uri="{FF2B5EF4-FFF2-40B4-BE49-F238E27FC236}">
              <a16:creationId xmlns:a16="http://schemas.microsoft.com/office/drawing/2014/main" id="{00000000-0008-0000-0600-000010080000}"/>
            </a:ext>
          </a:extLst>
        </xdr:cNvPr>
        <xdr:cNvPicPr>
          <a:picLocks noChangeAspect="1" noChangeArrowheads="1"/>
        </xdr:cNvPicPr>
      </xdr:nvPicPr>
      <xdr:blipFill>
        <a:blip xmlns:r="http://schemas.openxmlformats.org/officeDocument/2006/relationships" r:embed="rId13" cstate="print"/>
        <a:srcRect/>
        <a:stretch>
          <a:fillRect/>
        </a:stretch>
      </xdr:blipFill>
      <xdr:spPr bwMode="auto">
        <a:xfrm>
          <a:off x="57150" y="16706850"/>
          <a:ext cx="6219825" cy="790575"/>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twoCellAnchor editAs="oneCell">
    <xdr:from>
      <xdr:col>0</xdr:col>
      <xdr:colOff>57150</xdr:colOff>
      <xdr:row>4</xdr:row>
      <xdr:rowOff>104775</xdr:rowOff>
    </xdr:from>
    <xdr:to>
      <xdr:col>8</xdr:col>
      <xdr:colOff>0</xdr:colOff>
      <xdr:row>20</xdr:row>
      <xdr:rowOff>47625</xdr:rowOff>
    </xdr:to>
    <xdr:pic>
      <xdr:nvPicPr>
        <xdr:cNvPr id="2066" name="Picture 18">
          <a:extLst>
            <a:ext uri="{FF2B5EF4-FFF2-40B4-BE49-F238E27FC236}">
              <a16:creationId xmlns:a16="http://schemas.microsoft.com/office/drawing/2014/main" id="{00000000-0008-0000-0600-000012080000}"/>
            </a:ext>
          </a:extLst>
        </xdr:cNvPr>
        <xdr:cNvPicPr>
          <a:picLocks noChangeAspect="1" noChangeArrowheads="1"/>
        </xdr:cNvPicPr>
      </xdr:nvPicPr>
      <xdr:blipFill>
        <a:blip xmlns:r="http://schemas.openxmlformats.org/officeDocument/2006/relationships" r:embed="rId14" cstate="print"/>
        <a:srcRect/>
        <a:stretch>
          <a:fillRect/>
        </a:stretch>
      </xdr:blipFill>
      <xdr:spPr bwMode="auto">
        <a:xfrm>
          <a:off x="57150" y="6038850"/>
          <a:ext cx="6162675" cy="2533650"/>
        </a:xfrm>
        <a:prstGeom prst="rect">
          <a:avLst/>
        </a:prstGeom>
        <a:ln w="19050" cap="sq">
          <a:solidFill>
            <a:srgbClr val="000000"/>
          </a:solidFill>
          <a:prstDash val="solid"/>
          <a:miter lim="800000"/>
        </a:ln>
        <a:effectLst>
          <a:outerShdw blurRad="50800" dist="38100" dir="2700000" algn="tl" rotWithShape="0">
            <a:srgbClr val="000000">
              <a:alpha val="43000"/>
            </a:srgbClr>
          </a:outerShdw>
        </a:effec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41</xdr:col>
      <xdr:colOff>200024</xdr:colOff>
      <xdr:row>7</xdr:row>
      <xdr:rowOff>114300</xdr:rowOff>
    </xdr:from>
    <xdr:to>
      <xdr:col>54</xdr:col>
      <xdr:colOff>406400</xdr:colOff>
      <xdr:row>44</xdr:row>
      <xdr:rowOff>190500</xdr:rowOff>
    </xdr:to>
    <xdr:graphicFrame macro="">
      <xdr:nvGraphicFramePr>
        <xdr:cNvPr id="2" name="Chart 1">
          <a:extLst>
            <a:ext uri="{FF2B5EF4-FFF2-40B4-BE49-F238E27FC236}">
              <a16:creationId xmlns:a16="http://schemas.microsoft.com/office/drawing/2014/main" id="{00000000-0008-0000-08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41</xdr:col>
      <xdr:colOff>266700</xdr:colOff>
      <xdr:row>45</xdr:row>
      <xdr:rowOff>190500</xdr:rowOff>
    </xdr:from>
    <xdr:to>
      <xdr:col>54</xdr:col>
      <xdr:colOff>368300</xdr:colOff>
      <xdr:row>86</xdr:row>
      <xdr:rowOff>38100</xdr:rowOff>
    </xdr:to>
    <xdr:graphicFrame macro="">
      <xdr:nvGraphicFramePr>
        <xdr:cNvPr id="3" name="Chart 2">
          <a:extLst>
            <a:ext uri="{FF2B5EF4-FFF2-40B4-BE49-F238E27FC236}">
              <a16:creationId xmlns:a16="http://schemas.microsoft.com/office/drawing/2014/main" id="{00000000-0008-0000-08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55</xdr:col>
      <xdr:colOff>25400</xdr:colOff>
      <xdr:row>45</xdr:row>
      <xdr:rowOff>190500</xdr:rowOff>
    </xdr:from>
    <xdr:to>
      <xdr:col>69</xdr:col>
      <xdr:colOff>596900</xdr:colOff>
      <xdr:row>86</xdr:row>
      <xdr:rowOff>38100</xdr:rowOff>
    </xdr:to>
    <xdr:graphicFrame macro="">
      <xdr:nvGraphicFramePr>
        <xdr:cNvPr id="4" name="Chart 3">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55</xdr:col>
      <xdr:colOff>12700</xdr:colOff>
      <xdr:row>7</xdr:row>
      <xdr:rowOff>127000</xdr:rowOff>
    </xdr:from>
    <xdr:to>
      <xdr:col>69</xdr:col>
      <xdr:colOff>596900</xdr:colOff>
      <xdr:row>44</xdr:row>
      <xdr:rowOff>177800</xdr:rowOff>
    </xdr:to>
    <xdr:graphicFrame macro="">
      <xdr:nvGraphicFramePr>
        <xdr:cNvPr id="6" name="Chart 5">
          <a:extLst>
            <a:ext uri="{FF2B5EF4-FFF2-40B4-BE49-F238E27FC236}">
              <a16:creationId xmlns:a16="http://schemas.microsoft.com/office/drawing/2014/main" id="{00000000-0008-0000-08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34</xdr:col>
      <xdr:colOff>0</xdr:colOff>
      <xdr:row>1</xdr:row>
      <xdr:rowOff>0</xdr:rowOff>
    </xdr:from>
    <xdr:to>
      <xdr:col>43</xdr:col>
      <xdr:colOff>438151</xdr:colOff>
      <xdr:row>34</xdr:row>
      <xdr:rowOff>142876</xdr:rowOff>
    </xdr:to>
    <xdr:pic>
      <xdr:nvPicPr>
        <xdr:cNvPr id="1032" name="Picture 8">
          <a:extLst>
            <a:ext uri="{FF2B5EF4-FFF2-40B4-BE49-F238E27FC236}">
              <a16:creationId xmlns:a16="http://schemas.microsoft.com/office/drawing/2014/main" id="{00000000-0008-0000-0B00-00000804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30565725" y="200025"/>
          <a:ext cx="5924550" cy="5591175"/>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omments" Target="../comments1.xml"/><Relationship Id="rId5" Type="http://schemas.openxmlformats.org/officeDocument/2006/relationships/image" Target="../media/image1.emf"/><Relationship Id="rId4" Type="http://schemas.openxmlformats.org/officeDocument/2006/relationships/control" Target="../activeX/activeX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3.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V219"/>
  <sheetViews>
    <sheetView showGridLines="0" tabSelected="1" zoomScaleNormal="100" workbookViewId="0"/>
  </sheetViews>
  <sheetFormatPr defaultRowHeight="12.75"/>
  <cols>
    <col min="1" max="1" width="10.42578125" customWidth="1"/>
    <col min="2" max="2" width="15.42578125" customWidth="1"/>
    <col min="3" max="3" width="13.7109375" customWidth="1"/>
    <col min="4" max="4" width="5.140625" customWidth="1"/>
    <col min="5" max="5" width="13.5703125" customWidth="1"/>
    <col min="6" max="6" width="5" customWidth="1"/>
    <col min="7" max="7" width="9.85546875" customWidth="1"/>
    <col min="8" max="8" width="8.5703125" customWidth="1"/>
    <col min="9" max="9" width="22.5703125" customWidth="1"/>
    <col min="10" max="10" width="23" customWidth="1"/>
    <col min="11" max="11" width="15.42578125" customWidth="1"/>
    <col min="12" max="12" width="10.42578125" customWidth="1"/>
    <col min="13" max="13" width="12.85546875" customWidth="1"/>
    <col min="14" max="14" width="15.85546875" customWidth="1"/>
    <col min="15" max="15" width="22.85546875" customWidth="1"/>
    <col min="16" max="16" width="21.85546875" customWidth="1"/>
    <col min="20" max="20" width="26.28515625" hidden="1" customWidth="1"/>
    <col min="21" max="21" width="13.140625" hidden="1" customWidth="1"/>
    <col min="22" max="22" width="12.28515625" bestFit="1" customWidth="1"/>
  </cols>
  <sheetData>
    <row r="1" spans="1:22">
      <c r="G1" s="135" t="s">
        <v>0</v>
      </c>
    </row>
    <row r="2" spans="1:22" ht="12.75" customHeight="1">
      <c r="B2" s="141" t="s">
        <v>1</v>
      </c>
      <c r="C2" s="245" t="s">
        <v>2</v>
      </c>
      <c r="D2" s="80"/>
      <c r="G2" t="s">
        <v>3</v>
      </c>
      <c r="K2" s="136"/>
      <c r="L2" s="137" t="s">
        <v>4</v>
      </c>
      <c r="T2" s="80" t="s">
        <v>5</v>
      </c>
      <c r="U2" s="80" t="s">
        <v>6</v>
      </c>
      <c r="V2" s="80"/>
    </row>
    <row r="3" spans="1:22">
      <c r="B3" s="141"/>
      <c r="C3" s="251"/>
      <c r="D3" s="80"/>
      <c r="G3" s="138"/>
      <c r="H3" s="138"/>
      <c r="I3" s="138"/>
      <c r="J3" s="138"/>
      <c r="K3" s="139"/>
      <c r="L3" s="140" t="s">
        <v>7</v>
      </c>
      <c r="N3" s="138"/>
      <c r="O3" s="138"/>
      <c r="P3" s="138"/>
      <c r="R3" s="81"/>
      <c r="T3" s="81" t="s">
        <v>8</v>
      </c>
      <c r="U3" s="81" t="s">
        <v>9</v>
      </c>
      <c r="V3" s="81"/>
    </row>
    <row r="4" spans="1:22">
      <c r="A4" s="154"/>
      <c r="B4" s="141" t="s">
        <v>10</v>
      </c>
      <c r="C4" s="84">
        <v>4560</v>
      </c>
      <c r="D4" s="80" t="s">
        <v>11</v>
      </c>
      <c r="E4" s="142"/>
      <c r="G4" s="81" t="s">
        <v>12</v>
      </c>
      <c r="H4" s="81"/>
      <c r="I4" s="138"/>
      <c r="J4" s="138"/>
      <c r="K4" s="143"/>
      <c r="L4" s="140" t="s">
        <v>13</v>
      </c>
      <c r="N4" s="138"/>
      <c r="O4" s="138"/>
      <c r="P4" s="138"/>
      <c r="R4" s="81"/>
      <c r="T4" s="81" t="s">
        <v>14</v>
      </c>
      <c r="U4" s="81" t="s">
        <v>15</v>
      </c>
      <c r="V4" s="81"/>
    </row>
    <row r="5" spans="1:22">
      <c r="B5" s="141" t="s">
        <v>16</v>
      </c>
      <c r="C5" s="76">
        <v>671.34</v>
      </c>
      <c r="D5" s="80" t="s">
        <v>11</v>
      </c>
      <c r="G5" t="s">
        <v>17</v>
      </c>
      <c r="I5" s="138"/>
      <c r="J5" s="138"/>
      <c r="K5" s="144"/>
      <c r="L5" s="140" t="s">
        <v>18</v>
      </c>
      <c r="M5" s="138"/>
      <c r="N5" s="258"/>
      <c r="O5" s="138"/>
      <c r="P5" s="138"/>
      <c r="T5" s="246" t="s">
        <v>14</v>
      </c>
      <c r="U5" s="253" t="str">
        <f>C16</f>
        <v>Piping</v>
      </c>
    </row>
    <row r="6" spans="1:22">
      <c r="B6" s="141" t="s">
        <v>19</v>
      </c>
      <c r="C6" s="249">
        <f>C5-C8</f>
        <v>179.82000000000005</v>
      </c>
      <c r="D6" s="80" t="s">
        <v>11</v>
      </c>
      <c r="G6" s="81" t="s">
        <v>20</v>
      </c>
      <c r="I6" s="138"/>
      <c r="J6" s="138"/>
      <c r="K6" s="145"/>
      <c r="L6" s="140" t="s">
        <v>21</v>
      </c>
      <c r="M6" s="138"/>
      <c r="N6" s="258"/>
      <c r="O6" s="138"/>
      <c r="P6" s="138"/>
    </row>
    <row r="7" spans="1:22">
      <c r="B7" s="141" t="s">
        <v>22</v>
      </c>
      <c r="C7" s="250">
        <f>C5</f>
        <v>671.34</v>
      </c>
      <c r="D7" s="80" t="s">
        <v>11</v>
      </c>
      <c r="E7" s="146">
        <f>C7*0.3048</f>
        <v>204.62443200000001</v>
      </c>
      <c r="F7" s="80" t="s">
        <v>23</v>
      </c>
      <c r="G7" t="s">
        <v>24</v>
      </c>
      <c r="I7" s="138"/>
      <c r="J7" s="138"/>
      <c r="K7" s="147"/>
      <c r="L7" s="148" t="s">
        <v>25</v>
      </c>
      <c r="M7" s="258"/>
      <c r="N7" s="258"/>
      <c r="O7" s="138"/>
      <c r="P7" s="138"/>
    </row>
    <row r="8" spans="1:22">
      <c r="B8" s="141" t="s">
        <v>26</v>
      </c>
      <c r="C8" s="82">
        <v>491.52</v>
      </c>
      <c r="D8" s="80" t="s">
        <v>11</v>
      </c>
      <c r="E8" s="146">
        <f>C8*0.3048</f>
        <v>149.81529599999999</v>
      </c>
      <c r="F8" s="80" t="s">
        <v>23</v>
      </c>
      <c r="G8" s="81" t="s">
        <v>27</v>
      </c>
      <c r="I8" s="138"/>
      <c r="J8" s="138"/>
      <c r="K8" s="149"/>
      <c r="M8" s="149"/>
      <c r="N8" s="258"/>
      <c r="O8" s="138"/>
      <c r="P8" s="138"/>
    </row>
    <row r="9" spans="1:22" ht="15.75">
      <c r="B9" s="141" t="s">
        <v>28</v>
      </c>
      <c r="C9" s="250">
        <f>C8+0.5</f>
        <v>492.02</v>
      </c>
      <c r="D9" s="80" t="s">
        <v>11</v>
      </c>
      <c r="E9" s="146">
        <f>C9*0.3048</f>
        <v>149.96769599999999</v>
      </c>
      <c r="F9" s="80" t="s">
        <v>23</v>
      </c>
      <c r="G9" s="150" t="s">
        <v>29</v>
      </c>
      <c r="H9" s="138"/>
      <c r="I9" s="138"/>
      <c r="J9" s="138"/>
      <c r="K9" s="141" t="s">
        <v>30</v>
      </c>
      <c r="L9" s="151" t="s">
        <v>31</v>
      </c>
      <c r="M9" s="149"/>
      <c r="N9" s="258"/>
      <c r="O9" s="138"/>
      <c r="P9" s="138"/>
    </row>
    <row r="10" spans="1:22" ht="15.75">
      <c r="B10" s="141" t="s">
        <v>32</v>
      </c>
      <c r="C10" s="83">
        <v>95467</v>
      </c>
      <c r="D10" s="80" t="s">
        <v>33</v>
      </c>
      <c r="E10" s="152">
        <f>C10*1233.5</f>
        <v>117758544.5</v>
      </c>
      <c r="F10" s="80" t="s">
        <v>34</v>
      </c>
      <c r="G10" s="154" t="s">
        <v>35</v>
      </c>
      <c r="H10" s="81"/>
      <c r="I10" s="81"/>
      <c r="J10" s="138"/>
      <c r="K10" s="153" t="s">
        <v>36</v>
      </c>
      <c r="L10" s="154" t="s">
        <v>37</v>
      </c>
      <c r="M10" s="149"/>
      <c r="N10" s="258"/>
      <c r="O10" s="138"/>
      <c r="P10" s="138"/>
    </row>
    <row r="11" spans="1:22" ht="15.75">
      <c r="B11" s="153" t="s">
        <v>38</v>
      </c>
      <c r="C11" s="155">
        <f>C7-C9</f>
        <v>179.32000000000005</v>
      </c>
      <c r="D11" s="80" t="s">
        <v>11</v>
      </c>
      <c r="E11" s="146">
        <f>C11*0.3048</f>
        <v>54.656736000000016</v>
      </c>
      <c r="F11" s="80" t="s">
        <v>23</v>
      </c>
      <c r="G11" s="141" t="s">
        <v>38</v>
      </c>
      <c r="H11" t="s">
        <v>39</v>
      </c>
      <c r="I11" s="138"/>
      <c r="J11" s="138"/>
      <c r="K11" s="153" t="s">
        <v>40</v>
      </c>
      <c r="L11" s="154" t="s">
        <v>41</v>
      </c>
      <c r="M11" s="149"/>
      <c r="N11" s="138"/>
      <c r="O11" s="81"/>
      <c r="P11" s="81"/>
    </row>
    <row r="12" spans="1:22" ht="15.75">
      <c r="B12" s="153" t="s">
        <v>42</v>
      </c>
      <c r="C12" s="156">
        <f>C5-C9</f>
        <v>179.32000000000005</v>
      </c>
      <c r="D12" s="80" t="s">
        <v>11</v>
      </c>
      <c r="E12" s="146">
        <f>C12*0.3048</f>
        <v>54.656736000000016</v>
      </c>
      <c r="F12" s="80" t="s">
        <v>23</v>
      </c>
      <c r="G12" s="153" t="s">
        <v>42</v>
      </c>
      <c r="H12" t="s">
        <v>43</v>
      </c>
      <c r="I12" s="138"/>
      <c r="J12" s="138"/>
      <c r="K12" s="141" t="s">
        <v>44</v>
      </c>
      <c r="L12" s="81" t="s">
        <v>45</v>
      </c>
      <c r="M12" s="81"/>
      <c r="N12" s="81"/>
      <c r="O12" s="258"/>
      <c r="P12" s="258"/>
    </row>
    <row r="13" spans="1:22">
      <c r="B13" s="141" t="s">
        <v>46</v>
      </c>
      <c r="C13" s="77">
        <v>30</v>
      </c>
      <c r="D13" s="80" t="s">
        <v>11</v>
      </c>
      <c r="E13" s="146">
        <f>C13*0.3048</f>
        <v>9.1440000000000001</v>
      </c>
      <c r="F13" s="80" t="s">
        <v>23</v>
      </c>
      <c r="G13" s="154" t="s">
        <v>47</v>
      </c>
      <c r="H13" s="81"/>
      <c r="I13" s="81"/>
      <c r="J13" s="81"/>
      <c r="K13" s="149"/>
      <c r="L13" s="81"/>
      <c r="M13" s="81"/>
      <c r="N13" s="81"/>
      <c r="O13" s="81"/>
      <c r="P13" s="81"/>
    </row>
    <row r="14" spans="1:22" ht="13.5" thickBot="1">
      <c r="B14" s="141" t="s">
        <v>48</v>
      </c>
      <c r="C14" s="78">
        <v>3</v>
      </c>
      <c r="D14" s="80"/>
      <c r="E14" s="157">
        <f>C14</f>
        <v>3</v>
      </c>
      <c r="F14" s="80"/>
      <c r="G14" s="154" t="s">
        <v>49</v>
      </c>
      <c r="H14" s="154" t="s">
        <v>50</v>
      </c>
      <c r="I14" s="138"/>
      <c r="J14" s="138"/>
      <c r="K14" s="259"/>
      <c r="L14" s="81"/>
      <c r="M14" s="81"/>
      <c r="N14" s="81"/>
    </row>
    <row r="15" spans="1:22">
      <c r="B15" s="141" t="s">
        <v>51</v>
      </c>
      <c r="C15" s="78">
        <v>3</v>
      </c>
      <c r="D15" s="80"/>
      <c r="E15" s="157">
        <f>C15</f>
        <v>3</v>
      </c>
      <c r="F15" s="80"/>
      <c r="G15" s="154" t="s">
        <v>52</v>
      </c>
      <c r="H15" s="154" t="s">
        <v>53</v>
      </c>
      <c r="I15" s="138"/>
      <c r="J15" s="138"/>
      <c r="K15" s="233" t="s">
        <v>54</v>
      </c>
      <c r="L15" s="234"/>
      <c r="M15" s="235" t="s">
        <v>55</v>
      </c>
      <c r="N15" s="236" t="s">
        <v>56</v>
      </c>
    </row>
    <row r="16" spans="1:22" ht="15.75">
      <c r="B16" s="141" t="s">
        <v>57</v>
      </c>
      <c r="C16" s="252" t="s">
        <v>15</v>
      </c>
      <c r="D16" s="80"/>
      <c r="E16" s="158"/>
      <c r="F16" s="80"/>
      <c r="G16" s="154" t="s">
        <v>58</v>
      </c>
      <c r="H16" s="154"/>
      <c r="I16" s="138"/>
      <c r="J16" s="138"/>
      <c r="K16" s="237" t="s">
        <v>59</v>
      </c>
      <c r="L16" s="238" t="s">
        <v>60</v>
      </c>
      <c r="M16" s="247">
        <f>0.5*C12</f>
        <v>89.660000000000025</v>
      </c>
      <c r="N16" s="248">
        <f>5*C12</f>
        <v>896.60000000000025</v>
      </c>
    </row>
    <row r="17" spans="2:20" ht="18" customHeight="1" thickBot="1">
      <c r="B17" s="159" t="s">
        <v>61</v>
      </c>
      <c r="C17" s="79"/>
      <c r="D17" s="230"/>
      <c r="E17" s="231"/>
      <c r="F17" s="230"/>
      <c r="G17" s="232" t="s">
        <v>62</v>
      </c>
      <c r="H17" s="154"/>
      <c r="I17" s="138"/>
      <c r="J17" s="138"/>
      <c r="K17" s="239" t="s">
        <v>36</v>
      </c>
      <c r="L17" s="240" t="s">
        <v>63</v>
      </c>
      <c r="M17" s="241"/>
      <c r="N17" s="242"/>
    </row>
    <row r="18" spans="2:20" ht="18" customHeight="1">
      <c r="B18" s="159"/>
      <c r="C18" s="79"/>
      <c r="D18" s="230"/>
      <c r="E18" s="231"/>
      <c r="F18" s="230"/>
      <c r="G18" s="232"/>
      <c r="H18" s="154"/>
      <c r="I18" s="138"/>
      <c r="J18" s="138"/>
      <c r="K18" s="259"/>
      <c r="L18" s="81"/>
      <c r="M18" s="141"/>
      <c r="N18" s="260"/>
    </row>
    <row r="19" spans="2:20" ht="13.5" thickBot="1">
      <c r="B19" s="135"/>
      <c r="H19" s="138"/>
      <c r="I19" s="138"/>
      <c r="J19" s="138"/>
      <c r="L19" s="81"/>
      <c r="M19" s="81"/>
      <c r="N19" s="2"/>
      <c r="O19" s="81"/>
      <c r="P19" s="81"/>
    </row>
    <row r="20" spans="2:20" ht="15" customHeight="1" thickBot="1">
      <c r="B20" s="269" t="s">
        <v>64</v>
      </c>
      <c r="C20" s="270"/>
      <c r="D20" s="270"/>
      <c r="E20" s="270"/>
      <c r="F20" s="270"/>
      <c r="G20" s="270"/>
      <c r="H20" s="270"/>
      <c r="I20" s="271"/>
      <c r="J20" s="138"/>
      <c r="K20" s="276" t="s">
        <v>65</v>
      </c>
      <c r="L20" s="277"/>
      <c r="M20" s="277"/>
      <c r="N20" s="277"/>
      <c r="O20" s="278"/>
      <c r="P20" s="261"/>
      <c r="S20" s="81"/>
      <c r="T20" s="81"/>
    </row>
    <row r="21" spans="2:20" ht="39" customHeight="1">
      <c r="B21" s="160" t="s">
        <v>66</v>
      </c>
      <c r="E21" s="272" t="s">
        <v>67</v>
      </c>
      <c r="F21" s="272"/>
      <c r="G21" s="272"/>
      <c r="H21" s="272"/>
      <c r="I21" s="273"/>
      <c r="J21" s="138"/>
      <c r="K21" s="161" t="s">
        <v>68</v>
      </c>
      <c r="L21" s="254" t="s">
        <v>69</v>
      </c>
      <c r="M21" s="283" t="s">
        <v>70</v>
      </c>
      <c r="N21" s="284"/>
      <c r="O21" s="162" t="s">
        <v>71</v>
      </c>
      <c r="T21" s="81"/>
    </row>
    <row r="22" spans="2:20" ht="15.75">
      <c r="B22" s="163" t="s">
        <v>72</v>
      </c>
      <c r="C22" s="164">
        <f>E22/1233.5</f>
        <v>641.79756651054367</v>
      </c>
      <c r="D22" s="80" t="s">
        <v>33</v>
      </c>
      <c r="E22" s="165">
        <f>IF(T5="Earthfill", 0.0261*(E10*E11)^0.769,IF(T5="Earthfill w/ clay core or rockfill",0.00348*(E10*E11)^0.852,"Error"))</f>
        <v>791657.2982907556</v>
      </c>
      <c r="F22" s="166" t="s">
        <v>34</v>
      </c>
      <c r="G22" s="167" t="s">
        <v>73</v>
      </c>
      <c r="H22" s="168">
        <f>AVERAGE(C24,H23)</f>
        <v>302.81024809396951</v>
      </c>
      <c r="I22" s="169" t="s">
        <v>74</v>
      </c>
      <c r="J22" s="262"/>
      <c r="K22" s="170" t="s">
        <v>75</v>
      </c>
      <c r="L22" s="171">
        <f>C24</f>
        <v>213.15024809396945</v>
      </c>
      <c r="M22" s="285">
        <f>C23</f>
        <v>2.5114271158694512</v>
      </c>
      <c r="N22" s="286"/>
      <c r="O22" s="172" t="str">
        <f>IF($H$22&gt;=0.5*$C$6,IF($H$22&lt;=5*$C$6,IF(M22&gt;=0.1,IF(M22&lt;=4,"TRUE","FALSE"),"FALSE"),"FALSE"),"FALSE")</f>
        <v>TRUE</v>
      </c>
    </row>
    <row r="23" spans="2:20" ht="15.75">
      <c r="B23" s="173" t="s">
        <v>36</v>
      </c>
      <c r="C23" s="174">
        <f>E23</f>
        <v>2.5114271158694512</v>
      </c>
      <c r="D23" s="80" t="s">
        <v>76</v>
      </c>
      <c r="E23" s="175">
        <f>0.0179*(E22)^0.364</f>
        <v>2.5114271158694512</v>
      </c>
      <c r="F23" s="80" t="s">
        <v>76</v>
      </c>
      <c r="G23" s="138"/>
      <c r="H23" s="168">
        <f>C24+(C12)</f>
        <v>392.47024809396953</v>
      </c>
      <c r="I23" s="176" t="s">
        <v>77</v>
      </c>
      <c r="J23" s="262"/>
      <c r="K23" s="177" t="s">
        <v>78</v>
      </c>
      <c r="L23" s="178">
        <f>C30</f>
        <v>322.61788587138773</v>
      </c>
      <c r="M23" s="287">
        <f>C31</f>
        <v>1.3139546630012227</v>
      </c>
      <c r="N23" s="288"/>
      <c r="O23" s="172" t="str">
        <f>IF($C$29&gt;=0.5*$C$6,IF($C$29&lt;=5*$C$6,IF(M23&gt;=0.1,IF(M23&lt;=4,"TRUE","FALSE"),"FALSE"),"FALSE"),"FALSE")</f>
        <v>TRUE</v>
      </c>
    </row>
    <row r="24" spans="2:20" ht="16.5" thickBot="1">
      <c r="B24" s="179" t="s">
        <v>40</v>
      </c>
      <c r="C24" s="180">
        <f>E24/0.3048</f>
        <v>213.15024809396945</v>
      </c>
      <c r="D24" s="181" t="s">
        <v>11</v>
      </c>
      <c r="E24" s="182">
        <f>(E22-(E12^2*((E13*0.5)+((E12*0.5*(E14+E15))/3))))/((E12*(E13+(0.5*E12*(E14+E15)))))</f>
        <v>64.968195619041893</v>
      </c>
      <c r="F24" s="181" t="s">
        <v>23</v>
      </c>
      <c r="G24" s="183"/>
      <c r="H24" s="184" t="b">
        <f>OR(H23&lt;C4)</f>
        <v>1</v>
      </c>
      <c r="I24" s="185" t="s">
        <v>79</v>
      </c>
      <c r="J24" s="186"/>
      <c r="K24" s="187" t="s">
        <v>80</v>
      </c>
      <c r="L24" s="188">
        <f>C37</f>
        <v>272.19114251366079</v>
      </c>
      <c r="M24" s="289">
        <f>C38</f>
        <v>1.11302972116948</v>
      </c>
      <c r="N24" s="290"/>
      <c r="O24" s="172" t="str">
        <f>IF($C$36&gt;=0.5*$C$6,IF($C$36&lt;=5*$C$6,IF(M24&gt;=0.1,IF(M24&lt;=4,"TRUE","FALSE"),"FALSE"),"FALSE"),"FALSE")</f>
        <v>TRUE</v>
      </c>
    </row>
    <row r="25" spans="2:20" ht="13.5" thickBot="1">
      <c r="G25" s="138"/>
      <c r="H25" s="138"/>
      <c r="I25" s="138"/>
      <c r="J25" s="138"/>
      <c r="K25" s="279" t="s">
        <v>81</v>
      </c>
      <c r="L25" s="281">
        <f>C44</f>
        <v>448.98000000000013</v>
      </c>
      <c r="M25" s="189">
        <f>C45</f>
        <v>1.3431347200000003</v>
      </c>
      <c r="N25" s="190" t="s">
        <v>82</v>
      </c>
      <c r="O25" s="172" t="str">
        <f>IF($C$43&gt;=0.5*$C$6,IF($C$43&lt;=5*$C$6,IF(M25&gt;=0.1,IF(M25&lt;=4,"TRUE","FALSE"),"FALSE"),"FALSE"),"FALSE")</f>
        <v>TRUE</v>
      </c>
    </row>
    <row r="26" spans="2:20" ht="15.75" thickBot="1">
      <c r="B26" s="269" t="s">
        <v>83</v>
      </c>
      <c r="C26" s="270"/>
      <c r="D26" s="270"/>
      <c r="E26" s="270"/>
      <c r="F26" s="270"/>
      <c r="G26" s="270"/>
      <c r="H26" s="270"/>
      <c r="I26" s="271"/>
      <c r="J26" s="138"/>
      <c r="K26" s="280"/>
      <c r="L26" s="282"/>
      <c r="M26" s="191">
        <f>C46</f>
        <v>0.82487200000000027</v>
      </c>
      <c r="N26" s="192" t="s">
        <v>84</v>
      </c>
      <c r="O26" s="193" t="str">
        <f>IF($C$43&gt;=0.5*$C$6,IF($C$43&lt;=5*$C$6,IF(M26&gt;=0.1,IF(M26&lt;=4,"TRUE","FALSE"),"FALSE"),"FALSE"),"FALSE")</f>
        <v>TRUE</v>
      </c>
    </row>
    <row r="27" spans="2:20" ht="15.75">
      <c r="B27" s="163" t="s">
        <v>85</v>
      </c>
      <c r="C27" s="194">
        <f>IF(U5="Overtopping", 1.4, IF(U5="Piping", 1,"Error"))</f>
        <v>1</v>
      </c>
      <c r="D27" t="s">
        <v>86</v>
      </c>
      <c r="I27" s="195"/>
      <c r="J27" s="138"/>
      <c r="M27" s="196"/>
      <c r="N27" s="196"/>
      <c r="O27" s="196"/>
      <c r="P27" s="196"/>
      <c r="Q27" s="196"/>
      <c r="R27" s="196"/>
    </row>
    <row r="28" spans="2:20">
      <c r="B28" s="197" t="s">
        <v>87</v>
      </c>
      <c r="C28" s="194">
        <f>IF(U5="Overtopping", 1.4, IF(U5="Piping", 0.9,"Error"))</f>
        <v>0.9</v>
      </c>
      <c r="D28" s="138" t="s">
        <v>88</v>
      </c>
      <c r="E28" s="138"/>
      <c r="G28" s="138"/>
      <c r="H28" s="138"/>
      <c r="I28" s="198"/>
      <c r="J28" s="138"/>
      <c r="K28" s="138"/>
      <c r="M28" s="196"/>
      <c r="N28" s="196"/>
      <c r="O28" s="196"/>
      <c r="P28" s="196"/>
      <c r="Q28" s="196"/>
      <c r="R28" s="196"/>
    </row>
    <row r="29" spans="2:20" ht="15.75">
      <c r="B29" s="163" t="s">
        <v>59</v>
      </c>
      <c r="C29" s="164">
        <f>E29/0.3048</f>
        <v>484.00588587138782</v>
      </c>
      <c r="D29" s="80" t="s">
        <v>11</v>
      </c>
      <c r="E29" s="165">
        <f>0.1803*(C27)*(E10^0.32)*(E12^0.19)</f>
        <v>147.52499401359901</v>
      </c>
      <c r="F29" s="166" t="s">
        <v>23</v>
      </c>
      <c r="G29" s="138"/>
      <c r="H29" s="168">
        <f>C29+(C28*C12)</f>
        <v>645.39388587138785</v>
      </c>
      <c r="I29" s="176" t="s">
        <v>77</v>
      </c>
      <c r="J29" s="138"/>
      <c r="K29" s="138"/>
      <c r="L29" s="138"/>
      <c r="M29" s="263"/>
      <c r="N29" s="263"/>
      <c r="O29" s="263"/>
      <c r="P29" s="263"/>
      <c r="Q29" s="263"/>
      <c r="R29" s="263"/>
    </row>
    <row r="30" spans="2:20" ht="15.75">
      <c r="B30" s="199" t="s">
        <v>40</v>
      </c>
      <c r="C30" s="200">
        <f>E30/0.3048</f>
        <v>322.61788587138773</v>
      </c>
      <c r="D30" s="80" t="s">
        <v>11</v>
      </c>
      <c r="E30" s="201">
        <f>E29-(E12*C28)</f>
        <v>98.333931613598992</v>
      </c>
      <c r="F30" s="166" t="s">
        <v>23</v>
      </c>
      <c r="G30" s="138"/>
      <c r="H30" s="202" t="b">
        <f>OR(H29&lt;C4)</f>
        <v>1</v>
      </c>
      <c r="I30" s="203" t="s">
        <v>79</v>
      </c>
      <c r="J30" s="138"/>
      <c r="K30" s="138"/>
      <c r="N30" s="263"/>
      <c r="O30" s="263"/>
      <c r="P30" s="263"/>
      <c r="Q30" s="263"/>
      <c r="R30" s="263"/>
    </row>
    <row r="31" spans="2:20" ht="16.5" thickBot="1">
      <c r="B31" s="179" t="s">
        <v>36</v>
      </c>
      <c r="C31" s="204">
        <f>E31</f>
        <v>1.3139546630012227</v>
      </c>
      <c r="D31" s="181" t="s">
        <v>76</v>
      </c>
      <c r="E31" s="205">
        <f>0.00254*(E10^0.53)*(E12^(-0.9))</f>
        <v>1.3139546630012227</v>
      </c>
      <c r="F31" s="181" t="s">
        <v>76</v>
      </c>
      <c r="G31" s="206"/>
      <c r="H31" s="206"/>
      <c r="I31" s="207"/>
      <c r="J31" s="138"/>
      <c r="K31" s="138"/>
      <c r="N31" s="263"/>
      <c r="O31" s="263"/>
      <c r="P31" s="263"/>
      <c r="Q31" s="263"/>
      <c r="R31" s="263"/>
    </row>
    <row r="32" spans="2:20" ht="13.5" thickBot="1">
      <c r="G32" s="138"/>
      <c r="K32" s="138"/>
      <c r="N32" s="263"/>
      <c r="O32" s="263"/>
      <c r="P32" s="263"/>
      <c r="Q32" s="263"/>
      <c r="R32" s="263"/>
    </row>
    <row r="33" spans="2:18" ht="15">
      <c r="B33" s="269" t="s">
        <v>89</v>
      </c>
      <c r="C33" s="270"/>
      <c r="D33" s="270"/>
      <c r="E33" s="270"/>
      <c r="F33" s="270"/>
      <c r="G33" s="270"/>
      <c r="H33" s="270"/>
      <c r="I33" s="271"/>
      <c r="K33" s="138"/>
      <c r="L33" s="138"/>
      <c r="M33" s="263"/>
      <c r="N33" s="263"/>
      <c r="O33" s="263"/>
      <c r="P33" s="263"/>
      <c r="Q33" s="263"/>
      <c r="R33" s="263"/>
    </row>
    <row r="34" spans="2:18" ht="15.75">
      <c r="B34" s="163" t="s">
        <v>85</v>
      </c>
      <c r="C34" s="194">
        <f>IF(U5="Overtopping", 1.3, IF(U5="Piping", 1,"Error"))</f>
        <v>1</v>
      </c>
      <c r="D34" t="s">
        <v>90</v>
      </c>
      <c r="I34" s="195"/>
      <c r="K34" s="138"/>
      <c r="L34" s="138"/>
      <c r="M34" s="263"/>
      <c r="N34" s="263"/>
      <c r="O34" s="263"/>
      <c r="P34" s="263"/>
      <c r="Q34" s="263"/>
      <c r="R34" s="263"/>
    </row>
    <row r="35" spans="2:18">
      <c r="B35" s="197" t="s">
        <v>87</v>
      </c>
      <c r="C35" s="194">
        <f>IF(U5="Overtopping", 1, IF(U5="Piping", 0.7,"Error"))</f>
        <v>0.7</v>
      </c>
      <c r="D35" s="138" t="s">
        <v>91</v>
      </c>
      <c r="G35" s="138"/>
      <c r="H35" s="138"/>
      <c r="I35" s="195"/>
      <c r="K35" s="138"/>
      <c r="M35" s="263"/>
      <c r="N35" s="263"/>
      <c r="O35" s="263"/>
      <c r="P35" s="263"/>
      <c r="Q35" s="263"/>
      <c r="R35" s="263"/>
    </row>
    <row r="36" spans="2:18" ht="15.75">
      <c r="B36" s="163" t="s">
        <v>59</v>
      </c>
      <c r="C36" s="164">
        <f>E36/0.3048</f>
        <v>397.71514251366085</v>
      </c>
      <c r="D36" s="80" t="s">
        <v>11</v>
      </c>
      <c r="E36" s="165">
        <f>0.27*(C34)*(E10^0.32)*(E12^0.04)</f>
        <v>121.22357543816383</v>
      </c>
      <c r="F36" s="166" t="s">
        <v>23</v>
      </c>
      <c r="G36" s="138"/>
      <c r="H36" s="168">
        <f>C36+(C35*C12)</f>
        <v>523.23914251366091</v>
      </c>
      <c r="I36" s="176" t="s">
        <v>77</v>
      </c>
      <c r="M36" s="263"/>
      <c r="N36" s="263"/>
      <c r="O36" s="263"/>
      <c r="P36" s="263"/>
      <c r="Q36" s="263"/>
      <c r="R36" s="263"/>
    </row>
    <row r="37" spans="2:18" ht="15.75">
      <c r="B37" s="199" t="s">
        <v>40</v>
      </c>
      <c r="C37" s="200">
        <f>E37/0.3048</f>
        <v>272.19114251366079</v>
      </c>
      <c r="D37" s="80" t="s">
        <v>11</v>
      </c>
      <c r="E37" s="201">
        <f>E36-(E12*C35)</f>
        <v>82.963860238163818</v>
      </c>
      <c r="F37" s="166" t="s">
        <v>23</v>
      </c>
      <c r="G37" s="138"/>
      <c r="H37" s="202" t="b">
        <f>OR(H36&lt;C4)</f>
        <v>1</v>
      </c>
      <c r="I37" s="203" t="s">
        <v>79</v>
      </c>
      <c r="M37" s="263"/>
      <c r="N37" s="263"/>
      <c r="O37" s="263"/>
      <c r="P37" s="263"/>
      <c r="Q37" s="263"/>
      <c r="R37" s="263"/>
    </row>
    <row r="38" spans="2:18" ht="16.5" thickBot="1">
      <c r="B38" s="179" t="s">
        <v>36</v>
      </c>
      <c r="C38" s="204">
        <f>E38</f>
        <v>1.11302972116948</v>
      </c>
      <c r="D38" s="181" t="s">
        <v>76</v>
      </c>
      <c r="E38" s="205">
        <f>(63.2*(SQRT((E10)/(9.80665*(E12^2)))))/3600</f>
        <v>1.11302972116948</v>
      </c>
      <c r="F38" s="181" t="s">
        <v>76</v>
      </c>
      <c r="G38" s="206"/>
      <c r="H38" s="206"/>
      <c r="I38" s="208"/>
      <c r="L38" s="138"/>
      <c r="M38" s="138"/>
      <c r="N38" s="138"/>
      <c r="O38" s="138"/>
      <c r="P38" s="138"/>
    </row>
    <row r="39" spans="2:18" ht="13.5" thickBot="1">
      <c r="G39" s="138"/>
      <c r="H39" s="138"/>
      <c r="I39" s="138"/>
      <c r="J39" s="138"/>
      <c r="K39" s="138"/>
      <c r="L39" s="138"/>
      <c r="M39" s="138"/>
      <c r="N39" s="138"/>
      <c r="O39" s="138"/>
      <c r="P39" s="138"/>
    </row>
    <row r="40" spans="2:18" ht="15">
      <c r="B40" s="269" t="s">
        <v>92</v>
      </c>
      <c r="C40" s="270"/>
      <c r="D40" s="270"/>
      <c r="E40" s="270"/>
      <c r="F40" s="270"/>
      <c r="G40" s="270"/>
      <c r="H40" s="270"/>
      <c r="I40" s="271"/>
      <c r="K40" s="138"/>
      <c r="L40" s="138"/>
      <c r="M40" s="138"/>
      <c r="N40" s="138"/>
      <c r="O40" s="138"/>
      <c r="P40" s="138"/>
    </row>
    <row r="41" spans="2:18" ht="17.25" customHeight="1">
      <c r="B41" s="163" t="s">
        <v>93</v>
      </c>
      <c r="C41" s="209">
        <f>IF(C10&lt;1000, $G$49,IF(C10&lt;5000,$G$50,IF(C10&lt;10000,$G$51,$G$52)))</f>
        <v>180</v>
      </c>
      <c r="D41" s="80" t="s">
        <v>11</v>
      </c>
      <c r="E41" s="210">
        <f>C41*0.3048</f>
        <v>54.864000000000004</v>
      </c>
      <c r="F41" s="81" t="s">
        <v>94</v>
      </c>
      <c r="H41" s="138"/>
      <c r="I41" s="195"/>
      <c r="K41" s="138"/>
      <c r="M41" s="138"/>
      <c r="N41" s="138"/>
      <c r="O41" s="138"/>
      <c r="P41" s="81"/>
    </row>
    <row r="42" spans="2:18" ht="15.75" customHeight="1">
      <c r="B42" s="197" t="s">
        <v>87</v>
      </c>
      <c r="C42" s="75">
        <v>1</v>
      </c>
      <c r="E42" s="210">
        <f>C42</f>
        <v>1</v>
      </c>
      <c r="F42" s="138" t="s">
        <v>95</v>
      </c>
      <c r="H42" s="138"/>
      <c r="I42" s="195"/>
      <c r="M42" s="138"/>
      <c r="N42" s="138"/>
      <c r="O42" s="138"/>
      <c r="P42" s="81"/>
    </row>
    <row r="43" spans="2:18" ht="15.75">
      <c r="B43" s="197" t="s">
        <v>59</v>
      </c>
      <c r="C43" s="211">
        <f>(2.5*C11)+C41</f>
        <v>628.30000000000018</v>
      </c>
      <c r="D43" s="80" t="s">
        <v>11</v>
      </c>
      <c r="E43" s="212">
        <f>(2.5*E11)+E41</f>
        <v>191.50584000000003</v>
      </c>
      <c r="F43" s="166" t="s">
        <v>23</v>
      </c>
      <c r="H43" s="168">
        <f>C43+(C42*C12)</f>
        <v>807.62000000000023</v>
      </c>
      <c r="I43" s="176" t="s">
        <v>77</v>
      </c>
      <c r="M43" s="138"/>
      <c r="N43" s="138"/>
      <c r="O43" s="138"/>
      <c r="P43" s="81"/>
    </row>
    <row r="44" spans="2:18" ht="15.75">
      <c r="B44" s="199" t="s">
        <v>96</v>
      </c>
      <c r="C44" s="213">
        <f>C43-(C12*C42)</f>
        <v>448.98000000000013</v>
      </c>
      <c r="D44" s="80" t="s">
        <v>11</v>
      </c>
      <c r="E44" s="214">
        <f>E43-(E12*E42)</f>
        <v>136.84910400000001</v>
      </c>
      <c r="F44" s="166" t="s">
        <v>23</v>
      </c>
      <c r="G44" s="138"/>
      <c r="H44" s="202" t="b">
        <f>OR(H43&lt;C4)</f>
        <v>1</v>
      </c>
      <c r="I44" s="203" t="s">
        <v>79</v>
      </c>
      <c r="M44" s="138"/>
      <c r="N44" s="138"/>
      <c r="O44" s="138"/>
      <c r="P44" s="81"/>
    </row>
    <row r="45" spans="2:18" ht="15.75">
      <c r="B45" s="199" t="s">
        <v>97</v>
      </c>
      <c r="C45" s="215">
        <f>E45</f>
        <v>1.3431347200000003</v>
      </c>
      <c r="D45" s="80" t="s">
        <v>76</v>
      </c>
      <c r="E45" s="216">
        <f>(0.02*E11)+0.25</f>
        <v>1.3431347200000003</v>
      </c>
      <c r="F45" s="80" t="s">
        <v>76</v>
      </c>
      <c r="G45" s="217"/>
      <c r="H45" s="218" t="s">
        <v>98</v>
      </c>
      <c r="I45" s="268" t="s">
        <v>99</v>
      </c>
      <c r="M45" s="138"/>
      <c r="N45" s="138"/>
      <c r="O45" s="138"/>
      <c r="P45" s="81"/>
    </row>
    <row r="46" spans="2:18" ht="15.75">
      <c r="B46" s="173" t="s">
        <v>100</v>
      </c>
      <c r="C46" s="215">
        <f>0.0046*C11</f>
        <v>0.82487200000000027</v>
      </c>
      <c r="D46" s="80" t="s">
        <v>76</v>
      </c>
      <c r="E46" s="216">
        <f>0.015*E11</f>
        <v>0.8198510400000002</v>
      </c>
      <c r="F46" s="80" t="s">
        <v>76</v>
      </c>
      <c r="G46" s="217"/>
      <c r="H46" s="218" t="s">
        <v>101</v>
      </c>
      <c r="I46" s="268"/>
      <c r="M46" s="138"/>
      <c r="N46" s="138"/>
      <c r="O46" s="138"/>
      <c r="P46" s="81"/>
    </row>
    <row r="47" spans="2:18" ht="13.5" thickBot="1">
      <c r="B47" s="219"/>
      <c r="G47" s="138"/>
      <c r="H47" s="81"/>
      <c r="I47" s="198"/>
      <c r="M47" s="138"/>
      <c r="N47" s="138"/>
      <c r="O47" s="138"/>
      <c r="P47" s="138"/>
    </row>
    <row r="48" spans="2:18" ht="16.5" thickBot="1">
      <c r="B48" s="274" t="s">
        <v>102</v>
      </c>
      <c r="C48" s="275"/>
      <c r="E48" s="266" t="s">
        <v>103</v>
      </c>
      <c r="F48" s="267"/>
      <c r="G48" s="220" t="s">
        <v>104</v>
      </c>
      <c r="H48" s="220" t="s">
        <v>105</v>
      </c>
      <c r="I48" s="198"/>
      <c r="K48" s="81"/>
      <c r="L48" s="81"/>
    </row>
    <row r="49" spans="2:16" ht="13.5" thickBot="1">
      <c r="B49" s="274"/>
      <c r="C49" s="275"/>
      <c r="E49" s="266" t="s">
        <v>106</v>
      </c>
      <c r="F49" s="267"/>
      <c r="G49" s="221">
        <v>20</v>
      </c>
      <c r="H49" s="222">
        <f>G49*0.3048</f>
        <v>6.0960000000000001</v>
      </c>
      <c r="I49" s="198"/>
      <c r="L49" s="197"/>
      <c r="M49" s="81"/>
    </row>
    <row r="50" spans="2:16" ht="13.5" thickBot="1">
      <c r="B50" s="274"/>
      <c r="C50" s="275"/>
      <c r="E50" s="266" t="s">
        <v>107</v>
      </c>
      <c r="F50" s="267"/>
      <c r="G50" s="221">
        <v>60</v>
      </c>
      <c r="H50" s="222">
        <f>G50*0.3048</f>
        <v>18.288</v>
      </c>
      <c r="I50" s="198"/>
      <c r="M50" s="138"/>
      <c r="N50" s="138"/>
      <c r="O50" s="138"/>
      <c r="P50" s="138"/>
    </row>
    <row r="51" spans="2:16" ht="13.5" thickBot="1">
      <c r="B51" s="274"/>
      <c r="C51" s="275"/>
      <c r="E51" s="266" t="s">
        <v>108</v>
      </c>
      <c r="F51" s="267"/>
      <c r="G51" s="221">
        <v>140</v>
      </c>
      <c r="H51" s="222">
        <f>G51*0.3048</f>
        <v>42.672000000000004</v>
      </c>
      <c r="I51" s="198"/>
      <c r="M51" s="138"/>
      <c r="N51" s="138"/>
      <c r="O51" s="138"/>
      <c r="P51" s="138"/>
    </row>
    <row r="52" spans="2:16" ht="13.5" thickBot="1">
      <c r="B52" s="219"/>
      <c r="E52" s="266" t="s">
        <v>109</v>
      </c>
      <c r="F52" s="267"/>
      <c r="G52" s="221">
        <v>180</v>
      </c>
      <c r="H52" s="222">
        <f>G52*0.3048</f>
        <v>54.864000000000004</v>
      </c>
      <c r="I52" s="198"/>
      <c r="J52" s="138"/>
      <c r="L52" s="138"/>
      <c r="M52" s="138"/>
      <c r="N52" s="138"/>
      <c r="O52" s="138"/>
      <c r="P52" s="138"/>
    </row>
    <row r="53" spans="2:16" ht="13.5" thickBot="1">
      <c r="B53" s="223"/>
      <c r="C53" s="183"/>
      <c r="D53" s="183"/>
      <c r="E53" s="183"/>
      <c r="F53" s="183"/>
      <c r="G53" s="206"/>
      <c r="H53" s="206"/>
      <c r="I53" s="207"/>
      <c r="J53" s="138"/>
      <c r="K53" s="81"/>
      <c r="L53" s="138"/>
      <c r="M53" s="138"/>
      <c r="N53" s="138"/>
      <c r="O53" s="138"/>
      <c r="P53" s="138"/>
    </row>
    <row r="54" spans="2:16">
      <c r="G54" s="138"/>
      <c r="H54" s="138"/>
      <c r="I54" s="138"/>
      <c r="J54" s="138"/>
      <c r="K54" s="138"/>
      <c r="L54" s="138"/>
      <c r="M54" s="138"/>
      <c r="N54" s="138"/>
      <c r="O54" s="138"/>
      <c r="P54" s="138"/>
    </row>
    <row r="55" spans="2:16">
      <c r="B55" s="80"/>
      <c r="D55" s="149"/>
      <c r="G55" s="138"/>
      <c r="H55" s="138"/>
      <c r="K55" s="138"/>
      <c r="L55" s="138"/>
      <c r="M55" s="138"/>
      <c r="N55" s="138"/>
      <c r="O55" s="138"/>
      <c r="P55" s="138"/>
    </row>
    <row r="56" spans="2:16">
      <c r="G56" s="138"/>
      <c r="H56" s="224"/>
      <c r="I56" s="225"/>
      <c r="J56" s="225"/>
      <c r="K56" s="138"/>
      <c r="L56" s="138"/>
      <c r="M56" s="138"/>
      <c r="N56" s="138"/>
      <c r="O56" s="138"/>
      <c r="P56" s="138"/>
    </row>
    <row r="57" spans="2:16">
      <c r="G57" s="226"/>
      <c r="H57" s="227"/>
      <c r="I57" s="225"/>
      <c r="J57" s="225"/>
      <c r="K57" s="138"/>
      <c r="L57" s="138"/>
      <c r="M57" s="138"/>
      <c r="N57" s="138"/>
      <c r="O57" s="138"/>
      <c r="P57" s="138"/>
    </row>
    <row r="58" spans="2:16">
      <c r="G58" s="226"/>
      <c r="H58" s="227"/>
      <c r="I58" s="225"/>
      <c r="J58" s="225"/>
      <c r="K58" s="138"/>
      <c r="L58" s="138"/>
      <c r="M58" s="138"/>
      <c r="N58" s="138"/>
      <c r="O58" s="138"/>
      <c r="P58" s="138"/>
    </row>
    <row r="59" spans="2:16">
      <c r="G59" s="226"/>
      <c r="H59" s="227"/>
      <c r="I59" s="225"/>
      <c r="J59" s="225"/>
      <c r="L59" s="138"/>
      <c r="M59" s="138"/>
      <c r="N59" s="138"/>
      <c r="O59" s="138"/>
      <c r="P59" s="138"/>
    </row>
    <row r="60" spans="2:16">
      <c r="G60" s="226"/>
      <c r="H60" s="227"/>
      <c r="I60" s="138"/>
      <c r="J60" s="138"/>
      <c r="L60" s="138"/>
      <c r="M60" s="138"/>
      <c r="N60" s="138"/>
      <c r="O60" s="138"/>
      <c r="P60" s="138"/>
    </row>
    <row r="61" spans="2:16">
      <c r="G61" s="138"/>
      <c r="H61" s="138"/>
      <c r="I61" s="229"/>
      <c r="J61" s="229"/>
      <c r="L61" s="138"/>
      <c r="M61" s="138"/>
      <c r="N61" s="138"/>
      <c r="O61" s="138"/>
      <c r="P61" s="138"/>
    </row>
    <row r="62" spans="2:16">
      <c r="B62" s="153"/>
      <c r="C62" s="81"/>
      <c r="D62" s="228"/>
      <c r="G62" s="138"/>
      <c r="H62" s="229"/>
      <c r="I62" s="264"/>
      <c r="J62" s="264"/>
      <c r="L62" s="138"/>
      <c r="M62" s="138"/>
      <c r="N62" s="138"/>
      <c r="O62" s="138"/>
      <c r="P62" s="138"/>
    </row>
    <row r="63" spans="2:16">
      <c r="G63" s="138"/>
      <c r="H63" s="138"/>
      <c r="I63" s="264"/>
      <c r="J63" s="264"/>
      <c r="L63" s="138"/>
      <c r="M63" s="138"/>
      <c r="N63" s="138"/>
      <c r="O63" s="138"/>
      <c r="P63" s="138"/>
    </row>
    <row r="64" spans="2:16">
      <c r="G64" s="138"/>
      <c r="H64" s="138"/>
      <c r="I64" s="264"/>
      <c r="J64" s="264"/>
      <c r="L64" s="138"/>
      <c r="M64" s="138"/>
      <c r="N64" s="138"/>
      <c r="O64" s="138"/>
      <c r="P64" s="138"/>
    </row>
    <row r="65" spans="7:16">
      <c r="G65" s="138"/>
      <c r="H65" s="138"/>
      <c r="I65" s="264"/>
      <c r="J65" s="264"/>
      <c r="L65" s="138"/>
      <c r="M65" s="138"/>
      <c r="N65" s="138"/>
      <c r="O65" s="138"/>
      <c r="P65" s="138"/>
    </row>
    <row r="66" spans="7:16">
      <c r="G66" s="138"/>
      <c r="H66" s="138"/>
      <c r="I66" s="138"/>
      <c r="J66" s="138"/>
      <c r="L66" s="138"/>
      <c r="M66" s="138"/>
      <c r="N66" s="138"/>
      <c r="O66" s="138"/>
      <c r="P66" s="138"/>
    </row>
    <row r="67" spans="7:16">
      <c r="G67" s="138"/>
      <c r="H67" s="138"/>
      <c r="I67" s="138"/>
      <c r="J67" s="138"/>
      <c r="L67" s="138"/>
      <c r="M67" s="138"/>
      <c r="N67" s="138"/>
      <c r="O67" s="138"/>
      <c r="P67" s="138"/>
    </row>
    <row r="68" spans="7:16">
      <c r="G68" s="138"/>
      <c r="H68" s="138"/>
      <c r="I68" s="138"/>
      <c r="J68" s="138"/>
      <c r="K68" s="138"/>
      <c r="L68" s="138"/>
      <c r="M68" s="138"/>
      <c r="N68" s="138"/>
      <c r="O68" s="138"/>
      <c r="P68" s="138"/>
    </row>
    <row r="69" spans="7:16">
      <c r="G69" s="138"/>
      <c r="H69" s="138"/>
      <c r="I69" s="138"/>
      <c r="J69" s="138"/>
      <c r="K69" s="229"/>
      <c r="L69" s="138"/>
      <c r="M69" s="138"/>
      <c r="N69" s="138"/>
      <c r="O69" s="138"/>
      <c r="P69" s="138"/>
    </row>
    <row r="70" spans="7:16">
      <c r="G70" s="138"/>
      <c r="H70" s="138"/>
      <c r="I70" s="138"/>
      <c r="J70" s="138"/>
      <c r="K70" s="229"/>
      <c r="L70" s="138"/>
      <c r="M70" s="138"/>
      <c r="N70" s="138"/>
      <c r="O70" s="138"/>
      <c r="P70" s="138"/>
    </row>
    <row r="71" spans="7:16">
      <c r="G71" s="138"/>
      <c r="H71" s="138"/>
      <c r="I71" s="138"/>
      <c r="J71" s="138"/>
      <c r="K71" s="229"/>
      <c r="L71" s="138"/>
      <c r="M71" s="138"/>
      <c r="N71" s="138"/>
      <c r="O71" s="138"/>
      <c r="P71" s="138"/>
    </row>
    <row r="72" spans="7:16">
      <c r="G72" s="138"/>
      <c r="H72" s="138"/>
      <c r="I72" s="138"/>
      <c r="J72" s="138"/>
      <c r="K72" s="229"/>
      <c r="L72" s="138"/>
      <c r="M72" s="138"/>
      <c r="N72" s="138"/>
      <c r="O72" s="138"/>
      <c r="P72" s="138"/>
    </row>
    <row r="73" spans="7:16">
      <c r="G73" s="138"/>
      <c r="H73" s="138"/>
      <c r="I73" s="138"/>
      <c r="J73" s="138"/>
      <c r="L73" s="138"/>
      <c r="M73" s="138"/>
      <c r="N73" s="138"/>
      <c r="O73" s="138"/>
      <c r="P73" s="138"/>
    </row>
    <row r="74" spans="7:16">
      <c r="G74" s="138"/>
      <c r="H74" s="138"/>
      <c r="I74" s="138"/>
      <c r="J74" s="138"/>
      <c r="L74" s="138"/>
      <c r="M74" s="138"/>
      <c r="N74" s="138"/>
      <c r="O74" s="138"/>
      <c r="P74" s="138"/>
    </row>
    <row r="75" spans="7:16">
      <c r="G75" s="138"/>
      <c r="H75" s="138"/>
      <c r="I75" s="138"/>
      <c r="J75" s="138"/>
      <c r="L75" s="138"/>
      <c r="M75" s="138"/>
      <c r="N75" s="138"/>
      <c r="O75" s="138"/>
      <c r="P75" s="138"/>
    </row>
    <row r="76" spans="7:16">
      <c r="G76" s="138"/>
      <c r="H76" s="138"/>
      <c r="I76" s="138"/>
      <c r="J76" s="138"/>
      <c r="L76" s="138"/>
      <c r="M76" s="138"/>
      <c r="N76" s="138"/>
      <c r="O76" s="138"/>
      <c r="P76" s="138"/>
    </row>
    <row r="77" spans="7:16">
      <c r="G77" s="138"/>
      <c r="H77" s="138"/>
      <c r="I77" s="138"/>
      <c r="J77" s="138"/>
      <c r="L77" s="138"/>
      <c r="M77" s="138"/>
      <c r="N77" s="138"/>
      <c r="O77" s="138"/>
      <c r="P77" s="138"/>
    </row>
    <row r="78" spans="7:16">
      <c r="G78" s="138"/>
      <c r="H78" s="138"/>
      <c r="I78" s="138"/>
      <c r="J78" s="138"/>
      <c r="L78" s="138"/>
      <c r="M78" s="138"/>
      <c r="N78" s="138"/>
      <c r="O78" s="138"/>
      <c r="P78" s="138"/>
    </row>
    <row r="79" spans="7:16">
      <c r="G79" s="138"/>
      <c r="H79" s="138"/>
      <c r="I79" s="138"/>
      <c r="J79" s="138"/>
      <c r="L79" s="138"/>
      <c r="M79" s="138"/>
      <c r="N79" s="138"/>
      <c r="O79" s="138"/>
      <c r="P79" s="138"/>
    </row>
    <row r="80" spans="7:16">
      <c r="G80" s="138"/>
      <c r="H80" s="138"/>
      <c r="I80" s="138"/>
      <c r="J80" s="138"/>
      <c r="L80" s="138"/>
      <c r="M80" s="138"/>
      <c r="N80" s="138"/>
      <c r="O80" s="138"/>
      <c r="P80" s="138"/>
    </row>
    <row r="81" spans="7:16">
      <c r="G81" s="138"/>
      <c r="H81" s="138"/>
      <c r="I81" s="138"/>
      <c r="J81" s="138"/>
      <c r="L81" s="138"/>
      <c r="M81" s="138"/>
      <c r="N81" s="138"/>
      <c r="O81" s="138"/>
      <c r="P81" s="138"/>
    </row>
    <row r="82" spans="7:16">
      <c r="G82" s="138"/>
      <c r="H82" s="138"/>
      <c r="I82" s="138"/>
      <c r="J82" s="138"/>
      <c r="L82" s="138"/>
      <c r="M82" s="138"/>
      <c r="N82" s="138"/>
      <c r="O82" s="138"/>
      <c r="P82" s="138"/>
    </row>
    <row r="83" spans="7:16">
      <c r="G83" s="138"/>
      <c r="H83" s="138"/>
      <c r="I83" s="138"/>
      <c r="J83" s="138"/>
      <c r="L83" s="138"/>
      <c r="M83" s="138"/>
      <c r="N83" s="138"/>
      <c r="O83" s="138"/>
      <c r="P83" s="138"/>
    </row>
    <row r="84" spans="7:16">
      <c r="G84" s="138"/>
      <c r="H84" s="138"/>
      <c r="I84" s="138"/>
      <c r="J84" s="138"/>
      <c r="L84" s="138"/>
      <c r="M84" s="138"/>
      <c r="N84" s="138"/>
      <c r="O84" s="138"/>
      <c r="P84" s="138"/>
    </row>
    <row r="85" spans="7:16">
      <c r="G85" s="138"/>
      <c r="H85" s="138"/>
      <c r="I85" s="138"/>
      <c r="J85" s="138"/>
      <c r="L85" s="138"/>
      <c r="M85" s="138"/>
      <c r="N85" s="138"/>
      <c r="O85" s="138"/>
      <c r="P85" s="138"/>
    </row>
    <row r="86" spans="7:16">
      <c r="G86" s="138"/>
      <c r="H86" s="138"/>
      <c r="I86" s="138"/>
      <c r="J86" s="138"/>
      <c r="L86" s="138"/>
      <c r="M86" s="138"/>
      <c r="N86" s="138"/>
      <c r="O86" s="138"/>
      <c r="P86" s="138"/>
    </row>
    <row r="87" spans="7:16">
      <c r="G87" s="138"/>
      <c r="H87" s="138"/>
      <c r="I87" s="138"/>
      <c r="J87" s="138"/>
      <c r="L87" s="138"/>
      <c r="M87" s="138"/>
      <c r="N87" s="138"/>
      <c r="O87" s="138"/>
      <c r="P87" s="138"/>
    </row>
    <row r="88" spans="7:16">
      <c r="G88" s="138"/>
      <c r="H88" s="138"/>
      <c r="I88" s="138"/>
      <c r="J88" s="138"/>
      <c r="L88" s="138"/>
      <c r="M88" s="138"/>
      <c r="N88" s="138"/>
      <c r="O88" s="138"/>
      <c r="P88" s="138"/>
    </row>
    <row r="89" spans="7:16">
      <c r="G89" s="138"/>
      <c r="H89" s="138"/>
      <c r="I89" s="138"/>
      <c r="J89" s="138"/>
      <c r="L89" s="138"/>
      <c r="M89" s="138"/>
      <c r="N89" s="138"/>
      <c r="O89" s="138"/>
      <c r="P89" s="138"/>
    </row>
    <row r="90" spans="7:16">
      <c r="G90" s="138"/>
      <c r="H90" s="138"/>
      <c r="I90" s="138"/>
      <c r="J90" s="138"/>
      <c r="L90" s="138"/>
      <c r="M90" s="138"/>
      <c r="N90" s="138"/>
      <c r="O90" s="138"/>
      <c r="P90" s="138"/>
    </row>
    <row r="91" spans="7:16">
      <c r="G91" s="138"/>
      <c r="H91" s="138"/>
      <c r="I91" s="138"/>
      <c r="J91" s="138"/>
      <c r="L91" s="138"/>
      <c r="M91" s="138"/>
      <c r="N91" s="138"/>
      <c r="O91" s="138"/>
      <c r="P91" s="138"/>
    </row>
    <row r="92" spans="7:16">
      <c r="G92" s="138"/>
      <c r="H92" s="138"/>
      <c r="I92" s="138"/>
      <c r="J92" s="138"/>
      <c r="L92" s="138"/>
      <c r="M92" s="138"/>
      <c r="N92" s="138"/>
      <c r="O92" s="138"/>
      <c r="P92" s="138"/>
    </row>
    <row r="93" spans="7:16">
      <c r="G93" s="138"/>
      <c r="H93" s="138"/>
      <c r="I93" s="138"/>
      <c r="J93" s="138"/>
      <c r="L93" s="138"/>
      <c r="M93" s="138"/>
      <c r="N93" s="138"/>
      <c r="O93" s="138"/>
      <c r="P93" s="138"/>
    </row>
    <row r="94" spans="7:16">
      <c r="G94" s="138"/>
      <c r="H94" s="138"/>
      <c r="I94" s="138"/>
      <c r="J94" s="138"/>
      <c r="L94" s="138"/>
      <c r="M94" s="138"/>
      <c r="N94" s="138"/>
      <c r="O94" s="138"/>
      <c r="P94" s="138"/>
    </row>
    <row r="95" spans="7:16">
      <c r="G95" s="138"/>
      <c r="H95" s="138"/>
      <c r="I95" s="138"/>
      <c r="J95" s="138"/>
      <c r="L95" s="138"/>
      <c r="M95" s="138"/>
      <c r="N95" s="138"/>
      <c r="O95" s="138"/>
      <c r="P95" s="138"/>
    </row>
    <row r="96" spans="7:16">
      <c r="G96" s="138"/>
      <c r="H96" s="138"/>
      <c r="I96" s="138"/>
      <c r="J96" s="138"/>
      <c r="L96" s="138"/>
      <c r="M96" s="138"/>
      <c r="N96" s="138"/>
      <c r="O96" s="138"/>
      <c r="P96" s="138"/>
    </row>
    <row r="97" spans="7:16">
      <c r="G97" s="138"/>
      <c r="H97" s="138"/>
      <c r="I97" s="138"/>
      <c r="J97" s="138"/>
      <c r="L97" s="138"/>
      <c r="M97" s="138"/>
      <c r="N97" s="138"/>
      <c r="O97" s="138"/>
      <c r="P97" s="138"/>
    </row>
    <row r="98" spans="7:16">
      <c r="G98" s="138"/>
      <c r="H98" s="138"/>
      <c r="I98" s="138"/>
      <c r="J98" s="138"/>
      <c r="L98" s="138"/>
      <c r="M98" s="138"/>
      <c r="N98" s="138"/>
      <c r="O98" s="138"/>
      <c r="P98" s="138"/>
    </row>
    <row r="99" spans="7:16">
      <c r="G99" s="138"/>
      <c r="H99" s="138"/>
      <c r="I99" s="138"/>
      <c r="J99" s="138"/>
      <c r="L99" s="138"/>
      <c r="M99" s="138"/>
      <c r="N99" s="138"/>
      <c r="O99" s="138"/>
      <c r="P99" s="138"/>
    </row>
    <row r="100" spans="7:16">
      <c r="G100" s="138"/>
      <c r="H100" s="138"/>
      <c r="I100" s="138"/>
      <c r="J100" s="138"/>
      <c r="L100" s="138"/>
      <c r="M100" s="138"/>
      <c r="N100" s="138"/>
      <c r="O100" s="138"/>
      <c r="P100" s="138"/>
    </row>
    <row r="101" spans="7:16">
      <c r="G101" s="138"/>
      <c r="H101" s="138"/>
      <c r="I101" s="138"/>
      <c r="J101" s="138"/>
      <c r="L101" s="138"/>
      <c r="M101" s="138"/>
      <c r="N101" s="138"/>
      <c r="O101" s="138"/>
      <c r="P101" s="138"/>
    </row>
    <row r="102" spans="7:16">
      <c r="G102" s="138"/>
      <c r="H102" s="138"/>
      <c r="I102" s="138"/>
      <c r="J102" s="138"/>
      <c r="L102" s="138"/>
      <c r="M102" s="138"/>
      <c r="N102" s="138"/>
      <c r="O102" s="138"/>
      <c r="P102" s="138"/>
    </row>
    <row r="103" spans="7:16">
      <c r="G103" s="138"/>
      <c r="H103" s="138"/>
      <c r="I103" s="138"/>
      <c r="J103" s="138"/>
      <c r="L103" s="138"/>
      <c r="M103" s="138"/>
      <c r="N103" s="138"/>
      <c r="O103" s="138"/>
      <c r="P103" s="138"/>
    </row>
    <row r="104" spans="7:16">
      <c r="G104" s="138"/>
      <c r="H104" s="138"/>
      <c r="I104" s="138"/>
      <c r="J104" s="138"/>
      <c r="L104" s="138"/>
      <c r="M104" s="138"/>
      <c r="N104" s="138"/>
      <c r="O104" s="138"/>
      <c r="P104" s="138"/>
    </row>
    <row r="105" spans="7:16">
      <c r="G105" s="138"/>
      <c r="H105" s="138"/>
      <c r="I105" s="138"/>
      <c r="J105" s="138"/>
      <c r="L105" s="138"/>
      <c r="M105" s="138"/>
      <c r="N105" s="138"/>
      <c r="O105" s="138"/>
      <c r="P105" s="138"/>
    </row>
    <row r="106" spans="7:16">
      <c r="G106" s="138"/>
      <c r="H106" s="138"/>
      <c r="I106" s="138"/>
      <c r="J106" s="138"/>
      <c r="L106" s="138"/>
      <c r="M106" s="138"/>
      <c r="N106" s="138"/>
      <c r="O106" s="138"/>
      <c r="P106" s="138"/>
    </row>
    <row r="107" spans="7:16">
      <c r="G107" s="138"/>
      <c r="H107" s="138"/>
      <c r="I107" s="138"/>
      <c r="J107" s="138"/>
      <c r="L107" s="138"/>
      <c r="M107" s="138"/>
      <c r="N107" s="138"/>
      <c r="O107" s="138"/>
      <c r="P107" s="138"/>
    </row>
    <row r="108" spans="7:16">
      <c r="G108" s="138"/>
      <c r="H108" s="138"/>
      <c r="I108" s="138"/>
      <c r="J108" s="138"/>
      <c r="L108" s="138"/>
      <c r="M108" s="138"/>
      <c r="N108" s="138"/>
      <c r="O108" s="138"/>
      <c r="P108" s="138"/>
    </row>
    <row r="109" spans="7:16">
      <c r="G109" s="138"/>
      <c r="H109" s="138"/>
      <c r="I109" s="138"/>
      <c r="J109" s="138"/>
      <c r="L109" s="138"/>
      <c r="M109" s="138"/>
      <c r="N109" s="138"/>
      <c r="O109" s="138"/>
      <c r="P109" s="138"/>
    </row>
    <row r="110" spans="7:16">
      <c r="G110" s="138"/>
      <c r="H110" s="138"/>
      <c r="I110" s="138"/>
      <c r="J110" s="138"/>
      <c r="L110" s="138"/>
      <c r="M110" s="138"/>
      <c r="N110" s="138"/>
      <c r="O110" s="138"/>
      <c r="P110" s="138"/>
    </row>
    <row r="111" spans="7:16">
      <c r="G111" s="138"/>
      <c r="H111" s="138"/>
      <c r="I111" s="138"/>
      <c r="J111" s="138"/>
      <c r="L111" s="138"/>
      <c r="M111" s="138"/>
      <c r="N111" s="138"/>
      <c r="O111" s="138"/>
      <c r="P111" s="138"/>
    </row>
    <row r="112" spans="7:16">
      <c r="G112" s="138"/>
      <c r="H112" s="138"/>
      <c r="I112" s="138"/>
      <c r="J112" s="138"/>
      <c r="L112" s="138"/>
      <c r="M112" s="138"/>
      <c r="N112" s="138"/>
      <c r="O112" s="138"/>
      <c r="P112" s="138"/>
    </row>
    <row r="113" spans="7:16">
      <c r="G113" s="138"/>
      <c r="H113" s="138"/>
      <c r="I113" s="138"/>
      <c r="J113" s="138"/>
      <c r="L113" s="138"/>
      <c r="M113" s="138"/>
      <c r="N113" s="138"/>
      <c r="O113" s="138"/>
      <c r="P113" s="138"/>
    </row>
    <row r="114" spans="7:16">
      <c r="G114" s="138"/>
      <c r="H114" s="138"/>
      <c r="I114" s="138"/>
      <c r="J114" s="138"/>
      <c r="L114" s="138"/>
      <c r="M114" s="138"/>
      <c r="N114" s="138"/>
      <c r="O114" s="138"/>
      <c r="P114" s="138"/>
    </row>
    <row r="115" spans="7:16">
      <c r="G115" s="138"/>
      <c r="H115" s="138"/>
      <c r="I115" s="138"/>
      <c r="J115" s="138"/>
      <c r="L115" s="138"/>
      <c r="M115" s="138"/>
      <c r="N115" s="138"/>
      <c r="O115" s="138"/>
      <c r="P115" s="138"/>
    </row>
    <row r="116" spans="7:16">
      <c r="G116" s="138"/>
      <c r="H116" s="138"/>
      <c r="I116" s="138"/>
      <c r="J116" s="138"/>
      <c r="L116" s="138"/>
      <c r="M116" s="138"/>
      <c r="N116" s="138"/>
      <c r="O116" s="138"/>
      <c r="P116" s="138"/>
    </row>
    <row r="117" spans="7:16">
      <c r="G117" s="138"/>
      <c r="H117" s="138"/>
      <c r="I117" s="138"/>
      <c r="J117" s="138"/>
      <c r="L117" s="138"/>
      <c r="M117" s="138"/>
      <c r="N117" s="138"/>
      <c r="O117" s="138"/>
      <c r="P117" s="138"/>
    </row>
    <row r="118" spans="7:16">
      <c r="G118" s="138"/>
      <c r="H118" s="138"/>
      <c r="I118" s="138"/>
      <c r="J118" s="138"/>
      <c r="L118" s="138"/>
      <c r="M118" s="138"/>
      <c r="N118" s="138"/>
      <c r="O118" s="138"/>
      <c r="P118" s="138"/>
    </row>
    <row r="119" spans="7:16">
      <c r="G119" s="138"/>
      <c r="H119" s="138"/>
      <c r="I119" s="138"/>
      <c r="J119" s="138"/>
      <c r="L119" s="138"/>
      <c r="M119" s="138"/>
      <c r="N119" s="138"/>
      <c r="O119" s="138"/>
      <c r="P119" s="138"/>
    </row>
    <row r="120" spans="7:16">
      <c r="G120" s="138"/>
      <c r="H120" s="138"/>
      <c r="I120" s="138"/>
      <c r="J120" s="138"/>
      <c r="L120" s="138"/>
      <c r="M120" s="138"/>
      <c r="N120" s="138"/>
      <c r="O120" s="138"/>
      <c r="P120" s="138"/>
    </row>
    <row r="121" spans="7:16">
      <c r="G121" s="138"/>
      <c r="H121" s="138"/>
      <c r="I121" s="138"/>
      <c r="J121" s="138"/>
      <c r="L121" s="138"/>
      <c r="M121" s="138"/>
      <c r="N121" s="138"/>
      <c r="O121" s="138"/>
      <c r="P121" s="138"/>
    </row>
    <row r="122" spans="7:16">
      <c r="G122" s="138"/>
      <c r="H122" s="138"/>
      <c r="I122" s="138"/>
      <c r="J122" s="138"/>
      <c r="L122" s="138"/>
      <c r="M122" s="138"/>
      <c r="N122" s="138"/>
      <c r="O122" s="138"/>
      <c r="P122" s="138"/>
    </row>
    <row r="123" spans="7:16">
      <c r="G123" s="138"/>
      <c r="H123" s="138"/>
      <c r="I123" s="138"/>
      <c r="J123" s="138"/>
      <c r="L123" s="138"/>
      <c r="M123" s="138"/>
      <c r="N123" s="138"/>
      <c r="O123" s="138"/>
      <c r="P123" s="138"/>
    </row>
    <row r="124" spans="7:16">
      <c r="G124" s="138"/>
      <c r="H124" s="138"/>
      <c r="I124" s="138"/>
      <c r="J124" s="138"/>
      <c r="L124" s="138"/>
      <c r="M124" s="138"/>
      <c r="N124" s="138"/>
      <c r="O124" s="138"/>
      <c r="P124" s="138"/>
    </row>
    <row r="125" spans="7:16">
      <c r="G125" s="138"/>
      <c r="H125" s="138"/>
      <c r="I125" s="138"/>
      <c r="J125" s="138"/>
      <c r="L125" s="138"/>
      <c r="M125" s="138"/>
      <c r="N125" s="138"/>
      <c r="O125" s="138"/>
      <c r="P125" s="138"/>
    </row>
    <row r="126" spans="7:16">
      <c r="G126" s="138"/>
      <c r="H126" s="138"/>
      <c r="I126" s="138"/>
      <c r="J126" s="138"/>
      <c r="L126" s="138"/>
      <c r="M126" s="138"/>
      <c r="N126" s="138"/>
      <c r="O126" s="138"/>
      <c r="P126" s="138"/>
    </row>
    <row r="127" spans="7:16">
      <c r="G127" s="138"/>
      <c r="H127" s="138"/>
      <c r="I127" s="138"/>
      <c r="J127" s="138"/>
      <c r="L127" s="138"/>
      <c r="M127" s="138"/>
      <c r="N127" s="138"/>
      <c r="O127" s="138"/>
      <c r="P127" s="138"/>
    </row>
    <row r="128" spans="7:16">
      <c r="G128" s="138"/>
      <c r="H128" s="138"/>
      <c r="I128" s="138"/>
      <c r="J128" s="138"/>
      <c r="L128" s="138"/>
      <c r="M128" s="138"/>
      <c r="N128" s="138"/>
      <c r="O128" s="138"/>
      <c r="P128" s="138"/>
    </row>
    <row r="129" spans="7:16">
      <c r="G129" s="138"/>
      <c r="H129" s="138"/>
      <c r="I129" s="138"/>
      <c r="J129" s="138"/>
      <c r="L129" s="138"/>
      <c r="M129" s="138"/>
      <c r="N129" s="138"/>
      <c r="O129" s="138"/>
      <c r="P129" s="138"/>
    </row>
    <row r="130" spans="7:16">
      <c r="G130" s="138"/>
      <c r="H130" s="138"/>
      <c r="I130" s="138"/>
      <c r="J130" s="138"/>
      <c r="L130" s="138"/>
      <c r="M130" s="138"/>
      <c r="N130" s="138"/>
      <c r="O130" s="138"/>
      <c r="P130" s="138"/>
    </row>
    <row r="131" spans="7:16">
      <c r="G131" s="138"/>
      <c r="H131" s="138"/>
      <c r="I131" s="138"/>
      <c r="J131" s="138"/>
      <c r="L131" s="138"/>
      <c r="M131" s="138"/>
      <c r="N131" s="138"/>
      <c r="O131" s="138"/>
      <c r="P131" s="138"/>
    </row>
    <row r="132" spans="7:16">
      <c r="G132" s="138"/>
      <c r="H132" s="138"/>
      <c r="I132" s="138"/>
      <c r="J132" s="138"/>
      <c r="L132" s="138"/>
      <c r="M132" s="138"/>
      <c r="N132" s="138"/>
      <c r="O132" s="138"/>
      <c r="P132" s="138"/>
    </row>
    <row r="133" spans="7:16">
      <c r="G133" s="138"/>
      <c r="H133" s="138"/>
      <c r="I133" s="138"/>
      <c r="J133" s="138"/>
      <c r="L133" s="138"/>
      <c r="M133" s="138"/>
      <c r="N133" s="138"/>
      <c r="O133" s="138"/>
      <c r="P133" s="138"/>
    </row>
    <row r="134" spans="7:16">
      <c r="G134" s="138"/>
      <c r="H134" s="138"/>
      <c r="I134" s="138"/>
      <c r="J134" s="138"/>
      <c r="L134" s="138"/>
      <c r="M134" s="138"/>
      <c r="N134" s="138"/>
      <c r="O134" s="138"/>
      <c r="P134" s="138"/>
    </row>
    <row r="135" spans="7:16">
      <c r="G135" s="138"/>
      <c r="H135" s="138"/>
      <c r="I135" s="138"/>
      <c r="J135" s="138"/>
      <c r="L135" s="138"/>
      <c r="M135" s="138"/>
      <c r="N135" s="138"/>
      <c r="O135" s="138"/>
      <c r="P135" s="138"/>
    </row>
    <row r="136" spans="7:16">
      <c r="G136" s="138"/>
      <c r="H136" s="138"/>
      <c r="I136" s="138"/>
      <c r="J136" s="138"/>
      <c r="L136" s="138"/>
      <c r="M136" s="138"/>
      <c r="N136" s="138"/>
      <c r="O136" s="138"/>
      <c r="P136" s="138"/>
    </row>
    <row r="137" spans="7:16">
      <c r="G137" s="138"/>
      <c r="H137" s="138"/>
      <c r="I137" s="138"/>
      <c r="J137" s="138"/>
      <c r="L137" s="138"/>
      <c r="M137" s="138"/>
      <c r="N137" s="138"/>
      <c r="O137" s="138"/>
      <c r="P137" s="138"/>
    </row>
    <row r="138" spans="7:16">
      <c r="G138" s="138"/>
      <c r="H138" s="138"/>
      <c r="I138" s="138"/>
      <c r="J138" s="138"/>
      <c r="L138" s="138"/>
      <c r="M138" s="138"/>
      <c r="N138" s="138"/>
      <c r="O138" s="138"/>
      <c r="P138" s="138"/>
    </row>
    <row r="139" spans="7:16">
      <c r="G139" s="138"/>
      <c r="H139" s="138"/>
      <c r="I139" s="138"/>
      <c r="J139" s="138"/>
      <c r="L139" s="138"/>
      <c r="M139" s="138"/>
      <c r="N139" s="138"/>
      <c r="O139" s="138"/>
      <c r="P139" s="138"/>
    </row>
    <row r="140" spans="7:16">
      <c r="G140" s="138"/>
      <c r="H140" s="138"/>
      <c r="I140" s="138"/>
      <c r="J140" s="138"/>
      <c r="L140" s="138"/>
      <c r="M140" s="138"/>
      <c r="N140" s="138"/>
      <c r="O140" s="138"/>
      <c r="P140" s="138"/>
    </row>
    <row r="141" spans="7:16">
      <c r="G141" s="138"/>
      <c r="H141" s="138"/>
      <c r="I141" s="138"/>
      <c r="J141" s="138"/>
      <c r="L141" s="138"/>
      <c r="M141" s="138"/>
      <c r="N141" s="138"/>
      <c r="O141" s="138"/>
      <c r="P141" s="138"/>
    </row>
    <row r="142" spans="7:16">
      <c r="G142" s="138"/>
      <c r="H142" s="138"/>
      <c r="I142" s="138"/>
      <c r="J142" s="138"/>
      <c r="L142" s="138"/>
      <c r="M142" s="138"/>
      <c r="N142" s="138"/>
      <c r="O142" s="138"/>
      <c r="P142" s="138"/>
    </row>
    <row r="143" spans="7:16">
      <c r="G143" s="138"/>
      <c r="H143" s="138"/>
      <c r="I143" s="138"/>
      <c r="J143" s="138"/>
      <c r="L143" s="138"/>
      <c r="M143" s="138"/>
      <c r="N143" s="138"/>
      <c r="O143" s="138"/>
      <c r="P143" s="138"/>
    </row>
    <row r="144" spans="7:16">
      <c r="G144" s="138"/>
      <c r="H144" s="138"/>
      <c r="I144" s="138"/>
      <c r="J144" s="138"/>
      <c r="L144" s="138"/>
      <c r="M144" s="138"/>
      <c r="N144" s="138"/>
      <c r="O144" s="138"/>
      <c r="P144" s="138"/>
    </row>
    <row r="145" spans="7:16">
      <c r="G145" s="138"/>
      <c r="H145" s="138"/>
      <c r="I145" s="138"/>
      <c r="J145" s="138"/>
      <c r="L145" s="138"/>
      <c r="M145" s="138"/>
      <c r="N145" s="138"/>
      <c r="O145" s="138"/>
      <c r="P145" s="138"/>
    </row>
    <row r="146" spans="7:16">
      <c r="G146" s="138"/>
      <c r="H146" s="138"/>
      <c r="I146" s="138"/>
      <c r="J146" s="138"/>
      <c r="L146" s="138"/>
      <c r="M146" s="138"/>
      <c r="N146" s="138"/>
      <c r="O146" s="138"/>
      <c r="P146" s="138"/>
    </row>
    <row r="147" spans="7:16">
      <c r="G147" s="138"/>
      <c r="H147" s="138"/>
      <c r="I147" s="138"/>
      <c r="J147" s="138"/>
      <c r="L147" s="138"/>
      <c r="M147" s="138"/>
      <c r="N147" s="138"/>
      <c r="O147" s="138"/>
      <c r="P147" s="138"/>
    </row>
    <row r="148" spans="7:16">
      <c r="G148" s="138"/>
      <c r="H148" s="138"/>
      <c r="I148" s="138"/>
      <c r="J148" s="138"/>
      <c r="L148" s="138"/>
      <c r="M148" s="138"/>
      <c r="N148" s="138"/>
      <c r="O148" s="138"/>
      <c r="P148" s="138"/>
    </row>
    <row r="149" spans="7:16">
      <c r="G149" s="138"/>
      <c r="H149" s="138"/>
      <c r="I149" s="138"/>
      <c r="J149" s="138"/>
      <c r="L149" s="138"/>
      <c r="M149" s="138"/>
      <c r="N149" s="138"/>
      <c r="O149" s="138"/>
      <c r="P149" s="138"/>
    </row>
    <row r="150" spans="7:16">
      <c r="G150" s="138"/>
      <c r="H150" s="138"/>
      <c r="I150" s="138"/>
      <c r="J150" s="138"/>
      <c r="L150" s="138"/>
      <c r="M150" s="138"/>
      <c r="N150" s="138"/>
      <c r="O150" s="138"/>
      <c r="P150" s="138"/>
    </row>
    <row r="151" spans="7:16">
      <c r="G151" s="138"/>
      <c r="H151" s="138"/>
      <c r="I151" s="138"/>
      <c r="J151" s="138"/>
      <c r="L151" s="138"/>
      <c r="M151" s="138"/>
      <c r="N151" s="138"/>
      <c r="O151" s="138"/>
      <c r="P151" s="138"/>
    </row>
    <row r="152" spans="7:16">
      <c r="G152" s="138"/>
      <c r="H152" s="138"/>
      <c r="I152" s="138"/>
      <c r="J152" s="138"/>
      <c r="L152" s="138"/>
      <c r="M152" s="138"/>
      <c r="N152" s="138"/>
      <c r="O152" s="138"/>
      <c r="P152" s="138"/>
    </row>
    <row r="153" spans="7:16">
      <c r="G153" s="138"/>
      <c r="H153" s="138"/>
      <c r="I153" s="138"/>
      <c r="J153" s="138"/>
      <c r="L153" s="138"/>
      <c r="M153" s="138"/>
      <c r="N153" s="138"/>
      <c r="O153" s="138"/>
      <c r="P153" s="138"/>
    </row>
    <row r="154" spans="7:16">
      <c r="G154" s="138"/>
      <c r="H154" s="138"/>
      <c r="I154" s="138"/>
      <c r="J154" s="138"/>
      <c r="L154" s="138"/>
      <c r="M154" s="138"/>
      <c r="N154" s="138"/>
      <c r="O154" s="138"/>
      <c r="P154" s="138"/>
    </row>
    <row r="155" spans="7:16">
      <c r="G155" s="138"/>
      <c r="H155" s="138"/>
      <c r="I155" s="138"/>
      <c r="J155" s="138"/>
      <c r="L155" s="138"/>
      <c r="M155" s="138"/>
      <c r="N155" s="138"/>
      <c r="O155" s="138"/>
      <c r="P155" s="138"/>
    </row>
    <row r="156" spans="7:16">
      <c r="G156" s="138"/>
      <c r="H156" s="138"/>
      <c r="I156" s="138"/>
      <c r="J156" s="138"/>
      <c r="L156" s="138"/>
      <c r="M156" s="138"/>
      <c r="N156" s="138"/>
      <c r="O156" s="138"/>
      <c r="P156" s="138"/>
    </row>
    <row r="157" spans="7:16">
      <c r="G157" s="138"/>
      <c r="H157" s="138"/>
      <c r="I157" s="138"/>
      <c r="J157" s="138"/>
      <c r="L157" s="138"/>
      <c r="M157" s="138"/>
      <c r="N157" s="138"/>
      <c r="O157" s="138"/>
      <c r="P157" s="138"/>
    </row>
    <row r="158" spans="7:16">
      <c r="G158" s="138"/>
      <c r="H158" s="138"/>
      <c r="I158" s="138"/>
      <c r="J158" s="138"/>
      <c r="L158" s="138"/>
      <c r="M158" s="138"/>
      <c r="N158" s="138"/>
      <c r="O158" s="138"/>
      <c r="P158" s="138"/>
    </row>
    <row r="159" spans="7:16">
      <c r="G159" s="138"/>
      <c r="H159" s="138"/>
      <c r="I159" s="138"/>
      <c r="J159" s="138"/>
      <c r="L159" s="138"/>
      <c r="M159" s="138"/>
      <c r="N159" s="138"/>
      <c r="O159" s="138"/>
      <c r="P159" s="138"/>
    </row>
    <row r="160" spans="7:16">
      <c r="G160" s="138"/>
      <c r="H160" s="138"/>
      <c r="I160" s="138"/>
      <c r="J160" s="138"/>
      <c r="L160" s="138"/>
      <c r="M160" s="138"/>
      <c r="N160" s="138"/>
      <c r="O160" s="138"/>
      <c r="P160" s="138"/>
    </row>
    <row r="161" spans="7:16">
      <c r="G161" s="138"/>
      <c r="H161" s="138"/>
      <c r="I161" s="138"/>
      <c r="J161" s="138"/>
      <c r="L161" s="138"/>
      <c r="M161" s="138"/>
      <c r="N161" s="138"/>
      <c r="O161" s="138"/>
      <c r="P161" s="138"/>
    </row>
    <row r="162" spans="7:16">
      <c r="G162" s="138"/>
      <c r="H162" s="138"/>
      <c r="I162" s="138"/>
      <c r="J162" s="138"/>
      <c r="L162" s="138"/>
      <c r="M162" s="138"/>
      <c r="N162" s="138"/>
      <c r="O162" s="138"/>
      <c r="P162" s="138"/>
    </row>
    <row r="163" spans="7:16">
      <c r="G163" s="138"/>
      <c r="H163" s="138"/>
      <c r="I163" s="138"/>
      <c r="J163" s="138"/>
      <c r="L163" s="138"/>
      <c r="M163" s="138"/>
      <c r="N163" s="138"/>
      <c r="O163" s="138"/>
      <c r="P163" s="138"/>
    </row>
    <row r="164" spans="7:16">
      <c r="G164" s="138"/>
      <c r="H164" s="138"/>
      <c r="I164" s="138"/>
      <c r="J164" s="138"/>
      <c r="L164" s="138"/>
      <c r="M164" s="138"/>
      <c r="N164" s="138"/>
      <c r="O164" s="138"/>
      <c r="P164" s="138"/>
    </row>
    <row r="165" spans="7:16">
      <c r="G165" s="138"/>
      <c r="H165" s="138"/>
      <c r="I165" s="138"/>
      <c r="J165" s="138"/>
      <c r="L165" s="138"/>
      <c r="M165" s="138"/>
      <c r="N165" s="138"/>
      <c r="O165" s="138"/>
      <c r="P165" s="138"/>
    </row>
    <row r="166" spans="7:16">
      <c r="G166" s="138"/>
      <c r="H166" s="138"/>
      <c r="I166" s="138"/>
      <c r="J166" s="138"/>
      <c r="L166" s="138"/>
      <c r="M166" s="138"/>
      <c r="N166" s="138"/>
      <c r="O166" s="138"/>
      <c r="P166" s="138"/>
    </row>
    <row r="167" spans="7:16">
      <c r="G167" s="138"/>
      <c r="H167" s="138"/>
      <c r="I167" s="138"/>
      <c r="J167" s="138"/>
      <c r="L167" s="138"/>
      <c r="M167" s="138"/>
      <c r="N167" s="138"/>
      <c r="O167" s="138"/>
      <c r="P167" s="138"/>
    </row>
    <row r="168" spans="7:16">
      <c r="G168" s="138"/>
      <c r="H168" s="138"/>
      <c r="I168" s="138"/>
      <c r="J168" s="138"/>
      <c r="L168" s="138"/>
      <c r="M168" s="138"/>
      <c r="N168" s="138"/>
      <c r="O168" s="138"/>
      <c r="P168" s="138"/>
    </row>
    <row r="169" spans="7:16">
      <c r="G169" s="138"/>
      <c r="H169" s="138"/>
      <c r="I169" s="138"/>
      <c r="J169" s="138"/>
      <c r="L169" s="138"/>
      <c r="M169" s="138"/>
      <c r="N169" s="138"/>
      <c r="O169" s="138"/>
      <c r="P169" s="138"/>
    </row>
    <row r="170" spans="7:16">
      <c r="G170" s="138"/>
      <c r="H170" s="138"/>
      <c r="I170" s="138"/>
      <c r="J170" s="138"/>
      <c r="L170" s="138"/>
      <c r="M170" s="138"/>
      <c r="N170" s="138"/>
      <c r="O170" s="138"/>
      <c r="P170" s="138"/>
    </row>
    <row r="171" spans="7:16">
      <c r="G171" s="138"/>
      <c r="H171" s="138"/>
      <c r="I171" s="138"/>
      <c r="J171" s="138"/>
      <c r="L171" s="138"/>
      <c r="M171" s="138"/>
      <c r="N171" s="138"/>
      <c r="O171" s="138"/>
      <c r="P171" s="138"/>
    </row>
    <row r="172" spans="7:16">
      <c r="G172" s="138"/>
      <c r="H172" s="138"/>
      <c r="I172" s="138"/>
      <c r="J172" s="138"/>
      <c r="L172" s="138"/>
      <c r="M172" s="138"/>
      <c r="N172" s="138"/>
      <c r="O172" s="138"/>
      <c r="P172" s="138"/>
    </row>
    <row r="173" spans="7:16">
      <c r="G173" s="138"/>
      <c r="H173" s="138"/>
      <c r="I173" s="138"/>
      <c r="J173" s="138"/>
      <c r="L173" s="138"/>
      <c r="M173" s="138"/>
      <c r="N173" s="138"/>
      <c r="O173" s="138"/>
      <c r="P173" s="138"/>
    </row>
    <row r="174" spans="7:16">
      <c r="G174" s="138"/>
      <c r="H174" s="138"/>
      <c r="I174" s="138"/>
      <c r="J174" s="138"/>
      <c r="L174" s="138"/>
      <c r="M174" s="138"/>
      <c r="N174" s="138"/>
      <c r="O174" s="138"/>
      <c r="P174" s="138"/>
    </row>
    <row r="175" spans="7:16">
      <c r="G175" s="138"/>
      <c r="H175" s="138"/>
      <c r="I175" s="138"/>
      <c r="J175" s="138"/>
      <c r="L175" s="138"/>
      <c r="M175" s="138"/>
      <c r="N175" s="138"/>
      <c r="O175" s="138"/>
      <c r="P175" s="138"/>
    </row>
    <row r="176" spans="7:16">
      <c r="G176" s="138"/>
      <c r="H176" s="138"/>
      <c r="I176" s="138"/>
      <c r="J176" s="138"/>
      <c r="L176" s="138"/>
      <c r="M176" s="138"/>
      <c r="N176" s="138"/>
      <c r="O176" s="138"/>
      <c r="P176" s="138"/>
    </row>
    <row r="177" spans="7:16">
      <c r="G177" s="138"/>
      <c r="H177" s="138"/>
      <c r="I177" s="138"/>
      <c r="J177" s="138"/>
      <c r="L177" s="138"/>
      <c r="M177" s="138"/>
      <c r="N177" s="138"/>
      <c r="O177" s="138"/>
      <c r="P177" s="138"/>
    </row>
    <row r="178" spans="7:16">
      <c r="G178" s="138"/>
      <c r="H178" s="138"/>
      <c r="I178" s="138"/>
      <c r="J178" s="138"/>
      <c r="L178" s="138"/>
      <c r="M178" s="138"/>
      <c r="N178" s="138"/>
      <c r="O178" s="138"/>
      <c r="P178" s="138"/>
    </row>
    <row r="179" spans="7:16">
      <c r="G179" s="138"/>
      <c r="H179" s="138"/>
      <c r="I179" s="138"/>
      <c r="J179" s="138"/>
      <c r="L179" s="138"/>
      <c r="M179" s="138"/>
      <c r="N179" s="138"/>
      <c r="O179" s="138"/>
      <c r="P179" s="138"/>
    </row>
    <row r="180" spans="7:16">
      <c r="G180" s="138"/>
      <c r="H180" s="138"/>
      <c r="I180" s="138"/>
      <c r="J180" s="138"/>
      <c r="L180" s="138"/>
      <c r="M180" s="138"/>
      <c r="N180" s="138"/>
      <c r="O180" s="138"/>
      <c r="P180" s="138"/>
    </row>
    <row r="181" spans="7:16">
      <c r="G181" s="138"/>
      <c r="H181" s="138"/>
      <c r="I181" s="138"/>
      <c r="J181" s="138"/>
      <c r="L181" s="138"/>
      <c r="M181" s="138"/>
      <c r="N181" s="138"/>
      <c r="O181" s="138"/>
      <c r="P181" s="138"/>
    </row>
    <row r="182" spans="7:16">
      <c r="G182" s="138"/>
      <c r="H182" s="138"/>
      <c r="I182" s="138"/>
      <c r="J182" s="138"/>
      <c r="L182" s="138"/>
      <c r="M182" s="138"/>
      <c r="N182" s="138"/>
      <c r="O182" s="138"/>
      <c r="P182" s="138"/>
    </row>
    <row r="183" spans="7:16">
      <c r="G183" s="138"/>
      <c r="H183" s="138"/>
      <c r="I183" s="138"/>
      <c r="J183" s="138"/>
      <c r="L183" s="138"/>
      <c r="M183" s="138"/>
      <c r="N183" s="138"/>
      <c r="O183" s="138"/>
      <c r="P183" s="138"/>
    </row>
    <row r="184" spans="7:16">
      <c r="G184" s="138"/>
      <c r="H184" s="138"/>
      <c r="I184" s="138"/>
      <c r="J184" s="138"/>
      <c r="L184" s="138"/>
      <c r="M184" s="138"/>
      <c r="N184" s="138"/>
      <c r="O184" s="138"/>
      <c r="P184" s="138"/>
    </row>
    <row r="185" spans="7:16">
      <c r="G185" s="138"/>
      <c r="H185" s="138"/>
      <c r="I185" s="138"/>
      <c r="J185" s="138"/>
      <c r="L185" s="138"/>
      <c r="M185" s="138"/>
      <c r="N185" s="138"/>
      <c r="O185" s="138"/>
      <c r="P185" s="138"/>
    </row>
    <row r="186" spans="7:16">
      <c r="G186" s="138"/>
      <c r="H186" s="138"/>
      <c r="I186" s="138"/>
      <c r="J186" s="138"/>
      <c r="L186" s="138"/>
      <c r="M186" s="138"/>
      <c r="N186" s="138"/>
      <c r="O186" s="138"/>
      <c r="P186" s="138"/>
    </row>
    <row r="187" spans="7:16">
      <c r="G187" s="138"/>
      <c r="H187" s="138"/>
      <c r="I187" s="138"/>
      <c r="J187" s="138"/>
      <c r="L187" s="138"/>
      <c r="M187" s="138"/>
      <c r="N187" s="138"/>
      <c r="O187" s="138"/>
      <c r="P187" s="138"/>
    </row>
    <row r="188" spans="7:16">
      <c r="G188" s="138"/>
      <c r="H188" s="138"/>
      <c r="I188" s="138"/>
      <c r="J188" s="138"/>
      <c r="L188" s="138"/>
      <c r="M188" s="138"/>
      <c r="N188" s="138"/>
      <c r="O188" s="138"/>
      <c r="P188" s="138"/>
    </row>
    <row r="189" spans="7:16">
      <c r="G189" s="138"/>
      <c r="H189" s="138"/>
      <c r="I189" s="138"/>
      <c r="J189" s="138"/>
      <c r="L189" s="138"/>
      <c r="M189" s="138"/>
      <c r="N189" s="138"/>
      <c r="O189" s="138"/>
      <c r="P189" s="138"/>
    </row>
    <row r="190" spans="7:16">
      <c r="G190" s="138"/>
      <c r="H190" s="138"/>
      <c r="I190" s="138"/>
      <c r="J190" s="138"/>
      <c r="L190" s="138"/>
      <c r="M190" s="138"/>
      <c r="N190" s="138"/>
      <c r="O190" s="138"/>
      <c r="P190" s="138"/>
    </row>
    <row r="191" spans="7:16">
      <c r="G191" s="138"/>
      <c r="H191" s="138"/>
      <c r="I191" s="138"/>
      <c r="J191" s="138"/>
      <c r="L191" s="138"/>
      <c r="M191" s="138"/>
      <c r="N191" s="138"/>
      <c r="O191" s="138"/>
      <c r="P191" s="138"/>
    </row>
    <row r="192" spans="7:16">
      <c r="G192" s="138"/>
      <c r="H192" s="138"/>
      <c r="I192" s="138"/>
      <c r="J192" s="138"/>
      <c r="L192" s="138"/>
      <c r="M192" s="138"/>
      <c r="N192" s="138"/>
      <c r="O192" s="138"/>
      <c r="P192" s="138"/>
    </row>
    <row r="193" spans="7:16">
      <c r="G193" s="138"/>
      <c r="H193" s="138"/>
      <c r="I193" s="138"/>
      <c r="J193" s="138"/>
      <c r="L193" s="138"/>
      <c r="M193" s="138"/>
      <c r="N193" s="138"/>
      <c r="O193" s="138"/>
      <c r="P193" s="138"/>
    </row>
    <row r="194" spans="7:16">
      <c r="G194" s="138"/>
      <c r="H194" s="138"/>
      <c r="I194" s="138"/>
      <c r="J194" s="138"/>
      <c r="L194" s="138"/>
      <c r="M194" s="138"/>
      <c r="N194" s="138"/>
      <c r="O194" s="138"/>
      <c r="P194" s="138"/>
    </row>
    <row r="195" spans="7:16">
      <c r="G195" s="138"/>
      <c r="H195" s="138"/>
      <c r="I195" s="138"/>
      <c r="J195" s="138"/>
      <c r="L195" s="138"/>
      <c r="M195" s="138"/>
      <c r="N195" s="138"/>
      <c r="O195" s="138"/>
      <c r="P195" s="138"/>
    </row>
    <row r="196" spans="7:16">
      <c r="G196" s="138"/>
      <c r="H196" s="138"/>
      <c r="I196" s="138"/>
      <c r="J196" s="138"/>
      <c r="L196" s="138"/>
      <c r="M196" s="138"/>
      <c r="N196" s="138"/>
      <c r="O196" s="138"/>
      <c r="P196" s="138"/>
    </row>
    <row r="197" spans="7:16">
      <c r="G197" s="138"/>
      <c r="H197" s="138"/>
      <c r="I197" s="138"/>
      <c r="J197" s="138"/>
      <c r="L197" s="138"/>
      <c r="M197" s="138"/>
      <c r="N197" s="138"/>
      <c r="O197" s="138"/>
      <c r="P197" s="138"/>
    </row>
    <row r="198" spans="7:16">
      <c r="G198" s="138"/>
      <c r="H198" s="138"/>
      <c r="I198" s="138"/>
      <c r="J198" s="138"/>
      <c r="L198" s="138"/>
      <c r="M198" s="138"/>
      <c r="N198" s="138"/>
      <c r="O198" s="138"/>
      <c r="P198" s="138"/>
    </row>
    <row r="199" spans="7:16">
      <c r="G199" s="138"/>
      <c r="H199" s="138"/>
      <c r="I199" s="138"/>
      <c r="J199" s="138"/>
      <c r="L199" s="138"/>
      <c r="M199" s="138"/>
      <c r="N199" s="138"/>
      <c r="O199" s="138"/>
      <c r="P199" s="138"/>
    </row>
    <row r="200" spans="7:16">
      <c r="G200" s="138"/>
      <c r="H200" s="138"/>
      <c r="I200" s="138"/>
      <c r="J200" s="138"/>
      <c r="L200" s="138"/>
      <c r="M200" s="138"/>
      <c r="N200" s="138"/>
      <c r="O200" s="138"/>
      <c r="P200" s="138"/>
    </row>
    <row r="201" spans="7:16">
      <c r="G201" s="138"/>
      <c r="H201" s="138"/>
      <c r="I201" s="138"/>
      <c r="J201" s="138"/>
      <c r="L201" s="138"/>
      <c r="M201" s="138"/>
      <c r="N201" s="138"/>
      <c r="O201" s="138"/>
      <c r="P201" s="138"/>
    </row>
    <row r="202" spans="7:16">
      <c r="G202" s="138"/>
      <c r="H202" s="138"/>
      <c r="I202" s="138"/>
      <c r="J202" s="138"/>
      <c r="L202" s="138"/>
      <c r="M202" s="138"/>
      <c r="N202" s="138"/>
      <c r="O202" s="138"/>
      <c r="P202" s="138"/>
    </row>
    <row r="203" spans="7:16">
      <c r="G203" s="138"/>
      <c r="H203" s="138"/>
      <c r="I203" s="138"/>
      <c r="J203" s="138"/>
      <c r="L203" s="138"/>
      <c r="M203" s="138"/>
      <c r="N203" s="138"/>
      <c r="O203" s="138"/>
      <c r="P203" s="138"/>
    </row>
    <row r="204" spans="7:16">
      <c r="G204" s="138"/>
      <c r="H204" s="138"/>
      <c r="I204" s="138"/>
      <c r="J204" s="138"/>
      <c r="L204" s="138"/>
      <c r="M204" s="138"/>
      <c r="N204" s="138"/>
      <c r="O204" s="138"/>
      <c r="P204" s="138"/>
    </row>
    <row r="205" spans="7:16">
      <c r="G205" s="138"/>
      <c r="H205" s="138"/>
      <c r="I205" s="138"/>
      <c r="J205" s="138"/>
      <c r="L205" s="138"/>
      <c r="M205" s="138"/>
      <c r="N205" s="138"/>
      <c r="O205" s="138"/>
      <c r="P205" s="138"/>
    </row>
    <row r="206" spans="7:16">
      <c r="G206" s="138"/>
      <c r="H206" s="138"/>
      <c r="I206" s="138"/>
      <c r="J206" s="138"/>
      <c r="L206" s="138"/>
      <c r="M206" s="138"/>
      <c r="N206" s="138"/>
      <c r="O206" s="138"/>
      <c r="P206" s="138"/>
    </row>
    <row r="207" spans="7:16">
      <c r="G207" s="138"/>
      <c r="H207" s="138"/>
      <c r="I207" s="138"/>
      <c r="J207" s="138"/>
      <c r="L207" s="138"/>
      <c r="M207" s="138"/>
      <c r="N207" s="138"/>
      <c r="O207" s="138"/>
      <c r="P207" s="138"/>
    </row>
    <row r="208" spans="7:16">
      <c r="G208" s="138"/>
      <c r="H208" s="138"/>
      <c r="I208" s="138"/>
      <c r="J208" s="138"/>
      <c r="L208" s="138"/>
      <c r="M208" s="138"/>
      <c r="N208" s="138"/>
      <c r="O208" s="138"/>
      <c r="P208" s="138"/>
    </row>
    <row r="209" spans="7:16">
      <c r="G209" s="138"/>
      <c r="H209" s="138"/>
      <c r="I209" s="138"/>
      <c r="J209" s="138"/>
      <c r="L209" s="138"/>
      <c r="M209" s="138"/>
      <c r="N209" s="138"/>
      <c r="O209" s="138"/>
      <c r="P209" s="138"/>
    </row>
    <row r="210" spans="7:16">
      <c r="G210" s="138"/>
      <c r="H210" s="138"/>
      <c r="I210" s="138"/>
      <c r="J210" s="138"/>
      <c r="L210" s="138"/>
      <c r="M210" s="138"/>
      <c r="N210" s="138"/>
      <c r="O210" s="138"/>
      <c r="P210" s="138"/>
    </row>
    <row r="211" spans="7:16">
      <c r="G211" s="138"/>
      <c r="H211" s="138"/>
      <c r="I211" s="138"/>
      <c r="J211" s="138"/>
      <c r="L211" s="138"/>
      <c r="M211" s="138"/>
      <c r="N211" s="138"/>
      <c r="O211" s="138"/>
      <c r="P211" s="138"/>
    </row>
    <row r="212" spans="7:16">
      <c r="G212" s="138"/>
      <c r="H212" s="138"/>
      <c r="I212" s="138"/>
      <c r="J212" s="138"/>
      <c r="L212" s="138"/>
      <c r="M212" s="138"/>
      <c r="N212" s="138"/>
      <c r="O212" s="138"/>
      <c r="P212" s="138"/>
    </row>
    <row r="213" spans="7:16">
      <c r="G213" s="138"/>
      <c r="H213" s="138"/>
      <c r="I213" s="138"/>
      <c r="J213" s="138"/>
      <c r="L213" s="138"/>
      <c r="M213" s="138"/>
      <c r="N213" s="138"/>
      <c r="O213" s="138"/>
      <c r="P213" s="138"/>
    </row>
    <row r="214" spans="7:16">
      <c r="G214" s="138"/>
      <c r="H214" s="138"/>
      <c r="L214" s="138"/>
      <c r="M214" s="138"/>
      <c r="N214" s="138"/>
      <c r="O214" s="138"/>
      <c r="P214" s="138"/>
    </row>
    <row r="215" spans="7:16">
      <c r="L215" s="138"/>
      <c r="M215" s="138"/>
      <c r="N215" s="138"/>
      <c r="O215" s="138"/>
      <c r="P215" s="138"/>
    </row>
    <row r="216" spans="7:16">
      <c r="L216" s="138"/>
      <c r="M216" s="138"/>
      <c r="N216" s="138"/>
      <c r="O216" s="138"/>
      <c r="P216" s="138"/>
    </row>
    <row r="217" spans="7:16">
      <c r="L217" s="138"/>
      <c r="M217" s="138"/>
      <c r="N217" s="138"/>
    </row>
    <row r="218" spans="7:16">
      <c r="L218" s="138"/>
      <c r="M218" s="138"/>
      <c r="N218" s="138"/>
    </row>
    <row r="219" spans="7:16">
      <c r="L219" s="138"/>
      <c r="M219" s="138"/>
      <c r="N219" s="138"/>
    </row>
  </sheetData>
  <mergeCells count="19">
    <mergeCell ref="K20:O20"/>
    <mergeCell ref="K25:K26"/>
    <mergeCell ref="L25:L26"/>
    <mergeCell ref="M21:N21"/>
    <mergeCell ref="M22:N22"/>
    <mergeCell ref="M23:N23"/>
    <mergeCell ref="M24:N24"/>
    <mergeCell ref="E52:F52"/>
    <mergeCell ref="I45:I46"/>
    <mergeCell ref="B20:I20"/>
    <mergeCell ref="E21:I21"/>
    <mergeCell ref="B26:I26"/>
    <mergeCell ref="B33:I33"/>
    <mergeCell ref="B40:I40"/>
    <mergeCell ref="B48:C51"/>
    <mergeCell ref="E48:F48"/>
    <mergeCell ref="E49:F49"/>
    <mergeCell ref="E50:F50"/>
    <mergeCell ref="E51:F51"/>
  </mergeCells>
  <conditionalFormatting sqref="H24">
    <cfRule type="expression" dxfId="9" priority="25">
      <formula>$H$24</formula>
    </cfRule>
    <cfRule type="colorScale" priority="26">
      <colorScale>
        <cfvo type="min"/>
        <cfvo type="percentile" val="50"/>
        <cfvo type="max"/>
        <color rgb="FFF8696B"/>
        <color rgb="FFFFEB84"/>
        <color rgb="FF63BE7B"/>
      </colorScale>
    </cfRule>
    <cfRule type="expression" dxfId="8" priority="27">
      <formula>$H$24</formula>
    </cfRule>
    <cfRule type="expression" dxfId="7" priority="28">
      <formula>$H$24</formula>
    </cfRule>
  </conditionalFormatting>
  <conditionalFormatting sqref="H30">
    <cfRule type="expression" dxfId="6" priority="14">
      <formula>$H$30</formula>
    </cfRule>
  </conditionalFormatting>
  <conditionalFormatting sqref="H37">
    <cfRule type="expression" dxfId="5" priority="12">
      <formula>$H$37</formula>
    </cfRule>
  </conditionalFormatting>
  <conditionalFormatting sqref="H44">
    <cfRule type="expression" dxfId="4" priority="11">
      <formula>$H$44</formula>
    </cfRule>
    <cfRule type="expression" dxfId="3" priority="15">
      <formula>$H$44</formula>
    </cfRule>
    <cfRule type="expression" dxfId="2" priority="16">
      <formula>$H$44</formula>
    </cfRule>
  </conditionalFormatting>
  <conditionalFormatting sqref="O22:O26">
    <cfRule type="containsText" dxfId="1" priority="1" operator="containsText" text="FALSE">
      <formula>NOT(ISERROR(SEARCH("FALSE",O22)))</formula>
    </cfRule>
    <cfRule type="containsText" dxfId="0" priority="2" operator="containsText" text="TRUE">
      <formula>NOT(ISERROR(SEARCH("TRUE",O22)))</formula>
    </cfRule>
  </conditionalFormatting>
  <dataValidations count="1">
    <dataValidation type="list" allowBlank="1" showInputMessage="1" showErrorMessage="1" sqref="C16" xr:uid="{1D65039A-A252-4F45-9517-B9F61D52947F}">
      <formula1>$U$3:$U$4</formula1>
    </dataValidation>
  </dataValidations>
  <pageMargins left="0.75" right="0.75" top="1" bottom="1" header="0.5" footer="0.5"/>
  <pageSetup orientation="portrait" r:id="rId1"/>
  <headerFooter alignWithMargins="0"/>
  <drawing r:id="rId2"/>
  <legacyDrawing r:id="rId3"/>
  <controls>
    <mc:AlternateContent xmlns:mc="http://schemas.openxmlformats.org/markup-compatibility/2006">
      <mc:Choice Requires="x14">
        <control shapeId="2058" r:id="rId4" name="ComboBox1">
          <controlPr locked="0" autoLine="0" linkedCell="T5" listFillRange="T3:T4" r:id="rId5">
            <anchor moveWithCells="1">
              <from>
                <xdr:col>2</xdr:col>
                <xdr:colOff>9525</xdr:colOff>
                <xdr:row>16</xdr:row>
                <xdr:rowOff>0</xdr:rowOff>
              </from>
              <to>
                <xdr:col>5</xdr:col>
                <xdr:colOff>19050</xdr:colOff>
                <xdr:row>17</xdr:row>
                <xdr:rowOff>9525</xdr:rowOff>
              </to>
            </anchor>
          </controlPr>
        </control>
      </mc:Choice>
      <mc:Fallback>
        <control shapeId="2058" r:id="rId4" name="ComboBox1"/>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1"/>
  <dimension ref="A1:L20"/>
  <sheetViews>
    <sheetView showGridLines="0" zoomScaleNormal="100" workbookViewId="0"/>
  </sheetViews>
  <sheetFormatPr defaultRowHeight="12.75"/>
  <cols>
    <col min="1" max="1" width="22" customWidth="1"/>
    <col min="2" max="2" width="16.42578125" customWidth="1"/>
    <col min="11" max="11" width="23.42578125" customWidth="1"/>
    <col min="12" max="12" width="11.140625" customWidth="1"/>
    <col min="13" max="13" width="16.85546875" customWidth="1"/>
    <col min="14" max="14" width="10.5703125" customWidth="1"/>
    <col min="15" max="15" width="0" hidden="1" customWidth="1"/>
  </cols>
  <sheetData>
    <row r="1" spans="1:12">
      <c r="A1" t="s">
        <v>110</v>
      </c>
    </row>
    <row r="2" spans="1:12" ht="12.75" customHeight="1">
      <c r="A2" s="265" t="s">
        <v>111</v>
      </c>
      <c r="B2" s="243"/>
      <c r="C2" s="243"/>
      <c r="D2" s="243"/>
      <c r="E2" s="243"/>
      <c r="F2" s="243"/>
      <c r="G2" s="243"/>
      <c r="H2" s="243"/>
      <c r="I2" s="243"/>
      <c r="J2" s="243"/>
      <c r="K2" s="243"/>
      <c r="L2" s="243"/>
    </row>
    <row r="3" spans="1:12" ht="15">
      <c r="A3" s="244" t="s">
        <v>112</v>
      </c>
      <c r="B3" s="243"/>
      <c r="C3" s="243"/>
      <c r="D3" s="243"/>
      <c r="E3" s="243"/>
      <c r="F3" s="243"/>
      <c r="G3" s="243"/>
      <c r="H3" s="243"/>
      <c r="I3" s="243"/>
      <c r="J3" s="243"/>
      <c r="K3" s="243"/>
      <c r="L3" s="243"/>
    </row>
    <row r="4" spans="1:12">
      <c r="A4" s="243"/>
      <c r="B4" s="243"/>
      <c r="C4" s="243"/>
      <c r="D4" s="243"/>
      <c r="E4" s="243"/>
      <c r="F4" s="243"/>
      <c r="G4" s="243"/>
      <c r="H4" s="243"/>
      <c r="I4" s="243"/>
      <c r="J4" s="243"/>
      <c r="K4" s="243"/>
      <c r="L4" s="243"/>
    </row>
    <row r="5" spans="1:12">
      <c r="A5" s="243"/>
      <c r="B5" s="243"/>
      <c r="C5" s="243"/>
      <c r="D5" s="243"/>
      <c r="E5" s="243"/>
      <c r="F5" s="243"/>
      <c r="G5" s="243"/>
      <c r="H5" s="243"/>
      <c r="I5" s="243"/>
      <c r="J5" s="243"/>
      <c r="K5" s="243"/>
      <c r="L5" s="243"/>
    </row>
    <row r="6" spans="1:12">
      <c r="A6" s="243"/>
      <c r="B6" s="243"/>
      <c r="C6" s="243"/>
      <c r="D6" s="243"/>
      <c r="E6" s="243"/>
      <c r="F6" s="243"/>
      <c r="G6" s="243"/>
      <c r="H6" s="243"/>
      <c r="I6" s="243"/>
      <c r="J6" s="243"/>
      <c r="K6" s="243"/>
      <c r="L6" s="243"/>
    </row>
    <row r="7" spans="1:12">
      <c r="A7" s="243"/>
      <c r="B7" s="243"/>
      <c r="C7" s="243"/>
      <c r="D7" s="243"/>
      <c r="E7" s="243"/>
      <c r="F7" s="243"/>
      <c r="G7" s="243"/>
      <c r="H7" s="243"/>
      <c r="I7" s="243"/>
      <c r="J7" s="243"/>
      <c r="K7" s="243"/>
      <c r="L7" s="243"/>
    </row>
    <row r="8" spans="1:12">
      <c r="A8" s="243"/>
      <c r="B8" s="243"/>
      <c r="C8" s="243"/>
      <c r="D8" s="243"/>
      <c r="E8" s="243"/>
      <c r="F8" s="243"/>
      <c r="G8" s="243"/>
      <c r="H8" s="243"/>
      <c r="I8" s="243"/>
      <c r="J8" s="243"/>
      <c r="K8" s="243"/>
      <c r="L8" s="243"/>
    </row>
    <row r="9" spans="1:12">
      <c r="A9" s="243"/>
      <c r="B9" s="243"/>
      <c r="C9" s="243"/>
      <c r="D9" s="243"/>
      <c r="E9" s="243"/>
      <c r="F9" s="243"/>
      <c r="G9" s="243"/>
      <c r="H9" s="243"/>
      <c r="I9" s="243"/>
      <c r="J9" s="243"/>
      <c r="K9" s="243"/>
      <c r="L9" s="243"/>
    </row>
    <row r="10" spans="1:12">
      <c r="A10" s="243"/>
      <c r="B10" s="243"/>
      <c r="C10" s="243"/>
      <c r="D10" s="243"/>
      <c r="E10" s="243"/>
      <c r="F10" s="243"/>
      <c r="G10" s="243"/>
      <c r="H10" s="243"/>
      <c r="I10" s="243"/>
      <c r="J10" s="243"/>
      <c r="K10" s="243"/>
      <c r="L10" s="243"/>
    </row>
    <row r="11" spans="1:12">
      <c r="A11" s="243"/>
      <c r="B11" s="243"/>
      <c r="C11" s="243"/>
      <c r="D11" s="243"/>
      <c r="E11" s="243"/>
      <c r="F11" s="243"/>
      <c r="G11" s="243"/>
      <c r="H11" s="243"/>
      <c r="I11" s="243"/>
      <c r="J11" s="243"/>
      <c r="K11" s="243"/>
      <c r="L11" s="243"/>
    </row>
    <row r="12" spans="1:12">
      <c r="A12" s="243"/>
      <c r="B12" s="243"/>
      <c r="C12" s="243"/>
      <c r="D12" s="243"/>
      <c r="E12" s="243"/>
      <c r="F12" s="243"/>
      <c r="G12" s="243"/>
      <c r="H12" s="243"/>
      <c r="I12" s="243"/>
      <c r="J12" s="243"/>
      <c r="K12" s="243"/>
      <c r="L12" s="243"/>
    </row>
    <row r="13" spans="1:12">
      <c r="A13" s="243"/>
      <c r="B13" s="243"/>
      <c r="C13" s="243"/>
      <c r="D13" s="243"/>
      <c r="E13" s="243"/>
      <c r="F13" s="243"/>
      <c r="G13" s="243"/>
      <c r="H13" s="243"/>
      <c r="I13" s="243"/>
      <c r="J13" s="243"/>
      <c r="K13" s="243"/>
      <c r="L13" s="243"/>
    </row>
    <row r="14" spans="1:12">
      <c r="A14" s="243"/>
      <c r="B14" s="243"/>
      <c r="C14" s="243"/>
      <c r="D14" s="243"/>
      <c r="E14" s="243"/>
      <c r="F14" s="243"/>
      <c r="G14" s="243"/>
      <c r="H14" s="243"/>
      <c r="I14" s="243"/>
      <c r="J14" s="243"/>
      <c r="K14" s="243"/>
      <c r="L14" s="243"/>
    </row>
    <row r="15" spans="1:12">
      <c r="A15" s="243"/>
      <c r="B15" s="243"/>
      <c r="C15" s="243"/>
      <c r="D15" s="243"/>
      <c r="E15" s="243"/>
      <c r="F15" s="243"/>
      <c r="G15" s="243"/>
      <c r="H15" s="243"/>
      <c r="I15" s="243"/>
      <c r="J15" s="243"/>
      <c r="K15" s="243"/>
      <c r="L15" s="243"/>
    </row>
    <row r="16" spans="1:12">
      <c r="A16" s="243"/>
      <c r="B16" s="243"/>
      <c r="C16" s="243"/>
      <c r="D16" s="243"/>
      <c r="E16" s="243"/>
      <c r="F16" s="243"/>
      <c r="G16" s="243"/>
      <c r="H16" s="243"/>
      <c r="I16" s="243"/>
      <c r="J16" s="243"/>
      <c r="K16" s="243"/>
      <c r="L16" s="243"/>
    </row>
    <row r="17" spans="1:12">
      <c r="A17" s="243"/>
      <c r="B17" s="243"/>
      <c r="C17" s="243"/>
      <c r="D17" s="243"/>
      <c r="E17" s="243"/>
      <c r="F17" s="243"/>
      <c r="G17" s="243"/>
      <c r="H17" s="243"/>
      <c r="I17" s="243"/>
      <c r="J17" s="243"/>
      <c r="K17" s="243"/>
      <c r="L17" s="243"/>
    </row>
    <row r="18" spans="1:12">
      <c r="A18" s="243"/>
      <c r="B18" s="243"/>
      <c r="C18" s="243"/>
      <c r="D18" s="243"/>
      <c r="E18" s="243"/>
      <c r="F18" s="243"/>
      <c r="G18" s="243"/>
      <c r="H18" s="243"/>
      <c r="I18" s="243"/>
      <c r="J18" s="243"/>
      <c r="K18" s="243"/>
      <c r="L18" s="243"/>
    </row>
    <row r="19" spans="1:12">
      <c r="A19" s="243"/>
      <c r="B19" s="243"/>
      <c r="C19" s="243"/>
      <c r="D19" s="243"/>
      <c r="E19" s="243"/>
      <c r="F19" s="243"/>
      <c r="G19" s="243"/>
      <c r="H19" s="243"/>
      <c r="I19" s="243"/>
      <c r="J19" s="243"/>
      <c r="K19" s="243"/>
      <c r="L19" s="243"/>
    </row>
    <row r="20" spans="1:12">
      <c r="A20" s="243"/>
      <c r="B20" s="243"/>
      <c r="C20" s="243"/>
      <c r="D20" s="243"/>
      <c r="E20" s="243"/>
      <c r="F20" s="243"/>
      <c r="G20" s="243"/>
      <c r="H20" s="243"/>
      <c r="I20" s="243"/>
      <c r="J20" s="243"/>
      <c r="K20" s="243"/>
      <c r="L20" s="243"/>
    </row>
  </sheetData>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dimension ref="A1:BG85"/>
  <sheetViews>
    <sheetView topLeftCell="AO1" zoomScale="75" zoomScaleNormal="75" workbookViewId="0">
      <selection activeCell="AO48" sqref="AO48"/>
    </sheetView>
  </sheetViews>
  <sheetFormatPr defaultRowHeight="15.75"/>
  <cols>
    <col min="1" max="1" width="13.5703125" style="85" hidden="1" customWidth="1"/>
    <col min="2" max="2" width="14.42578125" style="85" hidden="1" customWidth="1"/>
    <col min="3" max="3" width="39.140625" style="85" bestFit="1" customWidth="1"/>
    <col min="4" max="4" width="29" style="85" customWidth="1"/>
    <col min="5" max="5" width="17.42578125" style="85" hidden="1" customWidth="1"/>
    <col min="6" max="6" width="12.28515625" style="85" hidden="1" customWidth="1"/>
    <col min="7" max="7" width="28.28515625" style="85" hidden="1" customWidth="1"/>
    <col min="8" max="8" width="45" style="85" hidden="1" customWidth="1"/>
    <col min="9" max="9" width="16.140625" style="85" hidden="1" customWidth="1"/>
    <col min="10" max="10" width="21.5703125" style="85" hidden="1" customWidth="1"/>
    <col min="11" max="11" width="23.7109375" style="85" hidden="1" customWidth="1"/>
    <col min="12" max="12" width="17.140625" style="85" hidden="1" customWidth="1"/>
    <col min="13" max="13" width="17.42578125" style="85" hidden="1" customWidth="1"/>
    <col min="14" max="14" width="20.28515625" style="85" hidden="1" customWidth="1"/>
    <col min="15" max="15" width="14.140625" style="85" hidden="1" customWidth="1"/>
    <col min="16" max="16" width="13.140625" style="85" hidden="1" customWidth="1"/>
    <col min="17" max="17" width="14.42578125" style="85" hidden="1" customWidth="1"/>
    <col min="18" max="18" width="11.42578125" style="85" hidden="1" customWidth="1"/>
    <col min="19" max="19" width="104.85546875" style="85" hidden="1" customWidth="1"/>
    <col min="20" max="20" width="26.42578125" style="108" bestFit="1" customWidth="1"/>
    <col min="21" max="21" width="24.7109375" style="108" bestFit="1" customWidth="1"/>
    <col min="22" max="22" width="25.85546875" style="85" hidden="1" customWidth="1"/>
    <col min="23" max="23" width="10.5703125" style="85" hidden="1" customWidth="1"/>
    <col min="24" max="24" width="20.5703125" style="108" bestFit="1" customWidth="1"/>
    <col min="25" max="25" width="19.140625" style="85" hidden="1" customWidth="1"/>
    <col min="26" max="26" width="23" style="85" hidden="1" customWidth="1"/>
    <col min="27" max="27" width="21.5703125" style="108" bestFit="1" customWidth="1"/>
    <col min="28" max="28" width="17.28515625" style="85" hidden="1" customWidth="1"/>
    <col min="29" max="30" width="15.28515625" style="85" hidden="1" customWidth="1"/>
    <col min="31" max="31" width="16.85546875" style="85" hidden="1" customWidth="1"/>
    <col min="32" max="32" width="17.7109375" style="108" bestFit="1" customWidth="1"/>
    <col min="33" max="33" width="12.85546875" style="85" hidden="1" customWidth="1"/>
    <col min="34" max="34" width="25.28515625" style="85" hidden="1" customWidth="1"/>
    <col min="35" max="35" width="26.28515625" style="85" hidden="1" customWidth="1"/>
    <col min="36" max="36" width="10.5703125" style="85" hidden="1" customWidth="1"/>
    <col min="37" max="37" width="11.5703125" style="133" bestFit="1" customWidth="1"/>
    <col min="38" max="38" width="16" style="134" bestFit="1" customWidth="1"/>
    <col min="39" max="39" width="11.5703125" style="134" bestFit="1" customWidth="1"/>
    <col min="40" max="40" width="12.5703125" style="134" bestFit="1" customWidth="1"/>
    <col min="41" max="41" width="9.140625" style="85" customWidth="1"/>
    <col min="42" max="42" width="17.42578125" style="115" customWidth="1"/>
    <col min="43" max="43" width="19.42578125" style="85" bestFit="1" customWidth="1"/>
    <col min="44" max="45" width="11.5703125" style="85" bestFit="1" customWidth="1"/>
    <col min="46" max="46" width="16.140625" style="85" bestFit="1" customWidth="1"/>
    <col min="47" max="47" width="11.5703125" style="85" bestFit="1" customWidth="1"/>
    <col min="48" max="48" width="12.140625" style="85" bestFit="1" customWidth="1"/>
    <col min="49" max="49" width="11.5703125" style="85" bestFit="1" customWidth="1"/>
    <col min="50" max="50" width="12.7109375" style="85" bestFit="1" customWidth="1"/>
    <col min="51" max="53" width="10.28515625" style="85" customWidth="1"/>
    <col min="54" max="54" width="9.28515625" style="85" customWidth="1"/>
    <col min="55" max="55" width="9.140625" style="85"/>
    <col min="56" max="56" width="13.28515625" style="85" bestFit="1" customWidth="1"/>
    <col min="57" max="57" width="11.5703125" style="85" bestFit="1" customWidth="1"/>
    <col min="58" max="58" width="12.140625" style="85" bestFit="1" customWidth="1"/>
    <col min="59" max="63" width="11.5703125" style="85" bestFit="1" customWidth="1"/>
    <col min="64" max="16384" width="9.140625" style="85"/>
  </cols>
  <sheetData>
    <row r="1" spans="1:43" s="88" customFormat="1">
      <c r="T1" s="89"/>
      <c r="U1" s="89"/>
      <c r="X1" s="89"/>
      <c r="AA1" s="89"/>
      <c r="AF1" s="89"/>
      <c r="AK1" s="90"/>
      <c r="AL1" s="98"/>
      <c r="AM1" s="98"/>
      <c r="AN1" s="98"/>
      <c r="AP1" s="91"/>
    </row>
    <row r="2" spans="1:43" s="88" customFormat="1">
      <c r="T2" s="89"/>
      <c r="U2" s="89"/>
      <c r="X2" s="89"/>
      <c r="AA2" s="89"/>
      <c r="AF2" s="89"/>
      <c r="AK2" s="90"/>
      <c r="AL2" s="98"/>
      <c r="AM2" s="98"/>
      <c r="AN2" s="98"/>
      <c r="AP2" s="91"/>
    </row>
    <row r="3" spans="1:43" s="88" customFormat="1" ht="12.75" customHeight="1">
      <c r="C3" s="92" t="s">
        <v>113</v>
      </c>
      <c r="G3" s="93" t="s">
        <v>114</v>
      </c>
      <c r="H3" s="93" t="s">
        <v>115</v>
      </c>
      <c r="I3" s="93" t="s">
        <v>116</v>
      </c>
      <c r="J3" s="93" t="s">
        <v>117</v>
      </c>
      <c r="K3" s="93" t="s">
        <v>118</v>
      </c>
      <c r="L3" s="93" t="s">
        <v>119</v>
      </c>
      <c r="M3" s="93" t="s">
        <v>120</v>
      </c>
      <c r="N3" s="93" t="s">
        <v>120</v>
      </c>
      <c r="O3" s="93" t="s">
        <v>121</v>
      </c>
      <c r="P3" s="93" t="s">
        <v>116</v>
      </c>
      <c r="Q3" s="93" t="s">
        <v>122</v>
      </c>
      <c r="R3" s="93" t="s">
        <v>116</v>
      </c>
      <c r="S3" s="93" t="s">
        <v>123</v>
      </c>
      <c r="T3" s="89" t="s">
        <v>124</v>
      </c>
      <c r="U3" s="89" t="s">
        <v>125</v>
      </c>
      <c r="W3" s="93" t="s">
        <v>122</v>
      </c>
      <c r="X3" s="89" t="s">
        <v>126</v>
      </c>
      <c r="Y3" s="93" t="s">
        <v>127</v>
      </c>
      <c r="Z3" s="93" t="s">
        <v>128</v>
      </c>
      <c r="AA3" s="89" t="s">
        <v>129</v>
      </c>
      <c r="AB3" s="93" t="s">
        <v>125</v>
      </c>
      <c r="AC3" s="93" t="s">
        <v>122</v>
      </c>
      <c r="AD3" s="93" t="s">
        <v>122</v>
      </c>
      <c r="AE3" s="93" t="s">
        <v>122</v>
      </c>
      <c r="AF3" s="89" t="s">
        <v>125</v>
      </c>
      <c r="AG3" s="93" t="s">
        <v>128</v>
      </c>
      <c r="AH3" s="93" t="s">
        <v>122</v>
      </c>
      <c r="AI3" s="93" t="s">
        <v>121</v>
      </c>
      <c r="AK3" s="291" t="s">
        <v>130</v>
      </c>
      <c r="AL3" s="291"/>
      <c r="AM3" s="291"/>
      <c r="AN3" s="98"/>
      <c r="AP3" s="91"/>
    </row>
    <row r="4" spans="1:43" s="88" customFormat="1" ht="47.25" hidden="1">
      <c r="A4" s="94"/>
      <c r="B4" s="88" t="s">
        <v>131</v>
      </c>
      <c r="C4" s="93" t="s">
        <v>132</v>
      </c>
      <c r="D4" s="93" t="s">
        <v>133</v>
      </c>
      <c r="E4" s="94" t="s">
        <v>134</v>
      </c>
      <c r="F4" s="94" t="s">
        <v>135</v>
      </c>
      <c r="G4" s="94" t="s">
        <v>136</v>
      </c>
      <c r="H4" s="94" t="s">
        <v>137</v>
      </c>
      <c r="I4" s="94" t="s">
        <v>138</v>
      </c>
      <c r="J4" s="94" t="s">
        <v>139</v>
      </c>
      <c r="K4" s="94" t="s">
        <v>140</v>
      </c>
      <c r="L4" s="94" t="s">
        <v>141</v>
      </c>
      <c r="M4" s="94" t="s">
        <v>142</v>
      </c>
      <c r="N4" s="94" t="s">
        <v>143</v>
      </c>
      <c r="O4" s="94" t="s">
        <v>144</v>
      </c>
      <c r="P4" s="94" t="s">
        <v>145</v>
      </c>
      <c r="Q4" s="94" t="s">
        <v>146</v>
      </c>
      <c r="R4" s="94" t="s">
        <v>147</v>
      </c>
      <c r="S4" s="94" t="s">
        <v>148</v>
      </c>
      <c r="T4" s="95" t="s">
        <v>149</v>
      </c>
      <c r="U4" s="95" t="s">
        <v>150</v>
      </c>
      <c r="V4" s="94" t="s">
        <v>151</v>
      </c>
      <c r="W4" s="94" t="s">
        <v>152</v>
      </c>
      <c r="X4" s="95" t="s">
        <v>153</v>
      </c>
      <c r="Y4" s="94" t="s">
        <v>154</v>
      </c>
      <c r="Z4" s="94" t="s">
        <v>155</v>
      </c>
      <c r="AA4" s="95" t="s">
        <v>156</v>
      </c>
      <c r="AB4" s="94" t="s">
        <v>157</v>
      </c>
      <c r="AC4" s="94" t="s">
        <v>158</v>
      </c>
      <c r="AD4" s="94" t="s">
        <v>159</v>
      </c>
      <c r="AE4" s="94" t="s">
        <v>160</v>
      </c>
      <c r="AF4" s="95" t="s">
        <v>161</v>
      </c>
      <c r="AG4" s="94" t="s">
        <v>162</v>
      </c>
      <c r="AH4" s="94" t="s">
        <v>163</v>
      </c>
      <c r="AI4" s="94" t="s">
        <v>164</v>
      </c>
      <c r="AJ4" s="94" t="s">
        <v>110</v>
      </c>
      <c r="AK4" s="96" t="s">
        <v>165</v>
      </c>
      <c r="AL4" s="97" t="s">
        <v>166</v>
      </c>
      <c r="AM4" s="97" t="s">
        <v>167</v>
      </c>
      <c r="AN4" s="97" t="s">
        <v>168</v>
      </c>
      <c r="AP4" s="91"/>
    </row>
    <row r="5" spans="1:43" s="88" customFormat="1" hidden="1">
      <c r="I5" s="93" t="s">
        <v>169</v>
      </c>
      <c r="J5" s="93" t="s">
        <v>170</v>
      </c>
      <c r="K5" s="93" t="s">
        <v>171</v>
      </c>
      <c r="L5" s="93" t="s">
        <v>172</v>
      </c>
      <c r="M5" s="93" t="s">
        <v>173</v>
      </c>
      <c r="N5" s="93" t="s">
        <v>174</v>
      </c>
      <c r="O5" s="93" t="s">
        <v>175</v>
      </c>
      <c r="P5" s="93" t="s">
        <v>176</v>
      </c>
      <c r="Q5" s="93" t="s">
        <v>177</v>
      </c>
      <c r="R5" s="93" t="s">
        <v>178</v>
      </c>
      <c r="T5" s="89" t="s">
        <v>179</v>
      </c>
      <c r="U5" s="89" t="s">
        <v>180</v>
      </c>
      <c r="V5" s="93" t="s">
        <v>181</v>
      </c>
      <c r="X5" s="89" t="s">
        <v>182</v>
      </c>
      <c r="Y5" s="93" t="s">
        <v>183</v>
      </c>
      <c r="Z5" s="93" t="s">
        <v>184</v>
      </c>
      <c r="AA5" s="89" t="s">
        <v>185</v>
      </c>
      <c r="AB5" s="93" t="s">
        <v>186</v>
      </c>
      <c r="AC5" s="93" t="s">
        <v>186</v>
      </c>
      <c r="AD5" s="93" t="s">
        <v>186</v>
      </c>
      <c r="AE5" s="93" t="s">
        <v>187</v>
      </c>
      <c r="AF5" s="89" t="s">
        <v>188</v>
      </c>
      <c r="AG5" s="93" t="s">
        <v>188</v>
      </c>
      <c r="AH5" s="93" t="s">
        <v>188</v>
      </c>
      <c r="AI5" s="93" t="s">
        <v>189</v>
      </c>
      <c r="AK5" s="90"/>
      <c r="AL5" s="98"/>
      <c r="AM5" s="98"/>
      <c r="AN5" s="98"/>
      <c r="AP5" s="91"/>
    </row>
    <row r="6" spans="1:43" s="88" customFormat="1" hidden="1">
      <c r="I6" s="93" t="s">
        <v>190</v>
      </c>
      <c r="J6" s="93" t="s">
        <v>190</v>
      </c>
      <c r="K6" s="93" t="s">
        <v>190</v>
      </c>
      <c r="L6" s="93" t="s">
        <v>190</v>
      </c>
      <c r="M6" s="93" t="s">
        <v>191</v>
      </c>
      <c r="N6" s="93" t="s">
        <v>191</v>
      </c>
      <c r="O6" s="93" t="s">
        <v>190</v>
      </c>
      <c r="P6" s="93" t="s">
        <v>192</v>
      </c>
      <c r="Q6" s="93" t="s">
        <v>193</v>
      </c>
      <c r="R6" s="93" t="s">
        <v>194</v>
      </c>
      <c r="T6" s="89" t="s">
        <v>192</v>
      </c>
      <c r="U6" s="89" t="s">
        <v>190</v>
      </c>
      <c r="V6" s="93" t="s">
        <v>195</v>
      </c>
      <c r="W6" s="93" t="s">
        <v>196</v>
      </c>
      <c r="X6" s="89" t="s">
        <v>190</v>
      </c>
      <c r="Y6" s="93" t="s">
        <v>190</v>
      </c>
      <c r="Z6" s="93" t="s">
        <v>190</v>
      </c>
      <c r="AA6" s="89" t="s">
        <v>190</v>
      </c>
      <c r="AB6" s="93" t="s">
        <v>197</v>
      </c>
      <c r="AC6" s="93" t="s">
        <v>197</v>
      </c>
      <c r="AD6" s="93" t="s">
        <v>197</v>
      </c>
      <c r="AE6" s="93" t="s">
        <v>192</v>
      </c>
      <c r="AF6" s="89" t="s">
        <v>198</v>
      </c>
      <c r="AG6" s="93" t="s">
        <v>198</v>
      </c>
      <c r="AH6" s="93" t="s">
        <v>198</v>
      </c>
      <c r="AI6" s="93" t="s">
        <v>198</v>
      </c>
      <c r="AK6" s="90"/>
      <c r="AL6" s="98"/>
      <c r="AM6" s="98"/>
      <c r="AN6" s="98"/>
      <c r="AP6" s="91"/>
    </row>
    <row r="7" spans="1:43" s="100" customFormat="1" ht="16.5" hidden="1" thickBot="1">
      <c r="A7" s="99" t="s">
        <v>199</v>
      </c>
      <c r="B7" s="99" t="s">
        <v>200</v>
      </c>
      <c r="C7" s="100" t="s">
        <v>201</v>
      </c>
      <c r="D7" s="99" t="s">
        <v>202</v>
      </c>
      <c r="E7" s="99" t="s">
        <v>203</v>
      </c>
      <c r="F7" s="99" t="s">
        <v>204</v>
      </c>
      <c r="G7" s="99" t="s">
        <v>205</v>
      </c>
      <c r="H7" s="99" t="s">
        <v>206</v>
      </c>
      <c r="I7" s="99" t="s">
        <v>207</v>
      </c>
      <c r="J7" s="99" t="s">
        <v>208</v>
      </c>
      <c r="K7" s="99" t="s">
        <v>209</v>
      </c>
      <c r="L7" s="99" t="s">
        <v>210</v>
      </c>
      <c r="M7" s="99" t="s">
        <v>211</v>
      </c>
      <c r="N7" s="99" t="s">
        <v>212</v>
      </c>
      <c r="O7" s="99" t="s">
        <v>213</v>
      </c>
      <c r="P7" s="99" t="s">
        <v>214</v>
      </c>
      <c r="Q7" s="99" t="s">
        <v>215</v>
      </c>
      <c r="R7" s="99" t="s">
        <v>216</v>
      </c>
      <c r="S7" s="99" t="s">
        <v>217</v>
      </c>
      <c r="T7" s="101" t="s">
        <v>218</v>
      </c>
      <c r="U7" s="101" t="s">
        <v>219</v>
      </c>
      <c r="V7" s="99" t="s">
        <v>220</v>
      </c>
      <c r="W7" s="99" t="s">
        <v>196</v>
      </c>
      <c r="X7" s="101" t="s">
        <v>221</v>
      </c>
      <c r="Y7" s="99" t="s">
        <v>222</v>
      </c>
      <c r="Z7" s="99" t="s">
        <v>223</v>
      </c>
      <c r="AA7" s="101" t="s">
        <v>224</v>
      </c>
      <c r="AB7" s="99" t="s">
        <v>225</v>
      </c>
      <c r="AC7" s="99" t="s">
        <v>226</v>
      </c>
      <c r="AD7" s="99" t="s">
        <v>227</v>
      </c>
      <c r="AE7" s="99" t="s">
        <v>228</v>
      </c>
      <c r="AF7" s="101" t="s">
        <v>229</v>
      </c>
      <c r="AG7" s="99" t="s">
        <v>230</v>
      </c>
      <c r="AH7" s="99" t="s">
        <v>231</v>
      </c>
      <c r="AI7" s="99" t="s">
        <v>232</v>
      </c>
      <c r="AJ7" s="99" t="s">
        <v>233</v>
      </c>
      <c r="AK7" s="102"/>
      <c r="AL7" s="103"/>
      <c r="AM7" s="103"/>
      <c r="AN7" s="103"/>
      <c r="AP7" s="104"/>
    </row>
    <row r="8" spans="1:43">
      <c r="A8" s="85">
        <v>8</v>
      </c>
      <c r="B8" s="85">
        <v>1</v>
      </c>
      <c r="C8" s="85" t="s">
        <v>234</v>
      </c>
      <c r="D8" s="105" t="s">
        <v>235</v>
      </c>
      <c r="E8" s="85">
        <v>1920</v>
      </c>
      <c r="F8" s="85">
        <v>1923</v>
      </c>
      <c r="G8" s="85" t="s">
        <v>15</v>
      </c>
      <c r="H8" s="85" t="s">
        <v>236</v>
      </c>
      <c r="I8" s="85">
        <v>34.14</v>
      </c>
      <c r="J8" s="85">
        <v>4.88</v>
      </c>
      <c r="K8" s="85">
        <v>160</v>
      </c>
      <c r="L8" s="85">
        <v>82.4</v>
      </c>
      <c r="M8" s="85">
        <v>3</v>
      </c>
      <c r="N8" s="85">
        <v>2</v>
      </c>
      <c r="P8" s="106">
        <v>22500000</v>
      </c>
      <c r="Q8" s="107">
        <v>2589988.1103360001</v>
      </c>
      <c r="R8" s="85">
        <v>6850</v>
      </c>
      <c r="S8" s="86" t="s">
        <v>237</v>
      </c>
      <c r="T8" s="108">
        <v>22200000</v>
      </c>
      <c r="U8" s="108">
        <v>28</v>
      </c>
      <c r="V8" s="106">
        <v>621600000</v>
      </c>
      <c r="W8" s="109" t="s">
        <v>238</v>
      </c>
      <c r="X8" s="108">
        <v>31.1</v>
      </c>
      <c r="Y8" s="85">
        <v>91.5</v>
      </c>
      <c r="Z8" s="85">
        <v>81.5</v>
      </c>
      <c r="AA8" s="108">
        <v>93</v>
      </c>
      <c r="AB8" s="85">
        <v>0.44</v>
      </c>
      <c r="AC8" s="110">
        <v>0.14925373134328357</v>
      </c>
      <c r="AD8" s="110">
        <v>0.34482758620689652</v>
      </c>
      <c r="AE8" s="111">
        <v>238325.52000000002</v>
      </c>
      <c r="AF8" s="108">
        <v>0.75</v>
      </c>
      <c r="AG8" s="85">
        <v>2.5</v>
      </c>
      <c r="AH8" s="85">
        <v>2.5</v>
      </c>
      <c r="AJ8" s="85" t="s">
        <v>239</v>
      </c>
      <c r="AK8" s="112">
        <f>AA8/X8</f>
        <v>2.990353697749196</v>
      </c>
      <c r="AL8" s="113">
        <f>T8/(X8^3)</f>
        <v>738.0262472053488</v>
      </c>
      <c r="AM8" s="114">
        <f>U8/X8</f>
        <v>0.90032154340836013</v>
      </c>
      <c r="AN8" s="114">
        <f>3600*AF8*SQRT(9.81/X8)</f>
        <v>1516.415005680627</v>
      </c>
    </row>
    <row r="9" spans="1:43">
      <c r="A9" s="85">
        <v>16</v>
      </c>
      <c r="B9" s="85">
        <v>2</v>
      </c>
      <c r="C9" s="85" t="s">
        <v>240</v>
      </c>
      <c r="D9" s="105" t="s">
        <v>235</v>
      </c>
      <c r="E9" s="85">
        <v>1951</v>
      </c>
      <c r="F9" s="85">
        <v>1963</v>
      </c>
      <c r="G9" s="85" t="s">
        <v>15</v>
      </c>
      <c r="H9" s="85" t="s">
        <v>241</v>
      </c>
      <c r="I9" s="85">
        <v>71</v>
      </c>
      <c r="J9" s="85">
        <v>19.2</v>
      </c>
      <c r="K9" s="85">
        <v>100</v>
      </c>
      <c r="L9" s="85">
        <v>59.6</v>
      </c>
      <c r="M9" s="85">
        <v>2</v>
      </c>
      <c r="N9" s="85">
        <v>1.8</v>
      </c>
      <c r="O9" s="85">
        <v>198</v>
      </c>
      <c r="P9" s="116">
        <v>1100000</v>
      </c>
      <c r="Q9" s="107">
        <v>76890.272025600003</v>
      </c>
      <c r="R9" s="85">
        <v>1130</v>
      </c>
      <c r="S9" s="86" t="s">
        <v>237</v>
      </c>
      <c r="T9" s="108">
        <v>910000</v>
      </c>
      <c r="U9" s="108">
        <v>12.2</v>
      </c>
      <c r="V9" s="106">
        <v>11102000</v>
      </c>
      <c r="W9" s="109" t="s">
        <v>242</v>
      </c>
      <c r="X9" s="108">
        <v>21.3</v>
      </c>
      <c r="AA9" s="108">
        <v>25</v>
      </c>
      <c r="AB9" s="85">
        <v>0.31</v>
      </c>
      <c r="AC9" s="110">
        <v>0.41666666666666663</v>
      </c>
      <c r="AD9" s="110">
        <v>0.41666666666666663</v>
      </c>
      <c r="AE9" s="111">
        <v>31737</v>
      </c>
      <c r="AF9" s="108">
        <v>0.33333333333333331</v>
      </c>
      <c r="AG9" s="85">
        <v>1.3</v>
      </c>
      <c r="AH9" s="85">
        <v>1.3</v>
      </c>
      <c r="AJ9" s="85" t="s">
        <v>243</v>
      </c>
      <c r="AK9" s="112">
        <f t="shared" ref="AK9:AK72" si="0">AA9/X9</f>
        <v>1.1737089201877935</v>
      </c>
      <c r="AL9" s="113">
        <f t="shared" ref="AL9:AL72" si="1">T9/(X9^3)</f>
        <v>94.167834192588941</v>
      </c>
      <c r="AM9" s="114">
        <f t="shared" ref="AM9:AM72" si="2">U9/X9</f>
        <v>0.57276995305164313</v>
      </c>
      <c r="AN9" s="114">
        <f>3600*AF9*SQRT(9.81/X9)</f>
        <v>814.37784081201141</v>
      </c>
    </row>
    <row r="10" spans="1:43">
      <c r="A10" s="85">
        <v>19</v>
      </c>
      <c r="B10" s="85">
        <v>3</v>
      </c>
      <c r="C10" s="85" t="s">
        <v>244</v>
      </c>
      <c r="D10" s="105" t="s">
        <v>235</v>
      </c>
      <c r="E10" s="85">
        <v>1963</v>
      </c>
      <c r="F10" s="85">
        <v>1976</v>
      </c>
      <c r="G10" s="85" t="s">
        <v>245</v>
      </c>
      <c r="H10" s="85" t="s">
        <v>241</v>
      </c>
      <c r="J10" s="85">
        <v>3.1</v>
      </c>
      <c r="L10" s="85">
        <v>14</v>
      </c>
      <c r="S10" s="86"/>
      <c r="T10" s="108">
        <v>49300</v>
      </c>
      <c r="U10" s="108">
        <v>5.79</v>
      </c>
      <c r="V10" s="106">
        <v>285447</v>
      </c>
      <c r="W10" s="109"/>
      <c r="X10" s="108">
        <v>6.4</v>
      </c>
      <c r="AA10" s="108">
        <v>12.2</v>
      </c>
      <c r="AB10" s="85">
        <v>1.43</v>
      </c>
      <c r="AC10" s="110"/>
      <c r="AD10" s="110"/>
      <c r="AE10" s="85">
        <v>1093.1199999999999</v>
      </c>
      <c r="AJ10" s="85" t="s">
        <v>246</v>
      </c>
      <c r="AK10" s="112">
        <f t="shared" si="0"/>
        <v>1.9062499999999998</v>
      </c>
      <c r="AL10" s="113">
        <f t="shared" si="1"/>
        <v>188.06457519531244</v>
      </c>
      <c r="AM10" s="114">
        <f t="shared" si="2"/>
        <v>0.90468749999999998</v>
      </c>
      <c r="AN10" s="114"/>
    </row>
    <row r="11" spans="1:43">
      <c r="A11" s="85">
        <v>26</v>
      </c>
      <c r="B11" s="85">
        <v>6</v>
      </c>
      <c r="C11" s="85" t="s">
        <v>247</v>
      </c>
      <c r="D11" s="105" t="s">
        <v>235</v>
      </c>
      <c r="G11" s="85" t="s">
        <v>9</v>
      </c>
      <c r="L11" s="85">
        <v>37</v>
      </c>
      <c r="P11" s="116"/>
      <c r="Q11" s="116"/>
      <c r="S11" s="86"/>
      <c r="T11" s="108">
        <v>24700</v>
      </c>
      <c r="U11" s="108">
        <v>6.1</v>
      </c>
      <c r="V11" s="106">
        <v>150670</v>
      </c>
      <c r="W11" s="109"/>
      <c r="X11" s="108">
        <v>6.1</v>
      </c>
      <c r="AA11" s="108">
        <v>4.72</v>
      </c>
      <c r="AB11" s="85">
        <v>0.73</v>
      </c>
      <c r="AC11" s="110"/>
      <c r="AD11" s="110"/>
      <c r="AE11" s="85">
        <v>1065.3039999999999</v>
      </c>
      <c r="AJ11" s="85" t="s">
        <v>248</v>
      </c>
      <c r="AK11" s="112">
        <f t="shared" si="0"/>
        <v>0.77377049180327873</v>
      </c>
      <c r="AL11" s="113">
        <f t="shared" si="1"/>
        <v>108.81968094245777</v>
      </c>
      <c r="AM11" s="114">
        <f t="shared" si="2"/>
        <v>1</v>
      </c>
      <c r="AN11" s="114"/>
    </row>
    <row r="12" spans="1:43">
      <c r="A12" s="85">
        <v>31</v>
      </c>
      <c r="B12" s="85">
        <v>7</v>
      </c>
      <c r="C12" s="85" t="s">
        <v>249</v>
      </c>
      <c r="D12" s="105" t="s">
        <v>235</v>
      </c>
      <c r="E12" s="85">
        <v>1972</v>
      </c>
      <c r="F12" s="85">
        <v>1972</v>
      </c>
      <c r="G12" s="85" t="s">
        <v>250</v>
      </c>
      <c r="H12" s="85" t="s">
        <v>251</v>
      </c>
      <c r="I12" s="85">
        <v>14.02</v>
      </c>
      <c r="J12" s="85">
        <v>128</v>
      </c>
      <c r="L12" s="85">
        <v>128</v>
      </c>
      <c r="M12" s="85">
        <v>1.6</v>
      </c>
      <c r="N12" s="85">
        <v>1.3</v>
      </c>
      <c r="P12" s="116">
        <v>484000</v>
      </c>
      <c r="Q12" s="107">
        <v>52609.133491200002</v>
      </c>
      <c r="R12" s="85">
        <v>1420</v>
      </c>
      <c r="S12" s="86" t="s">
        <v>252</v>
      </c>
      <c r="T12" s="117">
        <v>483525</v>
      </c>
      <c r="U12" s="108">
        <v>14.02</v>
      </c>
      <c r="V12" s="106">
        <v>6779020.5</v>
      </c>
      <c r="W12" s="109" t="s">
        <v>238</v>
      </c>
      <c r="X12" s="108">
        <v>14</v>
      </c>
      <c r="Y12" s="85">
        <v>153</v>
      </c>
      <c r="Z12" s="85">
        <v>97</v>
      </c>
      <c r="AA12" s="108">
        <v>125</v>
      </c>
      <c r="AB12" s="85">
        <v>2</v>
      </c>
      <c r="AC12" s="110">
        <v>2</v>
      </c>
      <c r="AD12" s="110">
        <v>2</v>
      </c>
      <c r="AE12" s="85">
        <v>318819</v>
      </c>
      <c r="AG12" s="85">
        <v>0.5</v>
      </c>
      <c r="AH12" s="85">
        <v>0.5</v>
      </c>
      <c r="AJ12" s="85" t="s">
        <v>253</v>
      </c>
      <c r="AK12" s="112">
        <f t="shared" si="0"/>
        <v>8.9285714285714288</v>
      </c>
      <c r="AL12" s="113">
        <f t="shared" si="1"/>
        <v>176.21173469387756</v>
      </c>
      <c r="AM12" s="114">
        <f t="shared" si="2"/>
        <v>1.0014285714285713</v>
      </c>
      <c r="AN12" s="114"/>
      <c r="AQ12" s="118"/>
    </row>
    <row r="13" spans="1:43">
      <c r="A13" s="85">
        <v>36</v>
      </c>
      <c r="B13" s="85">
        <v>8</v>
      </c>
      <c r="C13" s="85" t="s">
        <v>254</v>
      </c>
      <c r="D13" s="105" t="s">
        <v>235</v>
      </c>
      <c r="E13" s="85">
        <v>1971</v>
      </c>
      <c r="F13" s="85">
        <v>1971</v>
      </c>
      <c r="G13" s="85" t="s">
        <v>15</v>
      </c>
      <c r="H13" s="85" t="s">
        <v>241</v>
      </c>
      <c r="I13" s="85">
        <v>5.79</v>
      </c>
      <c r="J13" s="85">
        <v>4.3</v>
      </c>
      <c r="L13" s="85">
        <v>18.600000000000001</v>
      </c>
      <c r="M13" s="85">
        <v>2</v>
      </c>
      <c r="N13" s="85">
        <v>3</v>
      </c>
      <c r="P13" s="106">
        <v>1130000</v>
      </c>
      <c r="Q13" s="107"/>
      <c r="S13" s="86"/>
      <c r="T13" s="108">
        <v>740000</v>
      </c>
      <c r="U13" s="108">
        <v>3.05</v>
      </c>
      <c r="V13" s="106">
        <v>2257000</v>
      </c>
      <c r="W13" s="109" t="s">
        <v>238</v>
      </c>
      <c r="X13" s="108">
        <v>5.79</v>
      </c>
      <c r="Y13" s="85">
        <v>13.6</v>
      </c>
      <c r="Z13" s="85">
        <v>11</v>
      </c>
      <c r="AA13" s="108">
        <v>12.5</v>
      </c>
      <c r="AB13" s="85">
        <v>0.21</v>
      </c>
      <c r="AC13" s="110">
        <v>0.21052631578947367</v>
      </c>
      <c r="AD13" s="110">
        <v>0.21052631578947367</v>
      </c>
      <c r="AE13" s="85">
        <v>1353</v>
      </c>
      <c r="AJ13" s="85" t="s">
        <v>255</v>
      </c>
      <c r="AK13" s="112">
        <f t="shared" si="0"/>
        <v>2.1588946459412779</v>
      </c>
      <c r="AL13" s="113">
        <f t="shared" si="1"/>
        <v>3812.3786481881293</v>
      </c>
      <c r="AM13" s="114">
        <f t="shared" si="2"/>
        <v>0.52677029360967187</v>
      </c>
      <c r="AN13" s="114"/>
    </row>
    <row r="14" spans="1:43">
      <c r="A14" s="85">
        <v>39</v>
      </c>
      <c r="B14" s="85">
        <v>9</v>
      </c>
      <c r="C14" s="85" t="s">
        <v>256</v>
      </c>
      <c r="D14" s="105" t="s">
        <v>235</v>
      </c>
      <c r="F14" s="85">
        <v>1982</v>
      </c>
      <c r="G14" s="85" t="s">
        <v>9</v>
      </c>
      <c r="H14" s="85" t="s">
        <v>241</v>
      </c>
      <c r="L14" s="85">
        <v>9.6300000000000008</v>
      </c>
      <c r="P14" s="106"/>
      <c r="Q14" s="107"/>
      <c r="R14" s="85">
        <v>810</v>
      </c>
      <c r="S14" s="86" t="s">
        <v>257</v>
      </c>
      <c r="T14" s="108">
        <v>2380000</v>
      </c>
      <c r="U14" s="108">
        <v>7.16</v>
      </c>
      <c r="V14" s="106">
        <v>17040800</v>
      </c>
      <c r="W14" s="109"/>
      <c r="X14" s="108">
        <v>7.16</v>
      </c>
      <c r="AA14" s="108">
        <v>62.5</v>
      </c>
      <c r="AB14" s="85">
        <v>0.85</v>
      </c>
      <c r="AC14" s="110"/>
      <c r="AD14" s="110"/>
      <c r="AE14" s="85">
        <v>4309.4250000000002</v>
      </c>
      <c r="AJ14" s="85" t="s">
        <v>258</v>
      </c>
      <c r="AK14" s="112">
        <f t="shared" si="0"/>
        <v>8.7290502793296092</v>
      </c>
      <c r="AL14" s="113">
        <f t="shared" si="1"/>
        <v>6483.9236181156866</v>
      </c>
      <c r="AM14" s="114">
        <f t="shared" si="2"/>
        <v>1</v>
      </c>
      <c r="AN14" s="114"/>
      <c r="AQ14" s="118"/>
    </row>
    <row r="15" spans="1:43">
      <c r="A15" s="85">
        <v>49</v>
      </c>
      <c r="B15" s="85">
        <v>11</v>
      </c>
      <c r="C15" s="85" t="s">
        <v>259</v>
      </c>
      <c r="D15" s="105" t="s">
        <v>235</v>
      </c>
      <c r="E15" s="85">
        <v>1890</v>
      </c>
      <c r="F15" s="85">
        <v>1933</v>
      </c>
      <c r="G15" s="85" t="s">
        <v>9</v>
      </c>
      <c r="H15" s="85" t="s">
        <v>260</v>
      </c>
      <c r="I15" s="85">
        <v>21.34</v>
      </c>
      <c r="J15" s="85">
        <v>4.9000000000000004</v>
      </c>
      <c r="L15" s="85">
        <v>47.4</v>
      </c>
      <c r="M15" s="85">
        <v>3</v>
      </c>
      <c r="N15" s="85">
        <v>1</v>
      </c>
      <c r="P15" s="106">
        <v>4230000</v>
      </c>
      <c r="Q15" s="107">
        <v>809371.28448000003</v>
      </c>
      <c r="R15" s="85">
        <v>3570</v>
      </c>
      <c r="S15" s="86" t="s">
        <v>237</v>
      </c>
      <c r="T15" s="108">
        <v>6170000</v>
      </c>
      <c r="U15" s="108">
        <v>21.6</v>
      </c>
      <c r="V15" s="106">
        <v>133272000.00000001</v>
      </c>
      <c r="W15" s="109" t="s">
        <v>238</v>
      </c>
      <c r="X15" s="108">
        <v>21.3</v>
      </c>
      <c r="Y15" s="85">
        <v>54.9</v>
      </c>
      <c r="Z15" s="85">
        <v>33.5</v>
      </c>
      <c r="AA15" s="108">
        <v>44.2</v>
      </c>
      <c r="AB15" s="85">
        <v>0.5</v>
      </c>
      <c r="AC15" s="110"/>
      <c r="AD15" s="110"/>
      <c r="AE15" s="85">
        <v>55660</v>
      </c>
      <c r="AF15" s="108">
        <v>0.5</v>
      </c>
      <c r="AH15" s="85">
        <v>0.33</v>
      </c>
      <c r="AJ15" s="85" t="s">
        <v>261</v>
      </c>
      <c r="AK15" s="112">
        <f t="shared" si="0"/>
        <v>2.075117370892019</v>
      </c>
      <c r="AL15" s="113">
        <f t="shared" si="1"/>
        <v>638.4786120530481</v>
      </c>
      <c r="AM15" s="114">
        <f t="shared" si="2"/>
        <v>1.0140845070422535</v>
      </c>
      <c r="AN15" s="114">
        <f>3600*AF15*SQRT(9.81/X15)</f>
        <v>1221.5667612180171</v>
      </c>
    </row>
    <row r="16" spans="1:43">
      <c r="A16" s="85">
        <v>51</v>
      </c>
      <c r="B16" s="85">
        <v>12</v>
      </c>
      <c r="C16" s="85" t="s">
        <v>262</v>
      </c>
      <c r="D16" s="105" t="s">
        <v>235</v>
      </c>
      <c r="G16" s="85" t="s">
        <v>263</v>
      </c>
      <c r="L16" s="85">
        <v>32</v>
      </c>
      <c r="P16" s="106"/>
      <c r="Q16" s="107"/>
      <c r="S16" s="86"/>
      <c r="T16" s="108">
        <v>698000</v>
      </c>
      <c r="U16" s="108">
        <v>11.1</v>
      </c>
      <c r="V16" s="106">
        <v>7747800</v>
      </c>
      <c r="W16" s="109"/>
      <c r="X16" s="108">
        <v>12.2</v>
      </c>
      <c r="AA16" s="108">
        <v>35.1</v>
      </c>
      <c r="AB16" s="85">
        <v>1.38</v>
      </c>
      <c r="AC16" s="110"/>
      <c r="AD16" s="110"/>
      <c r="AE16" s="85">
        <v>13703.039999999999</v>
      </c>
      <c r="AJ16" s="85" t="s">
        <v>248</v>
      </c>
      <c r="AK16" s="112">
        <f t="shared" si="0"/>
        <v>2.877049180327869</v>
      </c>
      <c r="AL16" s="113">
        <f t="shared" si="1"/>
        <v>384.39340737771016</v>
      </c>
      <c r="AM16" s="114">
        <f t="shared" si="2"/>
        <v>0.9098360655737705</v>
      </c>
      <c r="AN16" s="114"/>
      <c r="AQ16" s="118"/>
    </row>
    <row r="17" spans="1:45">
      <c r="A17" s="85">
        <v>56</v>
      </c>
      <c r="B17" s="85">
        <v>14</v>
      </c>
      <c r="C17" s="85" t="s">
        <v>264</v>
      </c>
      <c r="D17" s="105" t="s">
        <v>235</v>
      </c>
      <c r="E17" s="85">
        <v>1965</v>
      </c>
      <c r="F17" s="85">
        <v>1994</v>
      </c>
      <c r="G17" s="85" t="s">
        <v>9</v>
      </c>
      <c r="H17" s="85" t="s">
        <v>241</v>
      </c>
      <c r="L17" s="85">
        <v>15</v>
      </c>
      <c r="P17" s="116"/>
      <c r="Q17" s="107"/>
      <c r="S17" s="86"/>
      <c r="T17" s="108">
        <v>466000</v>
      </c>
      <c r="U17" s="108">
        <v>4.05</v>
      </c>
      <c r="V17" s="106">
        <v>1887300</v>
      </c>
      <c r="W17" s="109"/>
      <c r="X17" s="108">
        <v>3.78</v>
      </c>
      <c r="AA17" s="108">
        <v>22.8</v>
      </c>
      <c r="AB17" s="85">
        <v>1.03</v>
      </c>
      <c r="AC17" s="110"/>
      <c r="AD17" s="110"/>
      <c r="AE17" s="85">
        <v>1292.76</v>
      </c>
      <c r="AJ17" s="85" t="s">
        <v>23</v>
      </c>
      <c r="AK17" s="112">
        <f t="shared" si="0"/>
        <v>6.0317460317460325</v>
      </c>
      <c r="AL17" s="113">
        <f t="shared" si="1"/>
        <v>8628.007564207559</v>
      </c>
      <c r="AM17" s="114">
        <f t="shared" si="2"/>
        <v>1.0714285714285714</v>
      </c>
      <c r="AN17" s="114"/>
      <c r="AQ17" s="119"/>
    </row>
    <row r="18" spans="1:45">
      <c r="A18" s="85">
        <v>61</v>
      </c>
      <c r="B18" s="85">
        <v>15</v>
      </c>
      <c r="C18" s="85" t="s">
        <v>265</v>
      </c>
      <c r="D18" s="105" t="s">
        <v>235</v>
      </c>
      <c r="E18" s="85">
        <v>1924</v>
      </c>
      <c r="F18" s="85">
        <v>1925</v>
      </c>
      <c r="G18" s="85" t="s">
        <v>9</v>
      </c>
      <c r="H18" s="85" t="s">
        <v>266</v>
      </c>
      <c r="I18" s="85">
        <v>10.97</v>
      </c>
      <c r="J18" s="85">
        <v>3.1</v>
      </c>
      <c r="O18" s="85">
        <v>262.10000000000002</v>
      </c>
      <c r="P18" s="116">
        <v>310000</v>
      </c>
      <c r="Q18" s="116"/>
      <c r="S18" s="86"/>
      <c r="T18" s="108">
        <v>311000</v>
      </c>
      <c r="U18" s="108">
        <v>11</v>
      </c>
      <c r="V18" s="106">
        <v>3421000</v>
      </c>
      <c r="W18" s="109"/>
      <c r="X18" s="108">
        <v>11</v>
      </c>
      <c r="Y18" s="85">
        <v>67</v>
      </c>
      <c r="Z18" s="85">
        <v>18.2</v>
      </c>
      <c r="AA18" s="108">
        <v>42.7</v>
      </c>
      <c r="AB18" s="85">
        <v>2.2200000000000002</v>
      </c>
      <c r="AC18" s="110"/>
      <c r="AD18" s="110"/>
      <c r="AF18" s="108">
        <v>0.25</v>
      </c>
      <c r="AG18" s="85" t="s">
        <v>267</v>
      </c>
      <c r="AI18" s="85" t="s">
        <v>267</v>
      </c>
      <c r="AJ18" s="85" t="s">
        <v>268</v>
      </c>
      <c r="AK18" s="112">
        <f t="shared" si="0"/>
        <v>3.8818181818181823</v>
      </c>
      <c r="AL18" s="113">
        <f t="shared" si="1"/>
        <v>233.65890308039067</v>
      </c>
      <c r="AM18" s="114">
        <f t="shared" si="2"/>
        <v>1</v>
      </c>
      <c r="AN18" s="114">
        <f>3600*AF18*SQRT(9.81/X18)</f>
        <v>849.92513039251128</v>
      </c>
      <c r="AQ18" s="118"/>
    </row>
    <row r="19" spans="1:45">
      <c r="A19" s="85">
        <v>70</v>
      </c>
      <c r="B19" s="85">
        <v>19</v>
      </c>
      <c r="C19" s="85" t="s">
        <v>269</v>
      </c>
      <c r="D19" s="105" t="s">
        <v>235</v>
      </c>
      <c r="G19" s="85" t="s">
        <v>15</v>
      </c>
      <c r="L19" s="85">
        <v>38.9</v>
      </c>
      <c r="P19" s="116"/>
      <c r="Q19" s="107"/>
      <c r="S19" s="86"/>
      <c r="T19" s="108">
        <v>1870000</v>
      </c>
      <c r="U19" s="108">
        <v>9.8000000000000007</v>
      </c>
      <c r="V19" s="106">
        <v>18326000</v>
      </c>
      <c r="W19" s="109"/>
      <c r="X19" s="108">
        <v>11.4</v>
      </c>
      <c r="AA19" s="108">
        <v>17.2</v>
      </c>
      <c r="AB19" s="85">
        <v>0.44</v>
      </c>
      <c r="AE19" s="85">
        <v>7627.5119999999988</v>
      </c>
      <c r="AJ19" s="85" t="s">
        <v>248</v>
      </c>
      <c r="AK19" s="112">
        <f t="shared" si="0"/>
        <v>1.5087719298245612</v>
      </c>
      <c r="AL19" s="113">
        <f t="shared" si="1"/>
        <v>1262.1967352977704</v>
      </c>
      <c r="AM19" s="114">
        <f t="shared" si="2"/>
        <v>0.85964912280701755</v>
      </c>
      <c r="AN19" s="114"/>
    </row>
    <row r="20" spans="1:45">
      <c r="A20" s="85">
        <v>75</v>
      </c>
      <c r="B20" s="85">
        <v>20</v>
      </c>
      <c r="C20" s="85" t="s">
        <v>270</v>
      </c>
      <c r="D20" s="105" t="s">
        <v>235</v>
      </c>
      <c r="E20" s="85">
        <v>1925</v>
      </c>
      <c r="F20" s="85">
        <v>1936</v>
      </c>
      <c r="G20" s="85" t="s">
        <v>9</v>
      </c>
      <c r="H20" s="85" t="s">
        <v>271</v>
      </c>
      <c r="I20" s="85">
        <v>9.14</v>
      </c>
      <c r="J20" s="85">
        <v>4.9000000000000004</v>
      </c>
      <c r="L20" s="85">
        <v>50.4</v>
      </c>
      <c r="M20" s="85">
        <v>3</v>
      </c>
      <c r="N20" s="85">
        <v>2</v>
      </c>
      <c r="O20" s="85">
        <v>563.9</v>
      </c>
      <c r="P20" s="116">
        <v>740000</v>
      </c>
      <c r="Q20" s="116"/>
      <c r="S20" s="86"/>
      <c r="T20" s="108">
        <v>1180000</v>
      </c>
      <c r="U20" s="108">
        <v>9.44</v>
      </c>
      <c r="V20" s="106">
        <v>11139200</v>
      </c>
      <c r="W20" s="109"/>
      <c r="X20" s="108">
        <v>9.14</v>
      </c>
      <c r="Y20" s="85">
        <v>45.5</v>
      </c>
      <c r="Z20" s="85">
        <v>27.700000000000003</v>
      </c>
      <c r="AA20" s="108">
        <v>36.6</v>
      </c>
      <c r="AB20" s="85">
        <v>1</v>
      </c>
      <c r="AC20" s="110"/>
      <c r="AD20" s="110"/>
      <c r="AE20" s="85">
        <v>16860.009600000001</v>
      </c>
      <c r="AJ20" s="85" t="s">
        <v>268</v>
      </c>
      <c r="AK20" s="112">
        <f t="shared" si="0"/>
        <v>4.0043763676148796</v>
      </c>
      <c r="AL20" s="113">
        <f t="shared" si="1"/>
        <v>1545.4089394604432</v>
      </c>
      <c r="AM20" s="114">
        <f t="shared" si="2"/>
        <v>1.0328227571115973</v>
      </c>
      <c r="AN20" s="114"/>
    </row>
    <row r="21" spans="1:45">
      <c r="A21" s="85">
        <v>77</v>
      </c>
      <c r="B21" s="85">
        <v>21</v>
      </c>
      <c r="C21" s="85" t="s">
        <v>272</v>
      </c>
      <c r="D21" s="105" t="s">
        <v>235</v>
      </c>
      <c r="G21" s="85" t="s">
        <v>15</v>
      </c>
      <c r="L21" s="85">
        <v>22.2</v>
      </c>
      <c r="P21" s="116"/>
      <c r="Q21" s="116"/>
      <c r="S21" s="86"/>
      <c r="T21" s="108">
        <v>425000</v>
      </c>
      <c r="U21" s="108">
        <v>6.55</v>
      </c>
      <c r="V21" s="106">
        <v>2783750</v>
      </c>
      <c r="W21" s="109"/>
      <c r="X21" s="108">
        <v>8.23</v>
      </c>
      <c r="AA21" s="108">
        <v>10.8</v>
      </c>
      <c r="AB21" s="85">
        <v>0.35</v>
      </c>
      <c r="AC21" s="110"/>
      <c r="AD21" s="110"/>
      <c r="AE21" s="85">
        <v>1973.2248000000002</v>
      </c>
      <c r="AJ21" s="85" t="s">
        <v>248</v>
      </c>
      <c r="AK21" s="112">
        <f t="shared" si="0"/>
        <v>1.3122721749696233</v>
      </c>
      <c r="AL21" s="113">
        <f t="shared" si="1"/>
        <v>762.41147534967536</v>
      </c>
      <c r="AM21" s="114">
        <f t="shared" si="2"/>
        <v>0.79586877278250301</v>
      </c>
      <c r="AN21" s="114"/>
      <c r="AP21" s="120"/>
    </row>
    <row r="22" spans="1:45">
      <c r="A22" s="85">
        <v>85</v>
      </c>
      <c r="B22" s="85">
        <v>24</v>
      </c>
      <c r="C22" s="85" t="s">
        <v>273</v>
      </c>
      <c r="D22" s="105" t="s">
        <v>235</v>
      </c>
      <c r="G22" s="85" t="s">
        <v>15</v>
      </c>
      <c r="L22" s="85">
        <v>21.3</v>
      </c>
      <c r="P22" s="106"/>
      <c r="Q22" s="107"/>
      <c r="S22" s="86"/>
      <c r="T22" s="108">
        <v>493000</v>
      </c>
      <c r="U22" s="108">
        <v>11.1</v>
      </c>
      <c r="V22" s="106">
        <v>5472300</v>
      </c>
      <c r="W22" s="109"/>
      <c r="X22" s="108">
        <v>12.6</v>
      </c>
      <c r="AA22" s="108">
        <v>7.62</v>
      </c>
      <c r="AB22" s="85">
        <v>0.36</v>
      </c>
      <c r="AC22" s="110"/>
      <c r="AD22" s="110"/>
      <c r="AE22" s="85">
        <v>2045.0556000000001</v>
      </c>
      <c r="AJ22" s="85" t="s">
        <v>248</v>
      </c>
      <c r="AK22" s="112">
        <f t="shared" si="0"/>
        <v>0.60476190476190483</v>
      </c>
      <c r="AL22" s="113">
        <f t="shared" si="1"/>
        <v>246.45366671065844</v>
      </c>
      <c r="AM22" s="114">
        <f t="shared" si="2"/>
        <v>0.88095238095238093</v>
      </c>
      <c r="AN22" s="114"/>
      <c r="AQ22" s="118"/>
      <c r="AS22" s="121"/>
    </row>
    <row r="23" spans="1:45">
      <c r="A23" s="85">
        <v>88</v>
      </c>
      <c r="B23" s="85">
        <v>25</v>
      </c>
      <c r="C23" s="85" t="s">
        <v>274</v>
      </c>
      <c r="D23" s="105" t="s">
        <v>235</v>
      </c>
      <c r="E23" s="85">
        <v>1975</v>
      </c>
      <c r="F23" s="85">
        <v>1977</v>
      </c>
      <c r="G23" s="85" t="s">
        <v>15</v>
      </c>
      <c r="H23" s="85" t="s">
        <v>8</v>
      </c>
      <c r="I23" s="85">
        <v>9.75</v>
      </c>
      <c r="P23" s="116">
        <v>350000</v>
      </c>
      <c r="Q23" s="107"/>
      <c r="R23" s="85">
        <v>79</v>
      </c>
      <c r="S23" s="86" t="s">
        <v>275</v>
      </c>
      <c r="T23" s="117">
        <v>351542</v>
      </c>
      <c r="U23" s="108">
        <v>8.23</v>
      </c>
      <c r="V23" s="106">
        <v>2893190.66</v>
      </c>
      <c r="W23" s="109" t="s">
        <v>238</v>
      </c>
      <c r="X23" s="108">
        <v>9.75</v>
      </c>
      <c r="Y23" s="85">
        <v>9.1999999999999993</v>
      </c>
      <c r="Z23" s="85">
        <v>4.5999999999999996</v>
      </c>
      <c r="AA23" s="108">
        <v>6.9</v>
      </c>
      <c r="AB23" s="85">
        <v>0.4</v>
      </c>
      <c r="AC23" s="110">
        <v>0.4</v>
      </c>
      <c r="AD23" s="110">
        <v>0.4</v>
      </c>
      <c r="AE23" s="85">
        <v>1292</v>
      </c>
      <c r="AG23" s="85">
        <v>2.5</v>
      </c>
      <c r="AH23" s="85">
        <v>0.25</v>
      </c>
      <c r="AJ23" s="85" t="s">
        <v>276</v>
      </c>
      <c r="AK23" s="112">
        <f t="shared" si="0"/>
        <v>0.70769230769230773</v>
      </c>
      <c r="AL23" s="113">
        <f t="shared" si="1"/>
        <v>379.2829953303326</v>
      </c>
      <c r="AM23" s="114">
        <f t="shared" si="2"/>
        <v>0.84410256410256412</v>
      </c>
      <c r="AN23" s="114"/>
      <c r="AQ23" s="118"/>
    </row>
    <row r="24" spans="1:45">
      <c r="A24" s="85">
        <v>99</v>
      </c>
      <c r="B24" s="85">
        <v>27</v>
      </c>
      <c r="C24" s="85" t="s">
        <v>277</v>
      </c>
      <c r="D24" s="105" t="s">
        <v>235</v>
      </c>
      <c r="E24" s="85">
        <v>1925</v>
      </c>
      <c r="F24" s="85">
        <v>1925</v>
      </c>
      <c r="G24" s="85" t="s">
        <v>15</v>
      </c>
      <c r="H24" s="85" t="s">
        <v>241</v>
      </c>
      <c r="I24" s="85">
        <v>12.19</v>
      </c>
      <c r="J24" s="85">
        <v>2.4</v>
      </c>
      <c r="L24" s="85">
        <v>34.299999999999997</v>
      </c>
      <c r="M24" s="85">
        <v>2</v>
      </c>
      <c r="N24" s="85">
        <v>2.5</v>
      </c>
      <c r="Q24" s="107"/>
      <c r="R24" s="85">
        <v>929</v>
      </c>
      <c r="S24" s="86" t="s">
        <v>278</v>
      </c>
      <c r="T24" s="108">
        <v>3870000</v>
      </c>
      <c r="U24" s="108">
        <v>8.5299999999999994</v>
      </c>
      <c r="V24" s="106">
        <v>33011099.999999996</v>
      </c>
      <c r="W24" s="109" t="s">
        <v>238</v>
      </c>
      <c r="X24" s="108">
        <v>14.2</v>
      </c>
      <c r="Y24" s="85">
        <v>41</v>
      </c>
      <c r="Z24" s="85">
        <v>13.799999999999997</v>
      </c>
      <c r="AA24" s="108">
        <v>27.4</v>
      </c>
      <c r="AB24" s="85">
        <v>0.97</v>
      </c>
      <c r="AC24" s="110"/>
      <c r="AD24" s="110"/>
      <c r="AE24" s="85">
        <v>13762</v>
      </c>
      <c r="AF24" s="108">
        <v>0.58333333333333337</v>
      </c>
      <c r="AG24" s="85">
        <v>0.57999999999999996</v>
      </c>
      <c r="AH24" s="85">
        <v>0.57999999999999996</v>
      </c>
      <c r="AJ24" s="85" t="s">
        <v>279</v>
      </c>
      <c r="AK24" s="112">
        <f t="shared" si="0"/>
        <v>1.9295774647887325</v>
      </c>
      <c r="AL24" s="113">
        <f t="shared" si="1"/>
        <v>1351.5929937889589</v>
      </c>
      <c r="AM24" s="114">
        <f t="shared" si="2"/>
        <v>0.60070422535211265</v>
      </c>
      <c r="AN24" s="114">
        <f>3600*AF24*SQRT(9.81/X24)</f>
        <v>1745.4588968415671</v>
      </c>
    </row>
    <row r="25" spans="1:45">
      <c r="A25" s="85">
        <v>106</v>
      </c>
      <c r="B25" s="85">
        <v>28</v>
      </c>
      <c r="C25" s="85" t="s">
        <v>280</v>
      </c>
      <c r="D25" s="105" t="s">
        <v>235</v>
      </c>
      <c r="E25" s="85">
        <v>1952</v>
      </c>
      <c r="F25" s="85">
        <v>1952</v>
      </c>
      <c r="G25" s="85" t="s">
        <v>15</v>
      </c>
      <c r="H25" s="85" t="s">
        <v>241</v>
      </c>
      <c r="I25" s="85">
        <v>12.5</v>
      </c>
      <c r="J25" s="85">
        <v>6.1</v>
      </c>
      <c r="L25" s="85">
        <v>37.299999999999997</v>
      </c>
      <c r="M25" s="85">
        <v>3</v>
      </c>
      <c r="N25" s="85">
        <v>2</v>
      </c>
      <c r="P25" s="116">
        <v>21000000</v>
      </c>
      <c r="Q25" s="107"/>
      <c r="R25" s="85">
        <v>1420</v>
      </c>
      <c r="S25" s="86" t="s">
        <v>275</v>
      </c>
      <c r="T25" s="108">
        <v>16000000</v>
      </c>
      <c r="U25" s="108">
        <v>10.8</v>
      </c>
      <c r="V25" s="106">
        <v>172800000</v>
      </c>
      <c r="W25" s="109" t="s">
        <v>238</v>
      </c>
      <c r="X25" s="108">
        <v>12.5</v>
      </c>
      <c r="Y25" s="85">
        <v>67</v>
      </c>
      <c r="Z25" s="85">
        <v>54.4</v>
      </c>
      <c r="AA25" s="108">
        <v>54.6</v>
      </c>
      <c r="AB25" s="85">
        <v>0.5</v>
      </c>
      <c r="AC25" s="85">
        <v>0.5</v>
      </c>
      <c r="AD25" s="85">
        <v>0.5</v>
      </c>
      <c r="AE25" s="85">
        <v>28365</v>
      </c>
      <c r="AJ25" s="85" t="s">
        <v>279</v>
      </c>
      <c r="AK25" s="112">
        <f t="shared" si="0"/>
        <v>4.3680000000000003</v>
      </c>
      <c r="AL25" s="113">
        <f t="shared" si="1"/>
        <v>8192</v>
      </c>
      <c r="AM25" s="114">
        <f t="shared" si="2"/>
        <v>0.8640000000000001</v>
      </c>
      <c r="AN25" s="114"/>
      <c r="AQ25" s="122"/>
    </row>
    <row r="26" spans="1:45">
      <c r="A26" s="85">
        <v>113</v>
      </c>
      <c r="B26" s="85">
        <v>30</v>
      </c>
      <c r="C26" s="85" t="s">
        <v>281</v>
      </c>
      <c r="D26" s="105" t="s">
        <v>235</v>
      </c>
      <c r="E26" s="85">
        <v>1903</v>
      </c>
      <c r="F26" s="85">
        <v>1916</v>
      </c>
      <c r="G26" s="85" t="s">
        <v>9</v>
      </c>
      <c r="H26" s="85" t="s">
        <v>8</v>
      </c>
      <c r="I26" s="85">
        <v>6.1</v>
      </c>
      <c r="J26" s="85">
        <v>3</v>
      </c>
      <c r="M26" s="85">
        <v>1.5</v>
      </c>
      <c r="N26" s="85">
        <v>1.5</v>
      </c>
      <c r="P26" s="106">
        <v>10600000</v>
      </c>
      <c r="Q26" s="107"/>
      <c r="R26" s="85">
        <v>565</v>
      </c>
      <c r="S26" s="86" t="s">
        <v>275</v>
      </c>
      <c r="T26" s="117">
        <v>10600000</v>
      </c>
      <c r="U26" s="108">
        <v>1.37</v>
      </c>
      <c r="V26" s="106">
        <v>14522000.000000002</v>
      </c>
      <c r="W26" s="109" t="s">
        <v>238</v>
      </c>
      <c r="X26" s="108">
        <v>4.0999999999999996</v>
      </c>
      <c r="Y26" s="85">
        <v>30.5</v>
      </c>
      <c r="Z26" s="85">
        <v>22.3</v>
      </c>
      <c r="AA26" s="108">
        <v>26.4</v>
      </c>
      <c r="AB26" s="85">
        <v>0.5</v>
      </c>
      <c r="AC26" s="85">
        <v>0.5</v>
      </c>
      <c r="AD26" s="85">
        <v>0.5</v>
      </c>
      <c r="AE26" s="85">
        <v>1070</v>
      </c>
      <c r="AG26" s="85">
        <v>0.5</v>
      </c>
      <c r="AH26" s="85">
        <v>0.5</v>
      </c>
      <c r="AJ26" s="85" t="s">
        <v>282</v>
      </c>
      <c r="AK26" s="112">
        <f t="shared" si="0"/>
        <v>6.4390243902439028</v>
      </c>
      <c r="AL26" s="113">
        <f t="shared" si="1"/>
        <v>153799.2774335834</v>
      </c>
      <c r="AM26" s="114">
        <f t="shared" si="2"/>
        <v>0.33414634146341471</v>
      </c>
      <c r="AN26" s="114"/>
      <c r="AQ26" s="122"/>
    </row>
    <row r="27" spans="1:45">
      <c r="A27" s="85">
        <v>117</v>
      </c>
      <c r="B27" s="85">
        <v>31</v>
      </c>
      <c r="C27" s="85" t="s">
        <v>283</v>
      </c>
      <c r="D27" s="105" t="s">
        <v>235</v>
      </c>
      <c r="E27" s="85">
        <v>1874</v>
      </c>
      <c r="F27" s="85">
        <v>1900</v>
      </c>
      <c r="G27" s="85" t="s">
        <v>9</v>
      </c>
      <c r="H27" s="85" t="s">
        <v>284</v>
      </c>
      <c r="I27" s="85">
        <v>7.62</v>
      </c>
      <c r="J27" s="85">
        <v>3.7</v>
      </c>
      <c r="L27" s="85">
        <v>14.8</v>
      </c>
      <c r="M27" s="85">
        <v>1.5</v>
      </c>
      <c r="N27" s="85">
        <v>1.5</v>
      </c>
      <c r="O27" s="85">
        <v>440.5</v>
      </c>
      <c r="P27" s="116">
        <v>220000</v>
      </c>
      <c r="Q27" s="116"/>
      <c r="S27" s="86"/>
      <c r="T27" s="108">
        <v>25500</v>
      </c>
      <c r="U27" s="108">
        <v>6.4</v>
      </c>
      <c r="V27" s="106">
        <v>163200</v>
      </c>
      <c r="W27" s="109"/>
      <c r="X27" s="108">
        <v>6.4</v>
      </c>
      <c r="Y27" s="85">
        <v>12.2</v>
      </c>
      <c r="Z27" s="85">
        <v>6</v>
      </c>
      <c r="AA27" s="108">
        <v>19</v>
      </c>
      <c r="AB27" s="85">
        <v>2.2599999999999998</v>
      </c>
      <c r="AC27" s="110"/>
      <c r="AD27" s="110"/>
      <c r="AE27" s="85">
        <v>1799.6800000000003</v>
      </c>
      <c r="AG27" s="85">
        <v>0.5</v>
      </c>
      <c r="AI27" s="85" t="s">
        <v>267</v>
      </c>
      <c r="AJ27" s="85" t="s">
        <v>285</v>
      </c>
      <c r="AK27" s="112">
        <f t="shared" si="0"/>
        <v>2.96875</v>
      </c>
      <c r="AL27" s="113">
        <f t="shared" si="1"/>
        <v>97.274780273437472</v>
      </c>
      <c r="AM27" s="114">
        <f t="shared" si="2"/>
        <v>1</v>
      </c>
      <c r="AN27" s="114"/>
    </row>
    <row r="28" spans="1:45">
      <c r="A28" s="85">
        <v>121</v>
      </c>
      <c r="B28" s="85">
        <v>33</v>
      </c>
      <c r="C28" s="85" t="s">
        <v>286</v>
      </c>
      <c r="D28" s="105" t="s">
        <v>235</v>
      </c>
      <c r="G28" s="85" t="s">
        <v>15</v>
      </c>
      <c r="L28" s="85">
        <v>16.7</v>
      </c>
      <c r="P28" s="116"/>
      <c r="Q28" s="116"/>
      <c r="S28" s="86"/>
      <c r="T28" s="108">
        <v>23400</v>
      </c>
      <c r="U28" s="108">
        <v>2.99</v>
      </c>
      <c r="V28" s="106">
        <v>69966</v>
      </c>
      <c r="W28" s="109"/>
      <c r="X28" s="108">
        <v>3.96</v>
      </c>
      <c r="AA28" s="108">
        <v>10.7</v>
      </c>
      <c r="AB28" s="85">
        <v>0.38</v>
      </c>
      <c r="AC28" s="110"/>
      <c r="AD28" s="110"/>
      <c r="AE28" s="85">
        <v>707.61239999999998</v>
      </c>
      <c r="AJ28" s="85" t="s">
        <v>248</v>
      </c>
      <c r="AK28" s="112">
        <f t="shared" si="0"/>
        <v>2.702020202020202</v>
      </c>
      <c r="AL28" s="113">
        <f t="shared" si="1"/>
        <v>376.81683687193333</v>
      </c>
      <c r="AM28" s="114">
        <f t="shared" si="2"/>
        <v>0.75505050505050508</v>
      </c>
      <c r="AN28" s="114"/>
    </row>
    <row r="29" spans="1:45">
      <c r="A29" s="85">
        <v>124</v>
      </c>
      <c r="B29" s="85">
        <v>34</v>
      </c>
      <c r="C29" s="85" t="s">
        <v>287</v>
      </c>
      <c r="D29" s="105" t="s">
        <v>235</v>
      </c>
      <c r="E29" s="85">
        <v>1920</v>
      </c>
      <c r="F29" s="85">
        <v>1986</v>
      </c>
      <c r="G29" s="85" t="s">
        <v>15</v>
      </c>
      <c r="H29" s="85" t="s">
        <v>241</v>
      </c>
      <c r="J29" s="85">
        <v>4.3</v>
      </c>
      <c r="L29" s="85">
        <v>31.1</v>
      </c>
      <c r="S29" s="86"/>
      <c r="T29" s="108">
        <v>6350000</v>
      </c>
      <c r="U29" s="108">
        <v>10.7</v>
      </c>
      <c r="V29" s="106">
        <v>67945000</v>
      </c>
      <c r="W29" s="109"/>
      <c r="X29" s="108">
        <v>10.8</v>
      </c>
      <c r="AA29" s="108">
        <v>73.900000000000006</v>
      </c>
      <c r="AB29" s="85">
        <v>3.03</v>
      </c>
      <c r="AC29" s="110"/>
      <c r="AD29" s="110"/>
      <c r="AE29" s="85">
        <v>24821.532000000007</v>
      </c>
      <c r="AJ29" s="85" t="s">
        <v>246</v>
      </c>
      <c r="AK29" s="112">
        <f t="shared" si="0"/>
        <v>6.8425925925925926</v>
      </c>
      <c r="AL29" s="113">
        <f t="shared" si="1"/>
        <v>5040.8347304780764</v>
      </c>
      <c r="AM29" s="114">
        <f t="shared" si="2"/>
        <v>0.99074074074074059</v>
      </c>
      <c r="AN29" s="114"/>
      <c r="AP29" s="120"/>
    </row>
    <row r="30" spans="1:45">
      <c r="A30" s="85">
        <v>133</v>
      </c>
      <c r="B30" s="85">
        <v>35</v>
      </c>
      <c r="C30" s="85" t="s">
        <v>288</v>
      </c>
      <c r="D30" s="105" t="s">
        <v>235</v>
      </c>
      <c r="E30" s="85">
        <v>1908</v>
      </c>
      <c r="F30" s="85">
        <v>1914</v>
      </c>
      <c r="G30" s="85" t="s">
        <v>289</v>
      </c>
      <c r="H30" s="85" t="s">
        <v>290</v>
      </c>
      <c r="I30" s="85">
        <v>19.2</v>
      </c>
      <c r="J30" s="85">
        <v>6.1</v>
      </c>
      <c r="L30" s="85">
        <v>44.8</v>
      </c>
      <c r="M30" s="85">
        <v>2</v>
      </c>
      <c r="N30" s="85">
        <v>2.5</v>
      </c>
      <c r="O30" s="85">
        <v>237.7</v>
      </c>
      <c r="P30" s="106">
        <v>14800000</v>
      </c>
      <c r="Q30" s="107"/>
      <c r="R30" s="85">
        <v>3080</v>
      </c>
      <c r="S30" s="86" t="s">
        <v>278</v>
      </c>
      <c r="T30" s="108">
        <v>14800000</v>
      </c>
      <c r="U30" s="108">
        <v>16.8</v>
      </c>
      <c r="V30" s="106">
        <v>248640000</v>
      </c>
      <c r="W30" s="109" t="s">
        <v>238</v>
      </c>
      <c r="X30" s="108">
        <v>18.3</v>
      </c>
      <c r="Y30" s="85">
        <v>180</v>
      </c>
      <c r="Z30" s="85">
        <v>140.4</v>
      </c>
      <c r="AA30" s="108">
        <v>151</v>
      </c>
      <c r="AB30" s="85">
        <v>2.42</v>
      </c>
      <c r="AC30" s="110">
        <v>1</v>
      </c>
      <c r="AD30" s="110">
        <v>1</v>
      </c>
      <c r="AE30" s="85">
        <v>160557</v>
      </c>
      <c r="AF30" s="108">
        <v>1</v>
      </c>
      <c r="AG30" s="123">
        <v>3</v>
      </c>
      <c r="AH30" s="85">
        <v>3</v>
      </c>
      <c r="AI30" s="85">
        <v>1</v>
      </c>
      <c r="AJ30" s="85" t="s">
        <v>291</v>
      </c>
      <c r="AK30" s="112">
        <f t="shared" si="0"/>
        <v>8.2513661202185791</v>
      </c>
      <c r="AL30" s="113">
        <f t="shared" si="1"/>
        <v>2414.9516838332197</v>
      </c>
      <c r="AM30" s="114">
        <f t="shared" si="2"/>
        <v>0.91803278688524592</v>
      </c>
      <c r="AN30" s="114">
        <f>3600*AF30*SQRT(9.81/X30)</f>
        <v>2635.7939669225993</v>
      </c>
      <c r="AQ30" s="118"/>
      <c r="AS30" s="121"/>
    </row>
    <row r="31" spans="1:45">
      <c r="A31" s="85">
        <v>145</v>
      </c>
      <c r="B31" s="85">
        <v>38</v>
      </c>
      <c r="C31" s="85" t="s">
        <v>292</v>
      </c>
      <c r="D31" s="105" t="s">
        <v>235</v>
      </c>
      <c r="E31" s="85">
        <v>1964</v>
      </c>
      <c r="F31" s="85">
        <v>1964</v>
      </c>
      <c r="G31" s="85" t="s">
        <v>15</v>
      </c>
      <c r="H31" s="85" t="s">
        <v>293</v>
      </c>
      <c r="I31" s="85">
        <v>67.06</v>
      </c>
      <c r="J31" s="85">
        <v>21.3</v>
      </c>
      <c r="L31" s="85">
        <v>103.2</v>
      </c>
      <c r="M31" s="85">
        <v>1.5</v>
      </c>
      <c r="N31" s="85">
        <v>1.5</v>
      </c>
      <c r="P31" s="116">
        <v>30600000</v>
      </c>
      <c r="Q31" s="107"/>
      <c r="R31" s="85">
        <v>7360</v>
      </c>
      <c r="S31" s="86" t="s">
        <v>278</v>
      </c>
      <c r="T31" s="108">
        <v>30600000</v>
      </c>
      <c r="U31" s="108">
        <v>35.1</v>
      </c>
      <c r="V31" s="106">
        <v>1074060000</v>
      </c>
      <c r="W31" s="109" t="s">
        <v>238</v>
      </c>
      <c r="X31" s="108">
        <v>56.4</v>
      </c>
      <c r="AA31" s="108">
        <v>121</v>
      </c>
      <c r="AB31" s="85">
        <v>0.96</v>
      </c>
      <c r="AC31" s="110"/>
      <c r="AD31" s="110"/>
      <c r="AE31" s="85">
        <v>555067</v>
      </c>
      <c r="AF31" s="108">
        <v>0.75</v>
      </c>
      <c r="AH31" s="85">
        <v>5</v>
      </c>
      <c r="AJ31" s="85" t="s">
        <v>261</v>
      </c>
      <c r="AK31" s="112">
        <f t="shared" si="0"/>
        <v>2.145390070921986</v>
      </c>
      <c r="AL31" s="113">
        <f t="shared" si="1"/>
        <v>170.56272052756455</v>
      </c>
      <c r="AM31" s="114">
        <f t="shared" si="2"/>
        <v>0.62234042553191493</v>
      </c>
      <c r="AN31" s="114">
        <f>3600*AF31*SQRT(9.81/X31)</f>
        <v>1126.0526989670884</v>
      </c>
      <c r="AQ31" s="118"/>
    </row>
    <row r="32" spans="1:45">
      <c r="A32" s="85">
        <v>153</v>
      </c>
      <c r="B32" s="85">
        <v>40</v>
      </c>
      <c r="C32" s="85" t="s">
        <v>294</v>
      </c>
      <c r="D32" s="105" t="s">
        <v>235</v>
      </c>
      <c r="E32" s="85">
        <v>1911</v>
      </c>
      <c r="F32" s="85">
        <v>1914</v>
      </c>
      <c r="G32" s="85" t="s">
        <v>15</v>
      </c>
      <c r="H32" s="85" t="s">
        <v>295</v>
      </c>
      <c r="I32" s="85">
        <v>12.19</v>
      </c>
      <c r="J32" s="85">
        <v>4.9000000000000004</v>
      </c>
      <c r="L32" s="85">
        <v>26.8</v>
      </c>
      <c r="M32" s="85">
        <v>1.5</v>
      </c>
      <c r="N32" s="85">
        <v>2</v>
      </c>
      <c r="O32" s="85">
        <v>701</v>
      </c>
      <c r="P32" s="116">
        <v>21000000</v>
      </c>
      <c r="Q32" s="107">
        <v>4856227.7068800004</v>
      </c>
      <c r="S32" s="86"/>
      <c r="T32" s="108">
        <v>12800000</v>
      </c>
      <c r="U32" s="108">
        <v>7.01</v>
      </c>
      <c r="V32" s="106">
        <v>89728000</v>
      </c>
      <c r="W32" s="109" t="s">
        <v>238</v>
      </c>
      <c r="X32" s="108">
        <v>12.8</v>
      </c>
      <c r="Y32" s="85">
        <v>76.2</v>
      </c>
      <c r="Z32" s="85">
        <v>69.999999999999986</v>
      </c>
      <c r="AA32" s="108">
        <v>73.099999999999994</v>
      </c>
      <c r="AB32" s="85">
        <v>0.83</v>
      </c>
      <c r="AC32" s="110">
        <v>1</v>
      </c>
      <c r="AD32" s="110">
        <v>1</v>
      </c>
      <c r="AE32" s="85">
        <v>20490</v>
      </c>
      <c r="AJ32" s="85" t="s">
        <v>296</v>
      </c>
      <c r="AK32" s="112">
        <f t="shared" si="0"/>
        <v>5.7109374999999991</v>
      </c>
      <c r="AL32" s="113">
        <f t="shared" si="1"/>
        <v>6103.5156249999982</v>
      </c>
      <c r="AM32" s="114">
        <f t="shared" si="2"/>
        <v>0.54765624999999996</v>
      </c>
      <c r="AN32" s="114"/>
      <c r="AQ32" s="122"/>
    </row>
    <row r="33" spans="1:59">
      <c r="A33" s="85">
        <v>155</v>
      </c>
      <c r="B33" s="85">
        <v>41</v>
      </c>
      <c r="C33" s="85" t="s">
        <v>297</v>
      </c>
      <c r="D33" s="105" t="s">
        <v>235</v>
      </c>
      <c r="E33" s="85">
        <v>1960</v>
      </c>
      <c r="F33" s="85">
        <v>1994</v>
      </c>
      <c r="G33" s="85" t="s">
        <v>9</v>
      </c>
      <c r="H33" s="85" t="s">
        <v>241</v>
      </c>
      <c r="L33" s="85">
        <v>14</v>
      </c>
      <c r="P33" s="116"/>
      <c r="Q33" s="107"/>
      <c r="S33" s="86"/>
      <c r="T33" s="108">
        <v>1170000</v>
      </c>
      <c r="U33" s="108">
        <v>4.42</v>
      </c>
      <c r="V33" s="106">
        <v>5171400</v>
      </c>
      <c r="W33" s="109"/>
      <c r="X33" s="108">
        <v>3.75</v>
      </c>
      <c r="AA33" s="108">
        <v>33.4</v>
      </c>
      <c r="AB33" s="85">
        <v>1.1399999999999999</v>
      </c>
      <c r="AC33" s="110"/>
      <c r="AD33" s="110"/>
      <c r="AE33" s="85">
        <v>1753.5</v>
      </c>
      <c r="AJ33" s="85" t="s">
        <v>23</v>
      </c>
      <c r="AK33" s="112">
        <f t="shared" si="0"/>
        <v>8.9066666666666663</v>
      </c>
      <c r="AL33" s="113">
        <f t="shared" si="1"/>
        <v>22186.666666666668</v>
      </c>
      <c r="AM33" s="114">
        <f t="shared" si="2"/>
        <v>1.1786666666666668</v>
      </c>
      <c r="AN33" s="114"/>
    </row>
    <row r="34" spans="1:59">
      <c r="A34" s="85">
        <v>157</v>
      </c>
      <c r="B34" s="85">
        <v>42</v>
      </c>
      <c r="C34" s="85" t="s">
        <v>298</v>
      </c>
      <c r="D34" s="105" t="s">
        <v>235</v>
      </c>
      <c r="E34" s="85">
        <v>1971</v>
      </c>
      <c r="F34" s="85">
        <v>1993</v>
      </c>
      <c r="G34" s="85" t="s">
        <v>15</v>
      </c>
      <c r="H34" s="85" t="s">
        <v>8</v>
      </c>
      <c r="I34" s="110">
        <v>4.5720000000000001</v>
      </c>
      <c r="O34" s="85">
        <v>304.8</v>
      </c>
      <c r="P34" s="116">
        <v>333040.09613783046</v>
      </c>
      <c r="Q34" s="107">
        <v>149733.68762880002</v>
      </c>
      <c r="S34" s="86"/>
      <c r="T34" s="108">
        <v>333000</v>
      </c>
      <c r="U34" s="108">
        <v>4.42</v>
      </c>
      <c r="V34" s="106">
        <v>1471860</v>
      </c>
      <c r="W34" s="109"/>
      <c r="X34" s="108">
        <v>4.57</v>
      </c>
      <c r="AA34" s="108">
        <v>16.8</v>
      </c>
      <c r="AB34" s="85">
        <v>0.33</v>
      </c>
      <c r="AC34" s="110"/>
      <c r="AD34" s="110"/>
      <c r="AJ34" s="85" t="s">
        <v>299</v>
      </c>
      <c r="AK34" s="112">
        <f t="shared" si="0"/>
        <v>3.6761487964989059</v>
      </c>
      <c r="AL34" s="113">
        <f t="shared" si="1"/>
        <v>3488.9571311208651</v>
      </c>
      <c r="AM34" s="114">
        <f t="shared" si="2"/>
        <v>0.96717724288840257</v>
      </c>
      <c r="AN34" s="114"/>
    </row>
    <row r="35" spans="1:59">
      <c r="A35" s="85">
        <v>161</v>
      </c>
      <c r="B35" s="85">
        <v>43</v>
      </c>
      <c r="C35" s="85" t="s">
        <v>300</v>
      </c>
      <c r="D35" s="105" t="s">
        <v>235</v>
      </c>
      <c r="F35" s="85">
        <v>1984</v>
      </c>
      <c r="G35" s="85" t="s">
        <v>15</v>
      </c>
      <c r="H35" s="85" t="s">
        <v>241</v>
      </c>
      <c r="J35" s="85">
        <v>2.4</v>
      </c>
      <c r="L35" s="85">
        <v>18</v>
      </c>
      <c r="R35" s="85">
        <v>110</v>
      </c>
      <c r="S35" s="86" t="s">
        <v>301</v>
      </c>
      <c r="T35" s="108">
        <v>160000</v>
      </c>
      <c r="U35" s="108">
        <v>3.81</v>
      </c>
      <c r="V35" s="106">
        <v>609600</v>
      </c>
      <c r="W35" s="109"/>
      <c r="X35" s="108">
        <v>5.18</v>
      </c>
      <c r="AA35" s="108">
        <v>13.5</v>
      </c>
      <c r="AB35" s="85">
        <v>0.38</v>
      </c>
      <c r="AC35" s="110"/>
      <c r="AD35" s="110"/>
      <c r="AE35" s="85">
        <v>1258.7399999999998</v>
      </c>
      <c r="AF35" s="108">
        <v>0.5</v>
      </c>
      <c r="AJ35" s="85" t="s">
        <v>302</v>
      </c>
      <c r="AK35" s="112">
        <f t="shared" si="0"/>
        <v>2.6061776061776065</v>
      </c>
      <c r="AL35" s="113">
        <f t="shared" si="1"/>
        <v>1151.1467810568902</v>
      </c>
      <c r="AM35" s="114">
        <f t="shared" si="2"/>
        <v>0.73552123552123561</v>
      </c>
      <c r="AN35" s="114">
        <f>3600*AF35*SQRT(9.81/X35)</f>
        <v>2477.0919554963148</v>
      </c>
    </row>
    <row r="36" spans="1:59">
      <c r="A36" s="85">
        <v>163</v>
      </c>
      <c r="B36" s="85">
        <v>44</v>
      </c>
      <c r="C36" s="85" t="s">
        <v>303</v>
      </c>
      <c r="D36" s="105" t="s">
        <v>235</v>
      </c>
      <c r="G36" s="85" t="s">
        <v>15</v>
      </c>
      <c r="S36" s="86"/>
      <c r="T36" s="108">
        <v>423000</v>
      </c>
      <c r="U36" s="108">
        <v>20.100000000000001</v>
      </c>
      <c r="V36" s="106">
        <v>8502300</v>
      </c>
      <c r="W36" s="109"/>
      <c r="X36" s="108">
        <v>21.3</v>
      </c>
      <c r="AA36" s="108">
        <v>17.5</v>
      </c>
      <c r="AB36" s="85">
        <v>0.61</v>
      </c>
      <c r="AC36" s="110"/>
      <c r="AD36" s="110"/>
      <c r="AJ36" s="85" t="s">
        <v>248</v>
      </c>
      <c r="AK36" s="112">
        <f t="shared" si="0"/>
        <v>0.82159624413145538</v>
      </c>
      <c r="AL36" s="113">
        <f t="shared" si="1"/>
        <v>43.772520729082551</v>
      </c>
      <c r="AM36" s="114">
        <f t="shared" si="2"/>
        <v>0.94366197183098599</v>
      </c>
      <c r="AN36" s="114"/>
    </row>
    <row r="37" spans="1:59">
      <c r="A37" s="85">
        <v>168</v>
      </c>
      <c r="B37" s="85">
        <v>45</v>
      </c>
      <c r="C37" s="85" t="s">
        <v>304</v>
      </c>
      <c r="D37" s="105" t="s">
        <v>235</v>
      </c>
      <c r="E37" s="85">
        <v>1921</v>
      </c>
      <c r="F37" s="85">
        <v>1981</v>
      </c>
      <c r="G37" s="85" t="s">
        <v>15</v>
      </c>
      <c r="H37" s="85" t="s">
        <v>241</v>
      </c>
      <c r="I37" s="85">
        <v>4.2699999999999996</v>
      </c>
      <c r="J37" s="85">
        <v>1.8</v>
      </c>
      <c r="L37" s="85">
        <v>21.5</v>
      </c>
      <c r="M37" s="85">
        <v>4.75</v>
      </c>
      <c r="N37" s="85">
        <v>2.75</v>
      </c>
      <c r="P37" s="106">
        <v>575000</v>
      </c>
      <c r="Q37" s="107"/>
      <c r="S37" s="86"/>
      <c r="T37" s="108">
        <v>575000</v>
      </c>
      <c r="U37" s="108">
        <v>3.05</v>
      </c>
      <c r="V37" s="106">
        <v>1753750</v>
      </c>
      <c r="W37" s="109" t="s">
        <v>238</v>
      </c>
      <c r="X37" s="108">
        <v>5.18</v>
      </c>
      <c r="Y37" s="85">
        <v>13.4</v>
      </c>
      <c r="Z37" s="85">
        <v>2</v>
      </c>
      <c r="AA37" s="108">
        <v>8.23</v>
      </c>
      <c r="AB37" s="85">
        <v>1</v>
      </c>
      <c r="AC37" s="110">
        <v>1</v>
      </c>
      <c r="AD37" s="110">
        <v>1</v>
      </c>
      <c r="AE37" s="85">
        <v>673</v>
      </c>
      <c r="AJ37" s="85" t="s">
        <v>255</v>
      </c>
      <c r="AK37" s="112">
        <f t="shared" si="0"/>
        <v>1.5888030888030891</v>
      </c>
      <c r="AL37" s="113">
        <f t="shared" si="1"/>
        <v>4136.9337444231987</v>
      </c>
      <c r="AM37" s="114">
        <f t="shared" si="2"/>
        <v>0.58880308880308885</v>
      </c>
      <c r="AN37" s="114"/>
    </row>
    <row r="38" spans="1:59">
      <c r="A38" s="85">
        <v>176</v>
      </c>
      <c r="B38" s="85">
        <v>46</v>
      </c>
      <c r="C38" s="85" t="s">
        <v>305</v>
      </c>
      <c r="D38" s="105" t="s">
        <v>235</v>
      </c>
      <c r="E38" s="85">
        <v>1853</v>
      </c>
      <c r="F38" s="85">
        <v>1889</v>
      </c>
      <c r="G38" s="85" t="s">
        <v>9</v>
      </c>
      <c r="H38" s="85" t="s">
        <v>306</v>
      </c>
      <c r="I38" s="85">
        <v>38.1</v>
      </c>
      <c r="J38" s="85">
        <v>3.05</v>
      </c>
      <c r="L38" s="85">
        <v>64</v>
      </c>
      <c r="M38" s="85">
        <v>2</v>
      </c>
      <c r="N38" s="85">
        <v>1.5</v>
      </c>
      <c r="O38" s="85">
        <v>283.5</v>
      </c>
      <c r="P38" s="106">
        <v>18900000</v>
      </c>
      <c r="Q38" s="107">
        <v>1647070.5639168001</v>
      </c>
      <c r="R38" s="85">
        <v>8500</v>
      </c>
      <c r="S38" s="86" t="s">
        <v>307</v>
      </c>
      <c r="T38" s="108">
        <v>18900000</v>
      </c>
      <c r="U38" s="108">
        <v>24.6</v>
      </c>
      <c r="V38" s="106">
        <v>464940000</v>
      </c>
      <c r="W38" s="109" t="s">
        <v>238</v>
      </c>
      <c r="X38" s="108">
        <v>24.4</v>
      </c>
      <c r="Y38" s="85">
        <v>128</v>
      </c>
      <c r="Z38" s="85">
        <v>61</v>
      </c>
      <c r="AA38" s="108">
        <v>94.5</v>
      </c>
      <c r="AB38" s="85">
        <v>1.38</v>
      </c>
      <c r="AC38" s="110"/>
      <c r="AD38" s="110"/>
      <c r="AE38" s="85">
        <v>68810</v>
      </c>
      <c r="AF38" s="108">
        <v>0.75</v>
      </c>
      <c r="AH38" s="85">
        <v>3.5</v>
      </c>
      <c r="AI38" s="85">
        <v>3.5</v>
      </c>
      <c r="AJ38" s="85" t="s">
        <v>308</v>
      </c>
      <c r="AK38" s="112">
        <f t="shared" si="0"/>
        <v>3.8729508196721314</v>
      </c>
      <c r="AL38" s="113">
        <f t="shared" si="1"/>
        <v>1301.0450213894558</v>
      </c>
      <c r="AM38" s="114">
        <f t="shared" si="2"/>
        <v>1.0081967213114755</v>
      </c>
      <c r="AN38" s="114">
        <f>3600*AF38*SQRT(9.81/X38)</f>
        <v>1711.9984008725489</v>
      </c>
      <c r="AP38" s="124"/>
      <c r="AT38" s="125"/>
      <c r="BD38" s="125"/>
    </row>
    <row r="39" spans="1:59">
      <c r="A39" s="85">
        <v>190</v>
      </c>
      <c r="B39" s="85">
        <v>48</v>
      </c>
      <c r="C39" s="85" t="s">
        <v>309</v>
      </c>
      <c r="D39" s="105" t="s">
        <v>235</v>
      </c>
      <c r="E39" s="85">
        <v>1948</v>
      </c>
      <c r="F39" s="85">
        <v>1977</v>
      </c>
      <c r="G39" s="85" t="s">
        <v>15</v>
      </c>
      <c r="H39" s="85" t="s">
        <v>241</v>
      </c>
      <c r="I39" s="85">
        <v>11.58</v>
      </c>
      <c r="J39" s="85">
        <v>6.1</v>
      </c>
      <c r="L39" s="85">
        <v>19.399999999999999</v>
      </c>
      <c r="M39" s="85">
        <v>1</v>
      </c>
      <c r="N39" s="85">
        <v>1</v>
      </c>
      <c r="P39" s="106">
        <v>505000</v>
      </c>
      <c r="Q39" s="107">
        <v>169967.96974080001</v>
      </c>
      <c r="R39" s="85">
        <v>680</v>
      </c>
      <c r="S39" s="86" t="s">
        <v>310</v>
      </c>
      <c r="T39" s="108">
        <v>777000</v>
      </c>
      <c r="U39" s="108">
        <v>11.3</v>
      </c>
      <c r="V39" s="106">
        <v>8780100</v>
      </c>
      <c r="W39" s="109" t="s">
        <v>238</v>
      </c>
      <c r="X39" s="108">
        <v>12.8</v>
      </c>
      <c r="Y39" s="85">
        <v>35</v>
      </c>
      <c r="Z39" s="85">
        <v>18</v>
      </c>
      <c r="AA39" s="108">
        <v>27.3</v>
      </c>
      <c r="AB39" s="85">
        <v>0.85</v>
      </c>
      <c r="AC39" s="110">
        <v>1</v>
      </c>
      <c r="AD39" s="110">
        <v>0.5</v>
      </c>
      <c r="AE39" s="85">
        <v>9939</v>
      </c>
      <c r="AG39" s="85">
        <v>0.5</v>
      </c>
      <c r="AJ39" s="85" t="s">
        <v>239</v>
      </c>
      <c r="AK39" s="112">
        <f t="shared" si="0"/>
        <v>2.1328125</v>
      </c>
      <c r="AL39" s="113">
        <f t="shared" si="1"/>
        <v>370.50247192382801</v>
      </c>
      <c r="AM39" s="114">
        <f t="shared" si="2"/>
        <v>0.8828125</v>
      </c>
      <c r="AN39" s="114"/>
      <c r="AQ39" s="126"/>
      <c r="AR39" s="127"/>
      <c r="AV39" s="128"/>
      <c r="BE39" s="128"/>
    </row>
    <row r="40" spans="1:59">
      <c r="A40" s="85">
        <v>194</v>
      </c>
      <c r="B40" s="85">
        <v>50</v>
      </c>
      <c r="C40" s="85" t="s">
        <v>311</v>
      </c>
      <c r="D40" s="105" t="s">
        <v>235</v>
      </c>
      <c r="F40" s="85">
        <v>1994</v>
      </c>
      <c r="G40" s="85" t="s">
        <v>9</v>
      </c>
      <c r="H40" s="85" t="s">
        <v>241</v>
      </c>
      <c r="L40" s="85">
        <v>8.1</v>
      </c>
      <c r="P40" s="106"/>
      <c r="Q40" s="106"/>
      <c r="S40" s="86"/>
      <c r="T40" s="108">
        <v>177000</v>
      </c>
      <c r="U40" s="108">
        <v>3.66</v>
      </c>
      <c r="V40" s="106">
        <v>647820</v>
      </c>
      <c r="W40" s="109"/>
      <c r="X40" s="129">
        <v>3.2</v>
      </c>
      <c r="AA40" s="108">
        <v>14.5</v>
      </c>
      <c r="AB40" s="85">
        <v>1.48</v>
      </c>
      <c r="AC40" s="110"/>
      <c r="AD40" s="110"/>
      <c r="AE40" s="85">
        <v>375.84000000000003</v>
      </c>
      <c r="AJ40" s="85" t="s">
        <v>23</v>
      </c>
      <c r="AK40" s="112">
        <f t="shared" si="0"/>
        <v>4.53125</v>
      </c>
      <c r="AL40" s="113">
        <f t="shared" si="1"/>
        <v>5401.6113281249991</v>
      </c>
      <c r="AM40" s="114">
        <f t="shared" si="2"/>
        <v>1.14375</v>
      </c>
      <c r="AN40" s="114"/>
      <c r="AV40" s="128"/>
      <c r="BE40" s="128"/>
    </row>
    <row r="41" spans="1:59">
      <c r="A41" s="85">
        <v>197</v>
      </c>
      <c r="B41" s="85">
        <v>51</v>
      </c>
      <c r="C41" s="85" t="s">
        <v>312</v>
      </c>
      <c r="D41" s="105" t="s">
        <v>235</v>
      </c>
      <c r="E41" s="85">
        <v>1930</v>
      </c>
      <c r="F41" s="85">
        <v>1930</v>
      </c>
      <c r="G41" s="85" t="s">
        <v>15</v>
      </c>
      <c r="H41" s="85" t="s">
        <v>241</v>
      </c>
      <c r="J41" s="85">
        <v>4.9000000000000004</v>
      </c>
      <c r="L41" s="85">
        <v>40</v>
      </c>
      <c r="S41" s="86"/>
      <c r="T41" s="108">
        <v>78900000</v>
      </c>
      <c r="U41" s="108">
        <v>7.9</v>
      </c>
      <c r="V41" s="106">
        <v>623310000</v>
      </c>
      <c r="W41" s="109"/>
      <c r="X41" s="108">
        <v>14</v>
      </c>
      <c r="AA41" s="108">
        <v>58.8</v>
      </c>
      <c r="AB41" s="85">
        <v>0.3</v>
      </c>
      <c r="AC41" s="110"/>
      <c r="AD41" s="110"/>
      <c r="AE41" s="85">
        <v>32928</v>
      </c>
      <c r="AJ41" s="85" t="s">
        <v>246</v>
      </c>
      <c r="AK41" s="112">
        <f t="shared" si="0"/>
        <v>4.2</v>
      </c>
      <c r="AL41" s="113">
        <f t="shared" si="1"/>
        <v>28753.644314868805</v>
      </c>
      <c r="AM41" s="114">
        <f t="shared" si="2"/>
        <v>0.56428571428571428</v>
      </c>
      <c r="AN41" s="114"/>
      <c r="BD41" s="86"/>
      <c r="BE41" s="86"/>
      <c r="BF41" s="86"/>
      <c r="BG41" s="86"/>
    </row>
    <row r="42" spans="1:59">
      <c r="A42" s="85">
        <v>200</v>
      </c>
      <c r="B42" s="85">
        <v>52</v>
      </c>
      <c r="C42" s="85" t="s">
        <v>313</v>
      </c>
      <c r="D42" s="105" t="s">
        <v>235</v>
      </c>
      <c r="E42" s="85">
        <v>1894</v>
      </c>
      <c r="F42" s="85">
        <v>1904</v>
      </c>
      <c r="G42" s="85" t="s">
        <v>15</v>
      </c>
      <c r="H42" s="85" t="s">
        <v>8</v>
      </c>
      <c r="I42" s="85">
        <v>14.5</v>
      </c>
      <c r="L42" s="85">
        <v>42.7</v>
      </c>
      <c r="P42" s="106">
        <v>7750000</v>
      </c>
      <c r="Q42" s="106"/>
      <c r="R42" s="85">
        <v>2320</v>
      </c>
      <c r="S42" s="86" t="s">
        <v>275</v>
      </c>
      <c r="T42" s="108">
        <v>31500000</v>
      </c>
      <c r="U42" s="108">
        <v>13.7</v>
      </c>
      <c r="V42" s="106">
        <v>431550000</v>
      </c>
      <c r="W42" s="109"/>
      <c r="X42" s="108">
        <v>14.6</v>
      </c>
      <c r="AA42" s="108">
        <v>130</v>
      </c>
      <c r="AB42" s="85">
        <v>0.52</v>
      </c>
      <c r="AC42" s="110"/>
      <c r="AD42" s="110"/>
      <c r="AE42" s="85">
        <v>81044.600000000006</v>
      </c>
      <c r="AG42" s="85">
        <v>2</v>
      </c>
      <c r="AJ42" s="85" t="s">
        <v>314</v>
      </c>
      <c r="AK42" s="112">
        <f t="shared" si="0"/>
        <v>8.9041095890410968</v>
      </c>
      <c r="AL42" s="113">
        <f t="shared" si="1"/>
        <v>10121.665634149664</v>
      </c>
      <c r="AM42" s="114">
        <f t="shared" si="2"/>
        <v>0.93835616438356162</v>
      </c>
      <c r="AN42" s="114"/>
      <c r="BF42" s="86"/>
      <c r="BG42" s="86"/>
    </row>
    <row r="43" spans="1:59">
      <c r="A43" s="85">
        <v>208</v>
      </c>
      <c r="B43" s="85">
        <v>54</v>
      </c>
      <c r="C43" s="85" t="s">
        <v>315</v>
      </c>
      <c r="D43" s="105" t="s">
        <v>235</v>
      </c>
      <c r="E43" s="85">
        <v>1899</v>
      </c>
      <c r="F43" s="85">
        <v>1899</v>
      </c>
      <c r="G43" s="85" t="s">
        <v>15</v>
      </c>
      <c r="H43" s="85" t="s">
        <v>241</v>
      </c>
      <c r="I43" s="85">
        <v>15.24</v>
      </c>
      <c r="J43" s="85">
        <v>4.9000000000000004</v>
      </c>
      <c r="L43" s="85">
        <v>47.4</v>
      </c>
      <c r="M43" s="85">
        <v>3</v>
      </c>
      <c r="N43" s="85">
        <v>2</v>
      </c>
      <c r="P43" s="106">
        <v>865000</v>
      </c>
      <c r="Q43" s="107">
        <v>174014.82616319999</v>
      </c>
      <c r="S43" s="86"/>
      <c r="T43" s="108">
        <v>789000</v>
      </c>
      <c r="U43" s="108">
        <v>14</v>
      </c>
      <c r="V43" s="106">
        <v>11046000</v>
      </c>
      <c r="W43" s="109" t="s">
        <v>238</v>
      </c>
      <c r="X43" s="108">
        <v>17.100000000000001</v>
      </c>
      <c r="Y43" s="85">
        <v>30</v>
      </c>
      <c r="Z43" s="85">
        <v>10.4</v>
      </c>
      <c r="AA43" s="108">
        <v>18.899999999999999</v>
      </c>
      <c r="AB43" s="85">
        <v>0.65</v>
      </c>
      <c r="AC43" s="110">
        <v>0.625</v>
      </c>
      <c r="AD43" s="110">
        <v>0.625</v>
      </c>
      <c r="AE43" s="85">
        <v>12386</v>
      </c>
      <c r="AG43" s="85">
        <v>1</v>
      </c>
      <c r="AH43" s="85">
        <v>1</v>
      </c>
      <c r="AJ43" s="85" t="s">
        <v>255</v>
      </c>
      <c r="AK43" s="112">
        <f t="shared" si="0"/>
        <v>1.1052631578947367</v>
      </c>
      <c r="AL43" s="113">
        <f t="shared" si="1"/>
        <v>157.79334112100466</v>
      </c>
      <c r="AM43" s="114">
        <f t="shared" si="2"/>
        <v>0.81871345029239762</v>
      </c>
      <c r="AN43" s="114"/>
      <c r="AQ43" s="130"/>
      <c r="BD43" s="109"/>
      <c r="BE43" s="109"/>
    </row>
    <row r="44" spans="1:59">
      <c r="A44" s="85">
        <v>210</v>
      </c>
      <c r="B44" s="85">
        <v>55</v>
      </c>
      <c r="C44" s="85" t="s">
        <v>316</v>
      </c>
      <c r="D44" s="105" t="s">
        <v>235</v>
      </c>
      <c r="G44" s="85" t="s">
        <v>15</v>
      </c>
      <c r="H44" s="85" t="s">
        <v>8</v>
      </c>
      <c r="L44" s="85">
        <v>19.8</v>
      </c>
      <c r="P44" s="106"/>
      <c r="Q44" s="107"/>
      <c r="S44" s="86"/>
      <c r="T44" s="108">
        <v>680000</v>
      </c>
      <c r="U44" s="108">
        <v>6.71</v>
      </c>
      <c r="V44" s="106">
        <v>4562800</v>
      </c>
      <c r="W44" s="109"/>
      <c r="X44" s="108">
        <v>7.92</v>
      </c>
      <c r="AA44" s="108">
        <v>16.8</v>
      </c>
      <c r="AB44" s="85">
        <v>1.54</v>
      </c>
      <c r="AC44" s="110"/>
      <c r="AD44" s="110"/>
      <c r="AE44" s="85">
        <v>2634.5088000000005</v>
      </c>
      <c r="AJ44" s="85" t="s">
        <v>248</v>
      </c>
      <c r="AK44" s="112">
        <f t="shared" si="0"/>
        <v>2.1212121212121211</v>
      </c>
      <c r="AL44" s="113">
        <f t="shared" si="1"/>
        <v>1368.7791082954843</v>
      </c>
      <c r="AM44" s="114">
        <f t="shared" si="2"/>
        <v>0.84722222222222221</v>
      </c>
      <c r="AN44" s="114"/>
      <c r="AQ44" s="130"/>
      <c r="AX44" s="130"/>
    </row>
    <row r="45" spans="1:59">
      <c r="A45" s="85">
        <v>214</v>
      </c>
      <c r="B45" s="85">
        <v>56</v>
      </c>
      <c r="C45" s="85" t="s">
        <v>317</v>
      </c>
      <c r="D45" s="105" t="s">
        <v>235</v>
      </c>
      <c r="E45" s="85">
        <v>1966</v>
      </c>
      <c r="F45" s="85">
        <v>1966</v>
      </c>
      <c r="G45" s="85" t="s">
        <v>15</v>
      </c>
      <c r="H45" s="85" t="s">
        <v>241</v>
      </c>
      <c r="I45" s="85">
        <v>13</v>
      </c>
      <c r="J45" s="85">
        <v>6.1</v>
      </c>
      <c r="L45" s="85">
        <v>28</v>
      </c>
      <c r="P45" s="106">
        <v>1590000</v>
      </c>
      <c r="Q45" s="106"/>
      <c r="R45" s="85">
        <v>290</v>
      </c>
      <c r="S45" s="86" t="s">
        <v>275</v>
      </c>
      <c r="T45" s="108">
        <v>4090000</v>
      </c>
      <c r="U45" s="108">
        <v>6.25</v>
      </c>
      <c r="V45" s="106">
        <v>25562500</v>
      </c>
      <c r="W45" s="109"/>
      <c r="X45" s="108">
        <v>8.69</v>
      </c>
      <c r="AA45" s="108">
        <v>39.200000000000003</v>
      </c>
      <c r="AB45" s="85">
        <v>1.18</v>
      </c>
      <c r="AC45" s="110"/>
      <c r="AD45" s="110"/>
      <c r="AE45" s="85">
        <v>9538.1440000000002</v>
      </c>
      <c r="AG45" s="85">
        <v>3</v>
      </c>
      <c r="AJ45" s="85" t="s">
        <v>318</v>
      </c>
      <c r="AK45" s="112">
        <f t="shared" si="0"/>
        <v>4.5109321058688154</v>
      </c>
      <c r="AL45" s="113">
        <f t="shared" si="1"/>
        <v>6232.5242743220178</v>
      </c>
      <c r="AM45" s="114">
        <f t="shared" si="2"/>
        <v>0.71921749136939017</v>
      </c>
      <c r="AN45" s="114"/>
      <c r="AQ45" s="130"/>
      <c r="AX45" s="130"/>
    </row>
    <row r="46" spans="1:59">
      <c r="A46" s="85">
        <v>216</v>
      </c>
      <c r="B46" s="85">
        <v>57</v>
      </c>
      <c r="C46" s="85" t="s">
        <v>319</v>
      </c>
      <c r="D46" s="105" t="s">
        <v>235</v>
      </c>
      <c r="E46" s="85">
        <v>1965</v>
      </c>
      <c r="F46" s="85">
        <v>1994</v>
      </c>
      <c r="G46" s="85" t="s">
        <v>9</v>
      </c>
      <c r="H46" s="85" t="s">
        <v>241</v>
      </c>
      <c r="L46" s="85">
        <v>28</v>
      </c>
      <c r="P46" s="106"/>
      <c r="Q46" s="106"/>
      <c r="S46" s="86"/>
      <c r="T46" s="108">
        <v>4780000</v>
      </c>
      <c r="U46" s="129">
        <v>9</v>
      </c>
      <c r="V46" s="106">
        <v>43020000</v>
      </c>
      <c r="W46" s="109"/>
      <c r="X46" s="108">
        <v>8.5299999999999994</v>
      </c>
      <c r="AA46" s="108">
        <v>47.2</v>
      </c>
      <c r="AB46" s="85">
        <v>0.33</v>
      </c>
      <c r="AC46" s="110"/>
      <c r="AD46" s="110"/>
      <c r="AE46" s="85">
        <v>11273.248</v>
      </c>
      <c r="AJ46" s="85" t="s">
        <v>23</v>
      </c>
      <c r="AK46" s="112">
        <f t="shared" si="0"/>
        <v>5.5334114888628374</v>
      </c>
      <c r="AL46" s="113">
        <f t="shared" si="1"/>
        <v>7701.5972389238987</v>
      </c>
      <c r="AM46" s="114">
        <f t="shared" si="2"/>
        <v>1.0550996483001174</v>
      </c>
      <c r="AN46" s="114"/>
      <c r="AQ46" s="130"/>
      <c r="AX46" s="130"/>
    </row>
    <row r="47" spans="1:59">
      <c r="A47" s="85">
        <v>218</v>
      </c>
      <c r="B47" s="85">
        <v>58</v>
      </c>
      <c r="C47" s="85" t="s">
        <v>320</v>
      </c>
      <c r="D47" s="105" t="s">
        <v>235</v>
      </c>
      <c r="G47" s="85" t="s">
        <v>15</v>
      </c>
      <c r="H47" s="85" t="s">
        <v>8</v>
      </c>
      <c r="L47" s="85">
        <v>53.9</v>
      </c>
      <c r="P47" s="106"/>
      <c r="Q47" s="106"/>
      <c r="S47" s="86"/>
      <c r="T47" s="108">
        <v>296000</v>
      </c>
      <c r="U47" s="108">
        <v>12.8</v>
      </c>
      <c r="V47" s="106">
        <v>3788800</v>
      </c>
      <c r="W47" s="109"/>
      <c r="X47" s="108">
        <v>14.3</v>
      </c>
      <c r="AA47" s="108">
        <v>7.62</v>
      </c>
      <c r="AB47" s="85">
        <v>0.21</v>
      </c>
      <c r="AC47" s="110"/>
      <c r="AD47" s="110"/>
      <c r="AE47" s="85">
        <v>5873.2674000000006</v>
      </c>
      <c r="AJ47" s="85" t="s">
        <v>248</v>
      </c>
      <c r="AK47" s="112">
        <f t="shared" si="0"/>
        <v>0.53286713286713283</v>
      </c>
      <c r="AL47" s="113">
        <f t="shared" si="1"/>
        <v>101.22402415424078</v>
      </c>
      <c r="AM47" s="114">
        <f t="shared" si="2"/>
        <v>0.8951048951048951</v>
      </c>
      <c r="AN47" s="114"/>
      <c r="AQ47" s="130"/>
      <c r="AX47" s="130"/>
    </row>
    <row r="48" spans="1:59">
      <c r="A48" s="85">
        <v>226</v>
      </c>
      <c r="B48" s="85">
        <v>59</v>
      </c>
      <c r="C48" s="85" t="s">
        <v>321</v>
      </c>
      <c r="D48" s="105" t="s">
        <v>235</v>
      </c>
      <c r="F48" s="85">
        <v>1977</v>
      </c>
      <c r="G48" s="85" t="s">
        <v>9</v>
      </c>
      <c r="H48" s="85" t="s">
        <v>8</v>
      </c>
      <c r="I48" s="85">
        <v>12.8</v>
      </c>
      <c r="J48" s="85">
        <v>6.1</v>
      </c>
      <c r="L48" s="85">
        <v>40.5</v>
      </c>
      <c r="P48" s="106">
        <v>385000</v>
      </c>
      <c r="Q48" s="107"/>
      <c r="R48" s="85">
        <v>1050</v>
      </c>
      <c r="S48" s="86" t="s">
        <v>322</v>
      </c>
      <c r="T48" s="108">
        <v>555000</v>
      </c>
      <c r="U48" s="108">
        <v>14.1</v>
      </c>
      <c r="V48" s="106">
        <v>7825500</v>
      </c>
      <c r="W48" s="109"/>
      <c r="X48" s="108">
        <v>13.7</v>
      </c>
      <c r="AA48" s="108">
        <v>35.1</v>
      </c>
      <c r="AB48" s="85">
        <v>2.4</v>
      </c>
      <c r="AC48" s="110"/>
      <c r="AD48" s="110"/>
      <c r="AE48" s="85">
        <v>19475.235000000001</v>
      </c>
      <c r="AJ48" s="85" t="s">
        <v>239</v>
      </c>
      <c r="AK48" s="112">
        <f t="shared" si="0"/>
        <v>2.562043795620438</v>
      </c>
      <c r="AL48" s="113">
        <f t="shared" si="1"/>
        <v>215.83967662160742</v>
      </c>
      <c r="AM48" s="114">
        <f t="shared" si="2"/>
        <v>1.0291970802919708</v>
      </c>
      <c r="AN48" s="114"/>
      <c r="AQ48" s="130"/>
      <c r="AX48" s="130"/>
    </row>
    <row r="49" spans="1:56">
      <c r="A49" s="85">
        <v>231</v>
      </c>
      <c r="B49" s="85">
        <v>60</v>
      </c>
      <c r="C49" s="85" t="s">
        <v>323</v>
      </c>
      <c r="D49" s="105" t="s">
        <v>235</v>
      </c>
      <c r="E49" s="85">
        <v>1903</v>
      </c>
      <c r="F49" s="85">
        <v>1982</v>
      </c>
      <c r="G49" s="85" t="s">
        <v>15</v>
      </c>
      <c r="H49" s="85" t="s">
        <v>241</v>
      </c>
      <c r="I49" s="85">
        <v>7.9</v>
      </c>
      <c r="J49" s="85">
        <v>2.4</v>
      </c>
      <c r="L49" s="85">
        <v>14.2</v>
      </c>
      <c r="R49" s="85">
        <v>510</v>
      </c>
      <c r="S49" s="86" t="s">
        <v>324</v>
      </c>
      <c r="T49" s="108">
        <v>798000</v>
      </c>
      <c r="U49" s="108">
        <v>6.71</v>
      </c>
      <c r="V49" s="106">
        <v>5354580</v>
      </c>
      <c r="W49" s="109"/>
      <c r="X49" s="108">
        <v>7.62</v>
      </c>
      <c r="AA49" s="108">
        <v>22.2</v>
      </c>
      <c r="AB49" s="85">
        <v>0.96</v>
      </c>
      <c r="AC49" s="110"/>
      <c r="AD49" s="110"/>
      <c r="AE49" s="85">
        <v>2402.1287999999995</v>
      </c>
      <c r="AJ49" s="85" t="s">
        <v>325</v>
      </c>
      <c r="AK49" s="112">
        <f t="shared" si="0"/>
        <v>2.9133858267716533</v>
      </c>
      <c r="AL49" s="113">
        <f t="shared" si="1"/>
        <v>1803.5906587998652</v>
      </c>
      <c r="AM49" s="114">
        <f t="shared" si="2"/>
        <v>0.88057742782152226</v>
      </c>
      <c r="AN49" s="114"/>
      <c r="AQ49" s="130"/>
      <c r="AX49" s="130"/>
    </row>
    <row r="50" spans="1:56">
      <c r="A50" s="85">
        <v>235</v>
      </c>
      <c r="B50" s="85">
        <v>61</v>
      </c>
      <c r="C50" s="85" t="s">
        <v>326</v>
      </c>
      <c r="D50" s="105" t="s">
        <v>235</v>
      </c>
      <c r="E50" s="85">
        <v>1913</v>
      </c>
      <c r="F50" s="85">
        <v>1951</v>
      </c>
      <c r="G50" s="85" t="s">
        <v>15</v>
      </c>
      <c r="H50" s="85" t="s">
        <v>241</v>
      </c>
      <c r="R50" s="85">
        <v>71</v>
      </c>
      <c r="S50" s="86" t="s">
        <v>327</v>
      </c>
      <c r="T50" s="108">
        <v>92500</v>
      </c>
      <c r="U50" s="108">
        <v>3.35</v>
      </c>
      <c r="V50" s="106">
        <v>309875</v>
      </c>
      <c r="W50" s="109"/>
      <c r="X50" s="108">
        <v>3.66</v>
      </c>
      <c r="AA50" s="108">
        <v>10.8</v>
      </c>
      <c r="AB50" s="85">
        <v>0.13</v>
      </c>
      <c r="AC50" s="110"/>
      <c r="AD50" s="110"/>
      <c r="AJ50" s="85" t="s">
        <v>302</v>
      </c>
      <c r="AK50" s="112">
        <f t="shared" si="0"/>
        <v>2.9508196721311477</v>
      </c>
      <c r="AL50" s="113">
        <f t="shared" si="1"/>
        <v>1886.681002994703</v>
      </c>
      <c r="AM50" s="114">
        <f t="shared" si="2"/>
        <v>0.91530054644808745</v>
      </c>
      <c r="AN50" s="114"/>
      <c r="AQ50" s="130"/>
      <c r="AX50" s="130"/>
    </row>
    <row r="51" spans="1:56">
      <c r="A51" s="85">
        <v>243</v>
      </c>
      <c r="B51" s="85">
        <v>62</v>
      </c>
      <c r="C51" s="85" t="s">
        <v>328</v>
      </c>
      <c r="D51" s="105" t="s">
        <v>235</v>
      </c>
      <c r="E51" s="85">
        <v>1962</v>
      </c>
      <c r="F51" s="85">
        <v>1963</v>
      </c>
      <c r="G51" s="85" t="s">
        <v>15</v>
      </c>
      <c r="H51" s="85" t="s">
        <v>241</v>
      </c>
      <c r="I51" s="85">
        <v>26.21</v>
      </c>
      <c r="J51" s="85">
        <v>6.1</v>
      </c>
      <c r="L51" s="85">
        <v>63.1</v>
      </c>
      <c r="P51" s="106">
        <v>1730000</v>
      </c>
      <c r="Q51" s="107"/>
      <c r="R51" s="85">
        <v>1330</v>
      </c>
      <c r="S51" s="86" t="s">
        <v>327</v>
      </c>
      <c r="T51" s="108">
        <v>1360000</v>
      </c>
      <c r="U51" s="108">
        <v>22.9</v>
      </c>
      <c r="V51" s="106">
        <v>31143999.999999996</v>
      </c>
      <c r="W51" s="109" t="s">
        <v>238</v>
      </c>
      <c r="X51" s="108">
        <v>27.1</v>
      </c>
      <c r="Y51" s="85">
        <v>23</v>
      </c>
      <c r="AA51" s="108">
        <v>29.6</v>
      </c>
      <c r="AB51" s="85">
        <v>0.75</v>
      </c>
      <c r="AC51" s="110"/>
      <c r="AD51" s="110"/>
      <c r="AE51" s="85">
        <v>50616.296000000009</v>
      </c>
      <c r="AF51" s="108">
        <v>0.33333333333333331</v>
      </c>
      <c r="AG51" s="85">
        <v>0.33</v>
      </c>
      <c r="AH51" s="85">
        <v>0.33</v>
      </c>
      <c r="AJ51" s="85" t="s">
        <v>239</v>
      </c>
      <c r="AK51" s="112">
        <f t="shared" si="0"/>
        <v>1.0922509225092252</v>
      </c>
      <c r="AL51" s="113">
        <f t="shared" si="1"/>
        <v>68.333086212086499</v>
      </c>
      <c r="AM51" s="114">
        <f t="shared" si="2"/>
        <v>0.84501845018450172</v>
      </c>
      <c r="AN51" s="114">
        <f>3600*AF51*SQRT(9.81/X51)</f>
        <v>721.98987021545315</v>
      </c>
      <c r="AQ51" s="130"/>
      <c r="AX51" s="130"/>
    </row>
    <row r="52" spans="1:56">
      <c r="A52" s="85">
        <v>245</v>
      </c>
      <c r="B52" s="85">
        <v>63</v>
      </c>
      <c r="C52" s="85" t="s">
        <v>329</v>
      </c>
      <c r="D52" s="105" t="s">
        <v>235</v>
      </c>
      <c r="G52" s="85" t="s">
        <v>15</v>
      </c>
      <c r="L52" s="85">
        <v>11.3</v>
      </c>
      <c r="P52" s="106"/>
      <c r="Q52" s="107"/>
      <c r="S52" s="86"/>
      <c r="T52" s="108">
        <v>284000</v>
      </c>
      <c r="U52" s="108">
        <v>3.17</v>
      </c>
      <c r="V52" s="106">
        <v>900280</v>
      </c>
      <c r="W52" s="109"/>
      <c r="X52" s="108">
        <v>3.66</v>
      </c>
      <c r="AA52" s="108">
        <v>9.14</v>
      </c>
      <c r="AB52" s="85">
        <v>0.4</v>
      </c>
      <c r="AC52" s="110"/>
      <c r="AD52" s="110"/>
      <c r="AE52" s="85">
        <v>378.0121200000001</v>
      </c>
      <c r="AJ52" s="85" t="s">
        <v>248</v>
      </c>
      <c r="AK52" s="112">
        <f t="shared" si="0"/>
        <v>2.4972677595628414</v>
      </c>
      <c r="AL52" s="113">
        <f t="shared" si="1"/>
        <v>5792.6205929783318</v>
      </c>
      <c r="AM52" s="114">
        <f t="shared" si="2"/>
        <v>0.86612021857923494</v>
      </c>
      <c r="AN52" s="114"/>
      <c r="BD52" s="131"/>
    </row>
    <row r="53" spans="1:56">
      <c r="A53" s="85">
        <v>250</v>
      </c>
      <c r="B53" s="85">
        <v>64</v>
      </c>
      <c r="C53" s="85" t="s">
        <v>330</v>
      </c>
      <c r="D53" s="105" t="s">
        <v>235</v>
      </c>
      <c r="F53" s="85">
        <v>1973</v>
      </c>
      <c r="G53" s="85" t="s">
        <v>15</v>
      </c>
      <c r="H53" s="85" t="s">
        <v>241</v>
      </c>
      <c r="J53" s="85">
        <v>4.5999999999999996</v>
      </c>
      <c r="L53" s="85">
        <v>25.7</v>
      </c>
      <c r="P53" s="107">
        <v>7080185.7475227658</v>
      </c>
      <c r="R53" s="85">
        <v>340</v>
      </c>
      <c r="S53" s="86" t="s">
        <v>327</v>
      </c>
      <c r="T53" s="108">
        <v>7080000</v>
      </c>
      <c r="U53" s="108">
        <v>5.79</v>
      </c>
      <c r="V53" s="106">
        <v>40993200</v>
      </c>
      <c r="W53" s="109"/>
      <c r="X53" s="108">
        <v>7.01</v>
      </c>
      <c r="AA53" s="108">
        <v>79.2</v>
      </c>
      <c r="AB53" s="85">
        <v>6.3</v>
      </c>
      <c r="AC53" s="110"/>
      <c r="AD53" s="110"/>
      <c r="AE53" s="85">
        <v>14268.4344</v>
      </c>
      <c r="AF53" s="108">
        <v>1.5</v>
      </c>
      <c r="AJ53" s="85" t="s">
        <v>331</v>
      </c>
      <c r="AK53" s="112">
        <f t="shared" si="0"/>
        <v>11.298145506419402</v>
      </c>
      <c r="AL53" s="113">
        <f t="shared" si="1"/>
        <v>20553.18842787794</v>
      </c>
      <c r="AM53" s="114">
        <f t="shared" si="2"/>
        <v>0.82596291012838807</v>
      </c>
      <c r="AN53" s="114">
        <f>3600*AF53*SQRT(9.81/X53)</f>
        <v>6388.063940896448</v>
      </c>
    </row>
    <row r="54" spans="1:56">
      <c r="A54" s="85">
        <v>255</v>
      </c>
      <c r="B54" s="85">
        <v>65</v>
      </c>
      <c r="C54" s="85" t="s">
        <v>332</v>
      </c>
      <c r="D54" s="105" t="s">
        <v>235</v>
      </c>
      <c r="E54" s="85">
        <v>1897</v>
      </c>
      <c r="F54" s="85">
        <v>1916</v>
      </c>
      <c r="G54" s="85" t="s">
        <v>9</v>
      </c>
      <c r="H54" s="85" t="s">
        <v>333</v>
      </c>
      <c r="I54" s="85">
        <v>41.15</v>
      </c>
      <c r="J54" s="85">
        <v>3.7</v>
      </c>
      <c r="L54" s="85">
        <v>53.3</v>
      </c>
      <c r="M54" s="85">
        <v>1</v>
      </c>
      <c r="N54" s="85">
        <v>1</v>
      </c>
      <c r="O54" s="85">
        <v>172.2</v>
      </c>
      <c r="P54" s="106">
        <v>49300000</v>
      </c>
      <c r="Q54" s="107"/>
      <c r="S54" s="86"/>
      <c r="T54" s="108">
        <v>49300000</v>
      </c>
      <c r="U54" s="108">
        <v>39.6</v>
      </c>
      <c r="V54" s="106">
        <v>1952280000</v>
      </c>
      <c r="W54" s="109" t="s">
        <v>238</v>
      </c>
      <c r="X54" s="108">
        <v>39.6</v>
      </c>
      <c r="Y54" s="85">
        <v>172.2</v>
      </c>
      <c r="Z54" s="85">
        <v>93.800000000000011</v>
      </c>
      <c r="AA54" s="108">
        <v>133</v>
      </c>
      <c r="AB54" s="85">
        <v>1</v>
      </c>
      <c r="AC54" s="110"/>
      <c r="AD54" s="110"/>
      <c r="AE54" s="85">
        <v>107038</v>
      </c>
      <c r="AF54" s="108">
        <v>1</v>
      </c>
      <c r="AG54" s="85">
        <v>0.25</v>
      </c>
      <c r="AH54" s="85">
        <v>0.33</v>
      </c>
      <c r="AI54" s="85">
        <v>2.5</v>
      </c>
      <c r="AJ54" s="85" t="s">
        <v>296</v>
      </c>
      <c r="AK54" s="112">
        <f t="shared" si="0"/>
        <v>3.3585858585858586</v>
      </c>
      <c r="AL54" s="113">
        <f t="shared" si="1"/>
        <v>793.8918828113807</v>
      </c>
      <c r="AM54" s="114">
        <f t="shared" si="2"/>
        <v>1</v>
      </c>
      <c r="AN54" s="114">
        <f>3600*AF54*SQRT(9.81/X54)</f>
        <v>1791.7995017706235</v>
      </c>
    </row>
    <row r="55" spans="1:56">
      <c r="A55" s="85">
        <v>263</v>
      </c>
      <c r="B55" s="85">
        <v>66</v>
      </c>
      <c r="C55" s="85" t="s">
        <v>334</v>
      </c>
      <c r="D55" s="105" t="s">
        <v>235</v>
      </c>
      <c r="E55" s="85">
        <v>1913</v>
      </c>
      <c r="F55" s="85">
        <v>1964</v>
      </c>
      <c r="G55" s="85" t="s">
        <v>15</v>
      </c>
      <c r="H55" s="85" t="s">
        <v>241</v>
      </c>
      <c r="I55" s="85">
        <v>11.28</v>
      </c>
      <c r="J55" s="85">
        <v>3.7</v>
      </c>
      <c r="P55" s="106">
        <v>19600000</v>
      </c>
      <c r="Q55" s="107"/>
      <c r="R55" s="85">
        <v>1800</v>
      </c>
      <c r="S55" s="86" t="s">
        <v>335</v>
      </c>
      <c r="T55" s="108">
        <v>29600000</v>
      </c>
      <c r="U55" s="108">
        <v>11.3</v>
      </c>
      <c r="V55" s="106">
        <v>334480000</v>
      </c>
      <c r="W55" s="109" t="s">
        <v>238</v>
      </c>
      <c r="X55" s="108">
        <v>11.3</v>
      </c>
      <c r="AA55" s="108">
        <v>67</v>
      </c>
      <c r="AB55" s="85">
        <v>1.5</v>
      </c>
      <c r="AC55" s="110"/>
      <c r="AD55" s="110"/>
      <c r="AJ55" s="85" t="s">
        <v>239</v>
      </c>
      <c r="AK55" s="112">
        <f t="shared" si="0"/>
        <v>5.9292035398230087</v>
      </c>
      <c r="AL55" s="113">
        <f t="shared" si="1"/>
        <v>20514.284803419785</v>
      </c>
      <c r="AM55" s="114">
        <f t="shared" si="2"/>
        <v>1</v>
      </c>
      <c r="AN55" s="114"/>
    </row>
    <row r="56" spans="1:56">
      <c r="A56" s="85">
        <v>267</v>
      </c>
      <c r="B56" s="85">
        <v>67</v>
      </c>
      <c r="C56" s="85" t="s">
        <v>336</v>
      </c>
      <c r="D56" s="105" t="s">
        <v>235</v>
      </c>
      <c r="E56" s="85">
        <v>1913</v>
      </c>
      <c r="F56" s="85">
        <v>1915</v>
      </c>
      <c r="G56" s="85" t="s">
        <v>15</v>
      </c>
      <c r="H56" s="85" t="s">
        <v>290</v>
      </c>
      <c r="I56" s="85">
        <v>19.809999999999999</v>
      </c>
      <c r="J56" s="85">
        <v>3.7</v>
      </c>
      <c r="M56" s="85">
        <v>2</v>
      </c>
      <c r="N56" s="85">
        <v>2</v>
      </c>
      <c r="P56" s="106">
        <v>49500000</v>
      </c>
      <c r="Q56" s="107"/>
      <c r="S56" s="86"/>
      <c r="T56" s="108">
        <v>35800000</v>
      </c>
      <c r="U56" s="108">
        <v>16.2</v>
      </c>
      <c r="V56" s="106">
        <v>579960000</v>
      </c>
      <c r="W56" s="109" t="s">
        <v>238</v>
      </c>
      <c r="X56" s="108">
        <v>19.8</v>
      </c>
      <c r="Y56" s="85">
        <v>107</v>
      </c>
      <c r="Z56" s="85">
        <v>87</v>
      </c>
      <c r="AA56" s="108">
        <v>97</v>
      </c>
      <c r="AB56" s="85">
        <v>1</v>
      </c>
      <c r="AC56" s="110">
        <v>0.5</v>
      </c>
      <c r="AD56" s="110">
        <v>0.5</v>
      </c>
      <c r="AE56" s="85">
        <v>71868</v>
      </c>
      <c r="AJ56" s="85" t="s">
        <v>337</v>
      </c>
      <c r="AK56" s="112">
        <f t="shared" si="0"/>
        <v>4.8989898989898988</v>
      </c>
      <c r="AL56" s="113">
        <f t="shared" si="1"/>
        <v>4611.9804307744307</v>
      </c>
      <c r="AM56" s="114">
        <f t="shared" si="2"/>
        <v>0.81818181818181812</v>
      </c>
      <c r="AN56" s="114"/>
    </row>
    <row r="57" spans="1:56">
      <c r="A57" s="85">
        <v>271</v>
      </c>
      <c r="B57" s="85">
        <v>68</v>
      </c>
      <c r="C57" s="85" t="s">
        <v>338</v>
      </c>
      <c r="D57" s="105" t="s">
        <v>235</v>
      </c>
      <c r="E57" s="85">
        <v>1871</v>
      </c>
      <c r="F57" s="85">
        <v>1876</v>
      </c>
      <c r="G57" s="85" t="s">
        <v>15</v>
      </c>
      <c r="H57" s="85" t="s">
        <v>266</v>
      </c>
      <c r="I57" s="85">
        <v>12.5</v>
      </c>
      <c r="J57" s="85">
        <v>15.2</v>
      </c>
      <c r="L57" s="85">
        <v>41.8</v>
      </c>
      <c r="M57" s="85">
        <v>2</v>
      </c>
      <c r="N57" s="85">
        <v>2.2999999999999998</v>
      </c>
      <c r="P57" s="106">
        <v>2520000</v>
      </c>
      <c r="Q57" s="107">
        <v>534185.04775679996</v>
      </c>
      <c r="S57" s="86"/>
      <c r="T57" s="108">
        <v>2880000</v>
      </c>
      <c r="U57" s="108">
        <v>11.6</v>
      </c>
      <c r="V57" s="106">
        <v>33408000</v>
      </c>
      <c r="W57" s="109" t="s">
        <v>238</v>
      </c>
      <c r="X57" s="108">
        <v>12.5</v>
      </c>
      <c r="Y57" s="85">
        <v>45.7</v>
      </c>
      <c r="Z57" s="85">
        <v>15.299999999999997</v>
      </c>
      <c r="AA57" s="108">
        <v>30.5</v>
      </c>
      <c r="AB57" s="85">
        <v>1.22</v>
      </c>
      <c r="AC57" s="110">
        <v>1.3</v>
      </c>
      <c r="AD57" s="110">
        <v>1.3</v>
      </c>
      <c r="AE57" s="85">
        <v>15291</v>
      </c>
      <c r="AH57" s="85">
        <v>3</v>
      </c>
      <c r="AJ57" s="85" t="s">
        <v>339</v>
      </c>
      <c r="AK57" s="112">
        <f t="shared" si="0"/>
        <v>2.44</v>
      </c>
      <c r="AL57" s="113">
        <f t="shared" si="1"/>
        <v>1474.56</v>
      </c>
      <c r="AM57" s="114">
        <f t="shared" si="2"/>
        <v>0.92799999999999994</v>
      </c>
      <c r="AN57" s="114"/>
    </row>
    <row r="58" spans="1:56">
      <c r="A58" s="85">
        <v>285</v>
      </c>
      <c r="B58" s="85">
        <v>72</v>
      </c>
      <c r="C58" s="85" t="s">
        <v>340</v>
      </c>
      <c r="D58" s="105" t="s">
        <v>235</v>
      </c>
      <c r="E58" s="85">
        <v>1907</v>
      </c>
      <c r="F58" s="85">
        <v>1909</v>
      </c>
      <c r="G58" s="85" t="s">
        <v>15</v>
      </c>
      <c r="H58" s="85" t="s">
        <v>290</v>
      </c>
      <c r="I58" s="85">
        <v>10.97</v>
      </c>
      <c r="J58" s="85">
        <v>3</v>
      </c>
      <c r="L58" s="85">
        <v>25.1</v>
      </c>
      <c r="M58" s="85">
        <v>3</v>
      </c>
      <c r="N58" s="85">
        <v>1.5</v>
      </c>
      <c r="Q58" s="107"/>
      <c r="S58" s="86"/>
      <c r="T58" s="108">
        <v>24700000</v>
      </c>
      <c r="U58" s="108">
        <v>7.92</v>
      </c>
      <c r="V58" s="106">
        <v>195624000</v>
      </c>
      <c r="W58" s="109" t="s">
        <v>238</v>
      </c>
      <c r="X58" s="108">
        <v>9.75</v>
      </c>
      <c r="Y58" s="85">
        <v>40</v>
      </c>
      <c r="Z58" s="85">
        <v>25.599999999999994</v>
      </c>
      <c r="AA58" s="108">
        <v>32.799999999999997</v>
      </c>
      <c r="AB58" s="85">
        <v>0.7</v>
      </c>
      <c r="AC58" s="110">
        <v>3.6</v>
      </c>
      <c r="AD58" s="110">
        <v>3.6</v>
      </c>
      <c r="AE58" s="85">
        <v>10620</v>
      </c>
      <c r="AJ58" s="85" t="s">
        <v>255</v>
      </c>
      <c r="AK58" s="112">
        <f t="shared" si="0"/>
        <v>3.3641025641025637</v>
      </c>
      <c r="AL58" s="113">
        <f t="shared" si="1"/>
        <v>26649.134341442033</v>
      </c>
      <c r="AM58" s="114">
        <f t="shared" si="2"/>
        <v>0.81230769230769229</v>
      </c>
      <c r="AN58" s="114"/>
    </row>
    <row r="59" spans="1:56">
      <c r="A59" s="85">
        <v>287</v>
      </c>
      <c r="B59" s="85">
        <v>73</v>
      </c>
      <c r="C59" s="85" t="s">
        <v>341</v>
      </c>
      <c r="D59" s="105" t="s">
        <v>235</v>
      </c>
      <c r="E59" s="85">
        <v>1939</v>
      </c>
      <c r="F59" s="85">
        <v>1994</v>
      </c>
      <c r="G59" s="85" t="s">
        <v>9</v>
      </c>
      <c r="H59" s="85" t="s">
        <v>241</v>
      </c>
      <c r="L59" s="85">
        <v>17.5</v>
      </c>
      <c r="Q59" s="107"/>
      <c r="S59" s="86"/>
      <c r="T59" s="108">
        <v>69600</v>
      </c>
      <c r="U59" s="108">
        <v>3.44</v>
      </c>
      <c r="V59" s="106">
        <v>239424</v>
      </c>
      <c r="W59" s="109"/>
      <c r="X59" s="108">
        <v>3.05</v>
      </c>
      <c r="AA59" s="108">
        <v>14.2</v>
      </c>
      <c r="AB59" s="85">
        <v>0.41</v>
      </c>
      <c r="AC59" s="110"/>
      <c r="AD59" s="110"/>
      <c r="AE59" s="85">
        <v>757.92499999999995</v>
      </c>
      <c r="AJ59" s="85" t="s">
        <v>23</v>
      </c>
      <c r="AK59" s="112">
        <f t="shared" si="0"/>
        <v>4.6557377049180326</v>
      </c>
      <c r="AL59" s="113">
        <f t="shared" si="1"/>
        <v>2453.0687590591288</v>
      </c>
      <c r="AM59" s="114">
        <f t="shared" si="2"/>
        <v>1.1278688524590164</v>
      </c>
      <c r="AN59" s="114"/>
    </row>
    <row r="60" spans="1:56">
      <c r="A60" s="85">
        <v>291</v>
      </c>
      <c r="B60" s="85">
        <v>75</v>
      </c>
      <c r="C60" s="85" t="s">
        <v>342</v>
      </c>
      <c r="D60" s="105" t="s">
        <v>235</v>
      </c>
      <c r="E60" s="85">
        <v>1963</v>
      </c>
      <c r="F60" s="85">
        <v>1994</v>
      </c>
      <c r="G60" s="85" t="s">
        <v>9</v>
      </c>
      <c r="H60" s="85" t="s">
        <v>241</v>
      </c>
      <c r="L60" s="85">
        <v>14.3</v>
      </c>
      <c r="P60" s="116"/>
      <c r="Q60" s="107"/>
      <c r="S60" s="86"/>
      <c r="T60" s="108">
        <v>4130000</v>
      </c>
      <c r="U60" s="108">
        <v>4.41</v>
      </c>
      <c r="V60" s="106">
        <v>18213300</v>
      </c>
      <c r="W60" s="109"/>
      <c r="X60" s="108">
        <v>3.44</v>
      </c>
      <c r="AA60" s="108">
        <v>41.5</v>
      </c>
      <c r="AB60" s="85">
        <v>1.24</v>
      </c>
      <c r="AC60" s="110"/>
      <c r="AD60" s="110"/>
      <c r="AE60" s="85">
        <v>2041.4680000000001</v>
      </c>
      <c r="AJ60" s="85" t="s">
        <v>23</v>
      </c>
      <c r="AK60" s="112">
        <f t="shared" si="0"/>
        <v>12.063953488372093</v>
      </c>
      <c r="AL60" s="113">
        <f t="shared" si="1"/>
        <v>101455.2963889972</v>
      </c>
      <c r="AM60" s="114">
        <f t="shared" si="2"/>
        <v>1.2819767441860466</v>
      </c>
      <c r="AN60" s="114"/>
    </row>
    <row r="61" spans="1:56">
      <c r="A61" s="85">
        <v>310</v>
      </c>
      <c r="B61" s="85">
        <v>80</v>
      </c>
      <c r="C61" s="85" t="s">
        <v>343</v>
      </c>
      <c r="D61" s="105" t="s">
        <v>235</v>
      </c>
      <c r="E61" s="85">
        <v>1960</v>
      </c>
      <c r="F61" s="85">
        <v>1960</v>
      </c>
      <c r="G61" s="85" t="s">
        <v>9</v>
      </c>
      <c r="H61" s="85" t="s">
        <v>344</v>
      </c>
      <c r="I61" s="85">
        <v>35.36</v>
      </c>
      <c r="J61" s="85">
        <v>5</v>
      </c>
      <c r="L61" s="85">
        <v>110</v>
      </c>
      <c r="P61" s="116">
        <v>650000000</v>
      </c>
      <c r="Q61" s="107"/>
      <c r="R61" s="85">
        <v>9630</v>
      </c>
      <c r="S61" s="86" t="s">
        <v>275</v>
      </c>
      <c r="T61" s="108">
        <v>660000000</v>
      </c>
      <c r="U61" s="108">
        <v>35.799999999999997</v>
      </c>
      <c r="V61" s="106">
        <v>23628000000</v>
      </c>
      <c r="W61" s="109" t="s">
        <v>238</v>
      </c>
      <c r="X61" s="108">
        <v>35.5</v>
      </c>
      <c r="Y61" s="85">
        <v>200</v>
      </c>
      <c r="Z61" s="85">
        <v>130</v>
      </c>
      <c r="AA61" s="108">
        <v>165</v>
      </c>
      <c r="AB61" s="85">
        <v>1</v>
      </c>
      <c r="AC61" s="110"/>
      <c r="AD61" s="110"/>
      <c r="AE61" s="85">
        <v>764555</v>
      </c>
      <c r="AF61" s="108">
        <v>8.5</v>
      </c>
      <c r="AJ61" s="85" t="s">
        <v>345</v>
      </c>
      <c r="AK61" s="112">
        <f t="shared" si="0"/>
        <v>4.647887323943662</v>
      </c>
      <c r="AL61" s="113">
        <f t="shared" si="1"/>
        <v>14752.2708159291</v>
      </c>
      <c r="AM61" s="114">
        <f t="shared" si="2"/>
        <v>1.0084507042253521</v>
      </c>
      <c r="AN61" s="114">
        <f>3600*AF61*SQRT(9.81/X61)</f>
        <v>16085.766256424902</v>
      </c>
    </row>
    <row r="62" spans="1:56">
      <c r="A62" s="85">
        <v>312</v>
      </c>
      <c r="B62" s="85">
        <v>81</v>
      </c>
      <c r="C62" s="85" t="s">
        <v>346</v>
      </c>
      <c r="D62" s="105" t="s">
        <v>235</v>
      </c>
      <c r="G62" s="85" t="s">
        <v>15</v>
      </c>
      <c r="H62" s="85" t="s">
        <v>8</v>
      </c>
      <c r="L62" s="85">
        <v>20.6</v>
      </c>
      <c r="P62" s="116"/>
      <c r="Q62" s="107"/>
      <c r="S62" s="86"/>
      <c r="T62" s="108">
        <v>109000</v>
      </c>
      <c r="U62" s="108">
        <v>5</v>
      </c>
      <c r="V62" s="106">
        <v>545000</v>
      </c>
      <c r="W62" s="109"/>
      <c r="X62" s="108">
        <v>6.1</v>
      </c>
      <c r="AA62" s="108">
        <v>9.3000000000000007</v>
      </c>
      <c r="AB62" s="85">
        <v>1.28</v>
      </c>
      <c r="AC62" s="110"/>
      <c r="AD62" s="110"/>
      <c r="AE62" s="85">
        <v>1168.6380000000001</v>
      </c>
      <c r="AJ62" s="85" t="s">
        <v>248</v>
      </c>
      <c r="AK62" s="112">
        <f t="shared" si="0"/>
        <v>1.5245901639344264</v>
      </c>
      <c r="AL62" s="113">
        <f t="shared" si="1"/>
        <v>480.21640577845739</v>
      </c>
      <c r="AM62" s="114">
        <f t="shared" si="2"/>
        <v>0.81967213114754101</v>
      </c>
      <c r="AN62" s="114"/>
    </row>
    <row r="63" spans="1:56">
      <c r="A63" s="85">
        <v>319</v>
      </c>
      <c r="B63" s="85">
        <v>83</v>
      </c>
      <c r="C63" s="85" t="s">
        <v>347</v>
      </c>
      <c r="D63" s="105" t="s">
        <v>235</v>
      </c>
      <c r="F63" s="85">
        <v>1986</v>
      </c>
      <c r="G63" s="85" t="s">
        <v>15</v>
      </c>
      <c r="H63" s="85" t="s">
        <v>241</v>
      </c>
      <c r="J63" s="85">
        <v>3.1</v>
      </c>
      <c r="S63" s="86"/>
      <c r="T63" s="108">
        <v>4070000</v>
      </c>
      <c r="U63" s="108">
        <v>8.08</v>
      </c>
      <c r="V63" s="106">
        <v>32885600</v>
      </c>
      <c r="W63" s="109"/>
      <c r="X63" s="108">
        <v>8.69</v>
      </c>
      <c r="AA63" s="108">
        <v>30.5</v>
      </c>
      <c r="AB63" s="85">
        <v>0.77</v>
      </c>
      <c r="AC63" s="110"/>
      <c r="AD63" s="110"/>
      <c r="AF63" s="108">
        <v>1</v>
      </c>
      <c r="AJ63" s="85" t="s">
        <v>246</v>
      </c>
      <c r="AK63" s="112">
        <f t="shared" si="0"/>
        <v>3.5097813578826238</v>
      </c>
      <c r="AL63" s="113">
        <f t="shared" si="1"/>
        <v>6202.0473830050405</v>
      </c>
      <c r="AM63" s="114">
        <f t="shared" si="2"/>
        <v>0.92980437284234763</v>
      </c>
      <c r="AN63" s="114">
        <f>3600*AF63*SQRT(9.81/X63)</f>
        <v>3824.9619235903506</v>
      </c>
    </row>
    <row r="64" spans="1:56">
      <c r="A64" s="85">
        <v>322</v>
      </c>
      <c r="B64" s="85">
        <v>84</v>
      </c>
      <c r="C64" s="85" t="s">
        <v>348</v>
      </c>
      <c r="D64" s="105" t="s">
        <v>235</v>
      </c>
      <c r="E64" s="85">
        <v>1947</v>
      </c>
      <c r="F64" s="85">
        <v>1977</v>
      </c>
      <c r="G64" s="85" t="s">
        <v>9</v>
      </c>
      <c r="H64" s="85" t="s">
        <v>241</v>
      </c>
      <c r="J64" s="85">
        <v>7.3</v>
      </c>
      <c r="L64" s="85">
        <v>23.5</v>
      </c>
      <c r="S64" s="86"/>
      <c r="T64" s="108">
        <v>105000</v>
      </c>
      <c r="U64" s="108">
        <v>7.77</v>
      </c>
      <c r="V64" s="106">
        <v>815850</v>
      </c>
      <c r="W64" s="109"/>
      <c r="X64" s="108">
        <v>7.77</v>
      </c>
      <c r="AA64" s="108">
        <v>16.5</v>
      </c>
      <c r="AB64" s="85">
        <v>1.25</v>
      </c>
      <c r="AC64" s="110"/>
      <c r="AD64" s="110"/>
      <c r="AE64" s="85">
        <v>3012.8174999999997</v>
      </c>
      <c r="AJ64" s="85" t="s">
        <v>246</v>
      </c>
      <c r="AK64" s="112">
        <f t="shared" si="0"/>
        <v>2.1235521235521237</v>
      </c>
      <c r="AL64" s="113">
        <f t="shared" si="1"/>
        <v>223.83409631661749</v>
      </c>
      <c r="AM64" s="114">
        <f t="shared" si="2"/>
        <v>1</v>
      </c>
      <c r="AN64" s="114"/>
    </row>
    <row r="65" spans="1:40">
      <c r="A65" s="85">
        <v>326</v>
      </c>
      <c r="B65" s="85">
        <v>85</v>
      </c>
      <c r="C65" s="85" t="s">
        <v>349</v>
      </c>
      <c r="D65" s="105" t="s">
        <v>235</v>
      </c>
      <c r="E65" s="85">
        <v>1914</v>
      </c>
      <c r="F65" s="85">
        <v>1980</v>
      </c>
      <c r="G65" s="85" t="s">
        <v>15</v>
      </c>
      <c r="H65" s="85" t="s">
        <v>241</v>
      </c>
      <c r="J65" s="85">
        <v>4.3</v>
      </c>
      <c r="L65" s="85">
        <v>13.1</v>
      </c>
      <c r="R65" s="85">
        <v>116</v>
      </c>
      <c r="S65" s="86" t="s">
        <v>350</v>
      </c>
      <c r="T65" s="108">
        <v>3540000</v>
      </c>
      <c r="U65" s="108">
        <v>1.68</v>
      </c>
      <c r="V65" s="106">
        <v>5947200</v>
      </c>
      <c r="W65" s="109"/>
      <c r="X65" s="108">
        <v>4.42</v>
      </c>
      <c r="AA65" s="108">
        <v>88.4</v>
      </c>
      <c r="AB65" s="85">
        <v>0.69</v>
      </c>
      <c r="AC65" s="110"/>
      <c r="AD65" s="110"/>
      <c r="AE65" s="85">
        <v>5118.5367999999999</v>
      </c>
      <c r="AF65" s="108">
        <v>2.5</v>
      </c>
      <c r="AJ65" s="85" t="s">
        <v>302</v>
      </c>
      <c r="AK65" s="112">
        <f t="shared" si="0"/>
        <v>20</v>
      </c>
      <c r="AL65" s="113">
        <f t="shared" si="1"/>
        <v>40995.525141559636</v>
      </c>
      <c r="AM65" s="114">
        <f t="shared" si="2"/>
        <v>0.38009049773755654</v>
      </c>
      <c r="AN65" s="114">
        <f>3600*AF65*SQRT(9.81/X65)</f>
        <v>13408.057954064323</v>
      </c>
    </row>
    <row r="66" spans="1:40">
      <c r="A66" s="85">
        <v>333</v>
      </c>
      <c r="B66" s="85">
        <v>87</v>
      </c>
      <c r="C66" s="85" t="s">
        <v>351</v>
      </c>
      <c r="D66" s="105" t="s">
        <v>235</v>
      </c>
      <c r="E66" s="85">
        <v>1986</v>
      </c>
      <c r="F66" s="85">
        <v>1989</v>
      </c>
      <c r="G66" s="85" t="s">
        <v>15</v>
      </c>
      <c r="H66" s="85" t="s">
        <v>241</v>
      </c>
      <c r="L66" s="85">
        <v>56.6</v>
      </c>
      <c r="R66" s="85">
        <v>3110</v>
      </c>
      <c r="S66" s="86" t="s">
        <v>237</v>
      </c>
      <c r="T66" s="108">
        <v>30800000</v>
      </c>
      <c r="U66" s="108">
        <v>16.7</v>
      </c>
      <c r="V66" s="106">
        <v>514360000</v>
      </c>
      <c r="W66" s="109"/>
      <c r="X66" s="108">
        <v>21.3</v>
      </c>
      <c r="AA66" s="108">
        <v>70</v>
      </c>
      <c r="AB66" s="85">
        <v>0.1</v>
      </c>
      <c r="AC66" s="110"/>
      <c r="AD66" s="110"/>
      <c r="AE66" s="85">
        <v>84390.6</v>
      </c>
      <c r="AF66" s="108">
        <v>1</v>
      </c>
      <c r="AJ66" s="85" t="s">
        <v>258</v>
      </c>
      <c r="AK66" s="112">
        <f t="shared" si="0"/>
        <v>3.2863849765258215</v>
      </c>
      <c r="AL66" s="113">
        <f t="shared" si="1"/>
        <v>3187.2190034414716</v>
      </c>
      <c r="AM66" s="114">
        <f t="shared" si="2"/>
        <v>0.784037558685446</v>
      </c>
      <c r="AN66" s="114">
        <f>3600*AF66*SQRT(9.81/X66)</f>
        <v>2443.1335224360341</v>
      </c>
    </row>
    <row r="67" spans="1:40">
      <c r="A67" s="85">
        <v>336</v>
      </c>
      <c r="B67" s="85">
        <v>88</v>
      </c>
      <c r="C67" s="85" t="s">
        <v>352</v>
      </c>
      <c r="D67" s="105" t="s">
        <v>235</v>
      </c>
      <c r="F67" s="85">
        <v>1986</v>
      </c>
      <c r="G67" s="85" t="s">
        <v>9</v>
      </c>
      <c r="H67" s="85" t="s">
        <v>241</v>
      </c>
      <c r="J67" s="85">
        <v>11.3</v>
      </c>
      <c r="L67" s="85">
        <v>28.2</v>
      </c>
      <c r="S67" s="86"/>
      <c r="T67" s="108">
        <v>6780000</v>
      </c>
      <c r="U67" s="108">
        <v>10</v>
      </c>
      <c r="V67" s="106">
        <v>67800000</v>
      </c>
      <c r="W67" s="109"/>
      <c r="X67" s="108">
        <v>9.5399999999999991</v>
      </c>
      <c r="AA67" s="108">
        <v>38.9</v>
      </c>
      <c r="AB67" s="85">
        <v>2.52</v>
      </c>
      <c r="AC67" s="110"/>
      <c r="AD67" s="110"/>
      <c r="AE67" s="85">
        <v>10465.189199999997</v>
      </c>
      <c r="AJ67" s="85" t="s">
        <v>246</v>
      </c>
      <c r="AK67" s="112">
        <f t="shared" si="0"/>
        <v>4.0775681341719077</v>
      </c>
      <c r="AL67" s="113">
        <f t="shared" si="1"/>
        <v>7808.8048545391057</v>
      </c>
      <c r="AM67" s="114">
        <f t="shared" si="2"/>
        <v>1.0482180293501049</v>
      </c>
      <c r="AN67" s="114"/>
    </row>
    <row r="68" spans="1:40">
      <c r="A68" s="85">
        <v>338</v>
      </c>
      <c r="B68" s="85">
        <v>89</v>
      </c>
      <c r="C68" s="85" t="s">
        <v>353</v>
      </c>
      <c r="D68" s="105" t="s">
        <v>235</v>
      </c>
      <c r="G68" s="85" t="s">
        <v>9</v>
      </c>
      <c r="L68" s="85">
        <v>11</v>
      </c>
      <c r="S68" s="86"/>
      <c r="T68" s="108">
        <v>13900</v>
      </c>
      <c r="U68" s="108">
        <v>3.66</v>
      </c>
      <c r="V68" s="106">
        <v>50874</v>
      </c>
      <c r="W68" s="109"/>
      <c r="X68" s="108">
        <v>3.66</v>
      </c>
      <c r="AA68" s="108">
        <v>2.29</v>
      </c>
      <c r="AB68" s="85">
        <v>0.63</v>
      </c>
      <c r="AC68" s="110"/>
      <c r="AD68" s="110"/>
      <c r="AE68" s="85">
        <v>92.195400000000006</v>
      </c>
      <c r="AJ68" s="85" t="s">
        <v>248</v>
      </c>
      <c r="AK68" s="112">
        <f t="shared" si="0"/>
        <v>0.62568306010928965</v>
      </c>
      <c r="AL68" s="113">
        <f t="shared" si="1"/>
        <v>283.51206423379864</v>
      </c>
      <c r="AM68" s="114">
        <f t="shared" si="2"/>
        <v>1</v>
      </c>
      <c r="AN68" s="114"/>
    </row>
    <row r="69" spans="1:40">
      <c r="A69" s="85">
        <v>343</v>
      </c>
      <c r="B69" s="85">
        <v>90</v>
      </c>
      <c r="C69" s="85" t="s">
        <v>354</v>
      </c>
      <c r="D69" s="105" t="s">
        <v>235</v>
      </c>
      <c r="F69" s="85">
        <v>1975</v>
      </c>
      <c r="G69" s="85" t="s">
        <v>15</v>
      </c>
      <c r="H69" s="85" t="s">
        <v>241</v>
      </c>
      <c r="I69" s="85">
        <v>7.32</v>
      </c>
      <c r="J69" s="85">
        <v>3.7</v>
      </c>
      <c r="L69" s="85">
        <v>13.3</v>
      </c>
      <c r="M69" s="85">
        <v>1.34</v>
      </c>
      <c r="N69" s="85">
        <v>1.34</v>
      </c>
      <c r="P69" s="106">
        <v>24700</v>
      </c>
      <c r="Q69" s="107"/>
      <c r="S69" s="86"/>
      <c r="T69" s="108">
        <v>24700</v>
      </c>
      <c r="U69" s="108">
        <v>4.57</v>
      </c>
      <c r="V69" s="106">
        <v>112879</v>
      </c>
      <c r="W69" s="109" t="s">
        <v>238</v>
      </c>
      <c r="X69" s="108">
        <v>7.32</v>
      </c>
      <c r="Y69" s="85">
        <v>19</v>
      </c>
      <c r="Z69" s="85">
        <v>7.6000000000000014</v>
      </c>
      <c r="AA69" s="108">
        <v>13.3</v>
      </c>
      <c r="AB69" s="85">
        <v>0.77</v>
      </c>
      <c r="AC69" s="110">
        <v>0.76923076923076916</v>
      </c>
      <c r="AD69" s="110">
        <v>0.76923076923076916</v>
      </c>
      <c r="AE69" s="85">
        <v>1292</v>
      </c>
      <c r="AJ69" s="85" t="s">
        <v>255</v>
      </c>
      <c r="AK69" s="112">
        <f t="shared" si="0"/>
        <v>1.8169398907103826</v>
      </c>
      <c r="AL69" s="113">
        <f t="shared" si="1"/>
        <v>62.974352397255629</v>
      </c>
      <c r="AM69" s="114">
        <f t="shared" si="2"/>
        <v>0.62431693989071035</v>
      </c>
      <c r="AN69" s="114"/>
    </row>
    <row r="70" spans="1:40">
      <c r="A70" s="85">
        <v>346</v>
      </c>
      <c r="B70" s="85">
        <v>91</v>
      </c>
      <c r="C70" s="85" t="s">
        <v>355</v>
      </c>
      <c r="D70" s="105" t="s">
        <v>235</v>
      </c>
      <c r="E70" s="85">
        <v>1966</v>
      </c>
      <c r="F70" s="85">
        <v>1977</v>
      </c>
      <c r="G70" s="85" t="s">
        <v>9</v>
      </c>
      <c r="H70" s="85" t="s">
        <v>8</v>
      </c>
      <c r="I70" s="85">
        <v>35.049999999999997</v>
      </c>
      <c r="P70" s="106">
        <v>25900000</v>
      </c>
      <c r="Q70" s="107"/>
      <c r="R70" s="85">
        <v>7200</v>
      </c>
      <c r="S70" s="86" t="s">
        <v>275</v>
      </c>
      <c r="T70" s="117">
        <v>71541947</v>
      </c>
      <c r="U70" s="129">
        <v>38.4</v>
      </c>
      <c r="V70" s="106">
        <v>2747210764.7999997</v>
      </c>
      <c r="W70" s="109" t="s">
        <v>238</v>
      </c>
      <c r="X70" s="108">
        <v>35</v>
      </c>
      <c r="AA70" s="108">
        <v>168</v>
      </c>
      <c r="AC70" s="110"/>
      <c r="AD70" s="110"/>
      <c r="AE70" s="85">
        <v>440384</v>
      </c>
      <c r="AG70" s="85">
        <v>2</v>
      </c>
      <c r="AH70" s="85">
        <v>2</v>
      </c>
      <c r="AJ70" s="85" t="s">
        <v>276</v>
      </c>
      <c r="AK70" s="112">
        <f t="shared" si="0"/>
        <v>4.8</v>
      </c>
      <c r="AL70" s="113">
        <f t="shared" si="1"/>
        <v>1668.6168396501457</v>
      </c>
      <c r="AM70" s="114">
        <f t="shared" si="2"/>
        <v>1.0971428571428572</v>
      </c>
      <c r="AN70" s="114"/>
    </row>
    <row r="71" spans="1:40">
      <c r="A71" s="85">
        <v>358</v>
      </c>
      <c r="B71" s="85">
        <v>93</v>
      </c>
      <c r="C71" s="85" t="s">
        <v>356</v>
      </c>
      <c r="D71" s="105" t="s">
        <v>235</v>
      </c>
      <c r="F71" s="85">
        <v>1921</v>
      </c>
      <c r="G71" s="85" t="s">
        <v>9</v>
      </c>
      <c r="H71" s="85" t="s">
        <v>357</v>
      </c>
      <c r="I71" s="85">
        <v>30.5</v>
      </c>
      <c r="J71" s="85">
        <v>4.5999999999999996</v>
      </c>
      <c r="L71" s="85">
        <v>80.8</v>
      </c>
      <c r="M71" s="85">
        <v>3</v>
      </c>
      <c r="N71" s="85">
        <v>2</v>
      </c>
      <c r="O71" s="85">
        <v>335.3</v>
      </c>
      <c r="P71" s="106">
        <v>3920000</v>
      </c>
      <c r="Q71" s="107"/>
      <c r="R71" s="85">
        <v>4500</v>
      </c>
      <c r="S71" s="86" t="s">
        <v>358</v>
      </c>
      <c r="T71" s="108">
        <v>4440000</v>
      </c>
      <c r="U71" s="108">
        <v>30.5</v>
      </c>
      <c r="V71" s="106">
        <v>135420000</v>
      </c>
      <c r="W71" s="109" t="s">
        <v>238</v>
      </c>
      <c r="X71" s="108">
        <v>30.5</v>
      </c>
      <c r="Y71" s="85">
        <v>210</v>
      </c>
      <c r="Z71" s="85">
        <v>64</v>
      </c>
      <c r="AA71" s="108">
        <v>137</v>
      </c>
      <c r="AB71" s="85">
        <v>2.25</v>
      </c>
      <c r="AC71" s="110"/>
      <c r="AD71" s="110"/>
      <c r="AE71" s="85">
        <v>226996</v>
      </c>
      <c r="AF71" s="108">
        <v>0.5</v>
      </c>
      <c r="AG71" s="85">
        <v>0.5</v>
      </c>
      <c r="AH71" s="85">
        <v>0.5</v>
      </c>
      <c r="AI71" s="85">
        <v>0.5</v>
      </c>
      <c r="AJ71" s="85" t="s">
        <v>359</v>
      </c>
      <c r="AK71" s="112">
        <f t="shared" si="0"/>
        <v>4.4918032786885247</v>
      </c>
      <c r="AL71" s="113">
        <f t="shared" si="1"/>
        <v>156.48886911239268</v>
      </c>
      <c r="AM71" s="114">
        <f t="shared" si="2"/>
        <v>1</v>
      </c>
      <c r="AN71" s="114">
        <f>3600*AF71*SQRT(9.81/X71)</f>
        <v>1020.8386137925211</v>
      </c>
    </row>
    <row r="72" spans="1:40">
      <c r="A72" s="85">
        <v>360</v>
      </c>
      <c r="B72" s="85">
        <v>94</v>
      </c>
      <c r="C72" s="85" t="s">
        <v>360</v>
      </c>
      <c r="D72" s="105" t="s">
        <v>235</v>
      </c>
      <c r="G72" s="85" t="s">
        <v>15</v>
      </c>
      <c r="L72" s="85">
        <v>39.299999999999997</v>
      </c>
      <c r="P72" s="106"/>
      <c r="Q72" s="107"/>
      <c r="S72" s="86"/>
      <c r="T72" s="108">
        <v>86000</v>
      </c>
      <c r="U72" s="108">
        <v>10.4</v>
      </c>
      <c r="V72" s="106">
        <v>894400</v>
      </c>
      <c r="W72" s="109"/>
      <c r="X72" s="108">
        <v>11.9</v>
      </c>
      <c r="Y72" s="85">
        <v>15</v>
      </c>
      <c r="Z72" s="85">
        <v>15</v>
      </c>
      <c r="AA72" s="108">
        <v>15</v>
      </c>
      <c r="AB72" s="85">
        <v>0</v>
      </c>
      <c r="AC72" s="110"/>
      <c r="AD72" s="110"/>
      <c r="AE72" s="85">
        <v>7015.0499999999993</v>
      </c>
      <c r="AJ72" s="85" t="s">
        <v>248</v>
      </c>
      <c r="AK72" s="112">
        <f t="shared" si="0"/>
        <v>1.2605042016806722</v>
      </c>
      <c r="AL72" s="113">
        <f t="shared" si="1"/>
        <v>51.033760019084248</v>
      </c>
      <c r="AM72" s="114">
        <f t="shared" si="2"/>
        <v>0.87394957983193278</v>
      </c>
      <c r="AN72" s="114"/>
    </row>
    <row r="73" spans="1:40">
      <c r="A73" s="85">
        <v>363</v>
      </c>
      <c r="B73" s="85">
        <v>95</v>
      </c>
      <c r="C73" s="85" t="s">
        <v>361</v>
      </c>
      <c r="D73" s="105" t="s">
        <v>235</v>
      </c>
      <c r="E73" s="85">
        <v>1969</v>
      </c>
      <c r="F73" s="85">
        <v>1970</v>
      </c>
      <c r="G73" s="85" t="s">
        <v>250</v>
      </c>
      <c r="H73" s="85" t="s">
        <v>8</v>
      </c>
      <c r="I73" s="85">
        <v>17.07</v>
      </c>
      <c r="J73" s="85">
        <v>6.1</v>
      </c>
      <c r="M73" s="85">
        <v>3</v>
      </c>
      <c r="N73" s="85">
        <v>2</v>
      </c>
      <c r="P73" s="106">
        <v>1430000</v>
      </c>
      <c r="Q73" s="107">
        <v>343982.795904</v>
      </c>
      <c r="S73" s="86"/>
      <c r="T73" s="117">
        <v>2911017</v>
      </c>
      <c r="U73" s="129">
        <v>14.02</v>
      </c>
      <c r="V73" s="106">
        <v>40812458.339999996</v>
      </c>
      <c r="W73" s="109" t="s">
        <v>238</v>
      </c>
      <c r="X73" s="108">
        <v>17.100000000000001</v>
      </c>
      <c r="Y73" s="85">
        <v>30.5</v>
      </c>
      <c r="Z73" s="85">
        <v>13.5</v>
      </c>
      <c r="AA73" s="108">
        <v>22</v>
      </c>
      <c r="AB73" s="85">
        <v>0.5</v>
      </c>
      <c r="AC73" s="110">
        <v>0.5</v>
      </c>
      <c r="AD73" s="110">
        <v>0.5</v>
      </c>
      <c r="AE73" s="85">
        <v>18273</v>
      </c>
      <c r="AJ73" s="85" t="s">
        <v>276</v>
      </c>
      <c r="AK73" s="112">
        <f t="shared" ref="AK73:AK84" si="3">AA73/X73</f>
        <v>1.2865497076023391</v>
      </c>
      <c r="AL73" s="113">
        <f t="shared" ref="AL73:AL84" si="4">T73/(X73^3)</f>
        <v>582.17883205328724</v>
      </c>
      <c r="AM73" s="114">
        <f t="shared" ref="AM73:AM84" si="5">U73/X73</f>
        <v>0.81988304093567244</v>
      </c>
      <c r="AN73" s="114"/>
    </row>
    <row r="74" spans="1:40">
      <c r="A74" s="85">
        <v>369</v>
      </c>
      <c r="B74" s="85">
        <v>97</v>
      </c>
      <c r="C74" s="85" t="s">
        <v>362</v>
      </c>
      <c r="D74" s="105" t="s">
        <v>235</v>
      </c>
      <c r="E74" s="85">
        <v>1910</v>
      </c>
      <c r="F74" s="85">
        <v>1943</v>
      </c>
      <c r="G74" s="85" t="s">
        <v>250</v>
      </c>
      <c r="H74" s="85" t="s">
        <v>8</v>
      </c>
      <c r="I74" s="85">
        <v>21.34</v>
      </c>
      <c r="P74" s="106">
        <v>3330000</v>
      </c>
      <c r="Q74" s="107"/>
      <c r="S74" s="86"/>
      <c r="T74" s="117">
        <v>3330401</v>
      </c>
      <c r="U74" s="129">
        <v>21.34</v>
      </c>
      <c r="V74" s="106">
        <v>71070757.340000004</v>
      </c>
      <c r="W74" s="109" t="s">
        <v>238</v>
      </c>
      <c r="X74" s="108">
        <v>21.3</v>
      </c>
      <c r="Y74" s="85">
        <v>92</v>
      </c>
      <c r="Z74" s="85">
        <v>49.2</v>
      </c>
      <c r="AA74" s="108">
        <v>70.599999999999994</v>
      </c>
      <c r="AB74" s="85">
        <v>0.5</v>
      </c>
      <c r="AC74" s="85">
        <v>0.5</v>
      </c>
      <c r="AD74" s="85">
        <v>0.5</v>
      </c>
      <c r="AE74" s="85">
        <v>84101</v>
      </c>
      <c r="AG74" s="85">
        <v>2</v>
      </c>
      <c r="AH74" s="85">
        <v>2</v>
      </c>
      <c r="AJ74" s="85" t="s">
        <v>276</v>
      </c>
      <c r="AK74" s="112">
        <f t="shared" si="3"/>
        <v>3.3145539906103281</v>
      </c>
      <c r="AL74" s="113">
        <f t="shared" si="4"/>
        <v>344.63368039871688</v>
      </c>
      <c r="AM74" s="114">
        <f t="shared" si="5"/>
        <v>1.0018779342723003</v>
      </c>
      <c r="AN74" s="114"/>
    </row>
    <row r="75" spans="1:40">
      <c r="A75" s="85">
        <v>377</v>
      </c>
      <c r="B75" s="85">
        <v>99</v>
      </c>
      <c r="C75" s="85" t="s">
        <v>363</v>
      </c>
      <c r="D75" s="105" t="s">
        <v>235</v>
      </c>
      <c r="E75" s="85">
        <v>1887</v>
      </c>
      <c r="F75" s="85">
        <v>1889</v>
      </c>
      <c r="G75" s="85" t="s">
        <v>15</v>
      </c>
      <c r="H75" s="85" t="s">
        <v>364</v>
      </c>
      <c r="I75" s="85">
        <v>5.49</v>
      </c>
      <c r="J75" s="85">
        <v>2.4</v>
      </c>
      <c r="M75" s="85">
        <v>0.75</v>
      </c>
      <c r="N75" s="85">
        <v>0.75</v>
      </c>
      <c r="P75" s="106">
        <v>135000</v>
      </c>
      <c r="Q75" s="107">
        <v>72843.415603200003</v>
      </c>
      <c r="S75" s="86"/>
      <c r="T75" s="108">
        <v>136000</v>
      </c>
      <c r="U75" s="129">
        <v>5.49</v>
      </c>
      <c r="V75" s="106">
        <v>746640</v>
      </c>
      <c r="W75" s="109" t="s">
        <v>238</v>
      </c>
      <c r="X75" s="108">
        <v>5.49</v>
      </c>
      <c r="Y75" s="85">
        <v>20</v>
      </c>
      <c r="Z75" s="85">
        <v>9</v>
      </c>
      <c r="AA75" s="108">
        <v>14.5</v>
      </c>
      <c r="AB75" s="85">
        <v>1</v>
      </c>
      <c r="AC75" s="85">
        <v>0.5</v>
      </c>
      <c r="AD75" s="85">
        <v>0.5</v>
      </c>
      <c r="AE75" s="85">
        <v>612</v>
      </c>
      <c r="AJ75" s="85" t="s">
        <v>337</v>
      </c>
      <c r="AK75" s="112">
        <f t="shared" si="3"/>
        <v>2.6411657559198543</v>
      </c>
      <c r="AL75" s="113">
        <f t="shared" si="4"/>
        <v>821.90547798127602</v>
      </c>
      <c r="AM75" s="114">
        <f t="shared" si="5"/>
        <v>1</v>
      </c>
      <c r="AN75" s="114"/>
    </row>
    <row r="76" spans="1:40">
      <c r="A76" s="85">
        <v>379</v>
      </c>
      <c r="B76" s="85">
        <v>100</v>
      </c>
      <c r="C76" s="85" t="s">
        <v>365</v>
      </c>
      <c r="D76" s="105" t="s">
        <v>235</v>
      </c>
      <c r="E76" s="85">
        <v>1955</v>
      </c>
      <c r="F76" s="85">
        <v>1994</v>
      </c>
      <c r="G76" s="85" t="s">
        <v>9</v>
      </c>
      <c r="H76" s="85" t="s">
        <v>241</v>
      </c>
      <c r="L76" s="85">
        <v>12.6</v>
      </c>
      <c r="P76" s="106"/>
      <c r="Q76" s="107"/>
      <c r="S76" s="86"/>
      <c r="T76" s="108">
        <v>564000</v>
      </c>
      <c r="U76" s="108">
        <v>5.55</v>
      </c>
      <c r="V76" s="106">
        <v>3130200</v>
      </c>
      <c r="W76" s="109"/>
      <c r="X76" s="108">
        <v>5.12</v>
      </c>
      <c r="AA76" s="132">
        <v>21</v>
      </c>
      <c r="AB76" s="85">
        <v>0.54</v>
      </c>
      <c r="AE76" s="85">
        <v>1354.752</v>
      </c>
      <c r="AJ76" s="85" t="s">
        <v>23</v>
      </c>
      <c r="AK76" s="112">
        <f t="shared" si="3"/>
        <v>4.1015625</v>
      </c>
      <c r="AL76" s="113">
        <f t="shared" si="4"/>
        <v>4202.1274566650382</v>
      </c>
      <c r="AM76" s="114">
        <f t="shared" si="5"/>
        <v>1.083984375</v>
      </c>
      <c r="AN76" s="114"/>
    </row>
    <row r="77" spans="1:40">
      <c r="A77" s="85">
        <v>384</v>
      </c>
      <c r="B77" s="85">
        <v>101</v>
      </c>
      <c r="C77" s="85" t="s">
        <v>366</v>
      </c>
      <c r="D77" s="105" t="s">
        <v>235</v>
      </c>
      <c r="E77" s="85">
        <v>1914</v>
      </c>
      <c r="F77" s="85">
        <v>1964</v>
      </c>
      <c r="G77" s="85" t="s">
        <v>9</v>
      </c>
      <c r="H77" s="85" t="s">
        <v>367</v>
      </c>
      <c r="I77" s="85">
        <v>57.61</v>
      </c>
      <c r="O77" s="85">
        <v>225.6</v>
      </c>
      <c r="P77" s="106">
        <v>37004455.126425609</v>
      </c>
      <c r="Q77" s="107"/>
      <c r="R77" s="85">
        <v>24947</v>
      </c>
      <c r="S77" s="86" t="s">
        <v>368</v>
      </c>
      <c r="T77" s="117">
        <v>37004455</v>
      </c>
      <c r="U77" s="108">
        <v>47.8536</v>
      </c>
      <c r="V77" s="106">
        <v>1770796387.7880001</v>
      </c>
      <c r="W77" s="109" t="s">
        <v>238</v>
      </c>
      <c r="X77" s="108">
        <v>57.6</v>
      </c>
      <c r="Y77" s="85">
        <v>225</v>
      </c>
      <c r="Z77" s="85">
        <v>225</v>
      </c>
      <c r="AA77" s="108">
        <v>225</v>
      </c>
      <c r="AB77" s="85">
        <v>0</v>
      </c>
      <c r="AC77" s="110"/>
      <c r="AD77" s="110"/>
      <c r="AE77" s="85">
        <v>206430</v>
      </c>
      <c r="AG77" s="85" t="s">
        <v>267</v>
      </c>
      <c r="AH77" s="85">
        <v>0.25</v>
      </c>
      <c r="AJ77" s="85" t="s">
        <v>369</v>
      </c>
      <c r="AK77" s="112">
        <f t="shared" si="3"/>
        <v>3.90625</v>
      </c>
      <c r="AL77" s="113">
        <f t="shared" si="4"/>
        <v>193.63620480719251</v>
      </c>
      <c r="AM77" s="114">
        <f t="shared" si="5"/>
        <v>0.8307916666666666</v>
      </c>
      <c r="AN77" s="114"/>
    </row>
    <row r="78" spans="1:40">
      <c r="A78" s="85">
        <v>392</v>
      </c>
      <c r="B78" s="85">
        <v>102</v>
      </c>
      <c r="C78" s="85" t="s">
        <v>370</v>
      </c>
      <c r="D78" s="105" t="s">
        <v>235</v>
      </c>
      <c r="E78" s="85">
        <v>1975</v>
      </c>
      <c r="F78" s="85">
        <v>1976</v>
      </c>
      <c r="G78" s="85" t="s">
        <v>15</v>
      </c>
      <c r="H78" s="85" t="s">
        <v>290</v>
      </c>
      <c r="I78" s="85">
        <v>92.96</v>
      </c>
      <c r="J78" s="85">
        <v>10.7</v>
      </c>
      <c r="L78" s="85">
        <v>250</v>
      </c>
      <c r="M78" s="85">
        <v>3</v>
      </c>
      <c r="N78" s="85">
        <v>2.5</v>
      </c>
      <c r="P78" s="106">
        <v>356000000</v>
      </c>
      <c r="Q78" s="106"/>
      <c r="R78" s="85">
        <v>65120</v>
      </c>
      <c r="S78" s="86" t="s">
        <v>335</v>
      </c>
      <c r="T78" s="108">
        <v>310000000</v>
      </c>
      <c r="U78" s="108">
        <v>77.400000000000006</v>
      </c>
      <c r="V78" s="106">
        <v>23994000000</v>
      </c>
      <c r="W78" s="109" t="s">
        <v>238</v>
      </c>
      <c r="X78" s="108">
        <v>86.9</v>
      </c>
      <c r="AA78" s="108">
        <v>151</v>
      </c>
      <c r="AB78" s="85">
        <v>1</v>
      </c>
      <c r="AC78" s="110"/>
      <c r="AE78" s="85">
        <v>3058219</v>
      </c>
      <c r="AF78" s="108">
        <v>1.25</v>
      </c>
      <c r="AG78" s="85">
        <v>4</v>
      </c>
      <c r="AH78" s="85">
        <v>6</v>
      </c>
      <c r="AJ78" s="85" t="s">
        <v>239</v>
      </c>
      <c r="AK78" s="112">
        <f t="shared" si="3"/>
        <v>1.7376294591484465</v>
      </c>
      <c r="AL78" s="113">
        <f t="shared" si="4"/>
        <v>472.39181541316015</v>
      </c>
      <c r="AM78" s="114">
        <f t="shared" si="5"/>
        <v>0.89067894131185266</v>
      </c>
      <c r="AN78" s="114">
        <f>3600*AF78*SQRT(9.81/X78)</f>
        <v>1511.9489552455545</v>
      </c>
    </row>
    <row r="79" spans="1:40">
      <c r="A79" s="85">
        <v>394</v>
      </c>
      <c r="B79" s="85">
        <v>103</v>
      </c>
      <c r="C79" s="85" t="s">
        <v>371</v>
      </c>
      <c r="D79" s="105" t="s">
        <v>235</v>
      </c>
      <c r="G79" s="85" t="s">
        <v>15</v>
      </c>
      <c r="L79" s="85">
        <v>7.62</v>
      </c>
      <c r="P79" s="106"/>
      <c r="Q79" s="106"/>
      <c r="S79" s="86"/>
      <c r="T79" s="108">
        <v>1480000</v>
      </c>
      <c r="U79" s="108">
        <v>5.18</v>
      </c>
      <c r="V79" s="106">
        <v>7666400</v>
      </c>
      <c r="W79" s="109"/>
      <c r="X79" s="108">
        <v>5.18</v>
      </c>
      <c r="AA79" s="108">
        <v>21</v>
      </c>
      <c r="AB79" s="85">
        <v>0.82</v>
      </c>
      <c r="AC79" s="110"/>
      <c r="AD79" s="110"/>
      <c r="AE79" s="85">
        <v>828.90359999999998</v>
      </c>
      <c r="AJ79" s="85" t="s">
        <v>248</v>
      </c>
      <c r="AK79" s="112">
        <f t="shared" si="3"/>
        <v>4.0540540540540544</v>
      </c>
      <c r="AL79" s="113">
        <f t="shared" si="4"/>
        <v>10648.107724776233</v>
      </c>
      <c r="AM79" s="114">
        <f t="shared" si="5"/>
        <v>1</v>
      </c>
      <c r="AN79" s="114"/>
    </row>
    <row r="80" spans="1:40">
      <c r="A80" s="85">
        <v>396</v>
      </c>
      <c r="B80" s="85">
        <v>104</v>
      </c>
      <c r="C80" s="85" t="s">
        <v>372</v>
      </c>
      <c r="D80" s="105" t="s">
        <v>235</v>
      </c>
      <c r="G80" s="85" t="s">
        <v>9</v>
      </c>
      <c r="L80" s="85">
        <v>21.6</v>
      </c>
      <c r="P80" s="106"/>
      <c r="Q80" s="106"/>
      <c r="S80" s="86"/>
      <c r="T80" s="108">
        <v>493000</v>
      </c>
      <c r="U80" s="108">
        <v>8.5299999999999994</v>
      </c>
      <c r="V80" s="106">
        <v>4205290</v>
      </c>
      <c r="W80" s="109"/>
      <c r="X80" s="108">
        <v>8.5299999999999994</v>
      </c>
      <c r="AA80" s="108">
        <v>26.2</v>
      </c>
      <c r="AB80" s="85">
        <v>1.79</v>
      </c>
      <c r="AC80" s="110"/>
      <c r="AD80" s="110"/>
      <c r="AE80" s="85">
        <v>4827.2975999999999</v>
      </c>
      <c r="AJ80" s="85" t="s">
        <v>248</v>
      </c>
      <c r="AK80" s="112">
        <f t="shared" si="3"/>
        <v>3.0715123094958972</v>
      </c>
      <c r="AL80" s="113">
        <f t="shared" si="4"/>
        <v>794.32791606474518</v>
      </c>
      <c r="AM80" s="114">
        <f t="shared" si="5"/>
        <v>1</v>
      </c>
      <c r="AN80" s="114"/>
    </row>
    <row r="81" spans="1:40">
      <c r="A81" s="85">
        <v>398</v>
      </c>
      <c r="B81" s="85">
        <v>105</v>
      </c>
      <c r="C81" s="85" t="s">
        <v>373</v>
      </c>
      <c r="D81" s="105" t="s">
        <v>235</v>
      </c>
      <c r="G81" s="85" t="s">
        <v>9</v>
      </c>
      <c r="P81" s="106"/>
      <c r="Q81" s="106"/>
      <c r="S81" s="86"/>
      <c r="T81" s="108">
        <v>222000</v>
      </c>
      <c r="U81" s="108">
        <v>5.18</v>
      </c>
      <c r="V81" s="106">
        <v>1149960</v>
      </c>
      <c r="W81" s="109"/>
      <c r="X81" s="108">
        <v>5.18</v>
      </c>
      <c r="AA81" s="108">
        <v>16.5</v>
      </c>
      <c r="AB81" s="85">
        <v>1.71</v>
      </c>
      <c r="AC81" s="110"/>
      <c r="AD81" s="110"/>
      <c r="AJ81" s="85" t="s">
        <v>248</v>
      </c>
      <c r="AK81" s="112">
        <f t="shared" si="3"/>
        <v>3.1853281853281854</v>
      </c>
      <c r="AL81" s="113">
        <f t="shared" si="4"/>
        <v>1597.2161587164351</v>
      </c>
      <c r="AM81" s="114">
        <f t="shared" si="5"/>
        <v>1</v>
      </c>
      <c r="AN81" s="114"/>
    </row>
    <row r="82" spans="1:40">
      <c r="A82" s="85">
        <v>403</v>
      </c>
      <c r="B82" s="85">
        <v>106</v>
      </c>
      <c r="C82" s="85" t="s">
        <v>374</v>
      </c>
      <c r="D82" s="105" t="s">
        <v>235</v>
      </c>
      <c r="E82" s="85">
        <v>1893</v>
      </c>
      <c r="F82" s="85">
        <v>1969</v>
      </c>
      <c r="G82" s="85" t="s">
        <v>15</v>
      </c>
      <c r="H82" s="85" t="s">
        <v>241</v>
      </c>
      <c r="I82" s="85">
        <v>13.6</v>
      </c>
      <c r="J82" s="85">
        <v>6.1</v>
      </c>
      <c r="P82" s="106">
        <v>11500000</v>
      </c>
      <c r="Q82" s="106"/>
      <c r="S82" s="86"/>
      <c r="T82" s="108">
        <v>11600000</v>
      </c>
      <c r="U82" s="108">
        <v>12.2</v>
      </c>
      <c r="V82" s="106">
        <v>141520000</v>
      </c>
      <c r="W82" s="109" t="s">
        <v>238</v>
      </c>
      <c r="X82" s="108">
        <v>13.7</v>
      </c>
      <c r="Y82" s="85">
        <v>46</v>
      </c>
      <c r="Z82" s="85">
        <v>41</v>
      </c>
      <c r="AA82" s="108">
        <v>35.4</v>
      </c>
      <c r="AB82" s="85">
        <v>0.75</v>
      </c>
      <c r="AC82" s="85">
        <v>0.5</v>
      </c>
      <c r="AD82" s="85">
        <v>0.5</v>
      </c>
      <c r="AE82" s="85">
        <v>14603</v>
      </c>
      <c r="AF82" s="108">
        <v>1.5</v>
      </c>
      <c r="AG82" s="85">
        <v>1.5</v>
      </c>
      <c r="AH82" s="85">
        <v>1.5</v>
      </c>
      <c r="AJ82" s="85" t="s">
        <v>255</v>
      </c>
      <c r="AK82" s="112">
        <f t="shared" si="3"/>
        <v>2.5839416058394162</v>
      </c>
      <c r="AL82" s="113">
        <f t="shared" si="4"/>
        <v>4511.2436915507133</v>
      </c>
      <c r="AM82" s="114">
        <f t="shared" si="5"/>
        <v>0.89051094890510951</v>
      </c>
      <c r="AN82" s="114">
        <f>3600*AF82*SQRT(9.81/X82)</f>
        <v>4569.4926166613541</v>
      </c>
    </row>
    <row r="83" spans="1:40">
      <c r="A83" s="85">
        <v>405</v>
      </c>
      <c r="B83" s="85">
        <v>107</v>
      </c>
      <c r="C83" s="85" t="s">
        <v>375</v>
      </c>
      <c r="D83" s="105" t="s">
        <v>235</v>
      </c>
      <c r="E83" s="85">
        <v>1956</v>
      </c>
      <c r="F83" s="85">
        <v>1994</v>
      </c>
      <c r="G83" s="85" t="s">
        <v>15</v>
      </c>
      <c r="H83" s="85" t="s">
        <v>376</v>
      </c>
      <c r="L83" s="85">
        <v>13.2</v>
      </c>
      <c r="P83" s="106"/>
      <c r="Q83" s="106"/>
      <c r="S83" s="86"/>
      <c r="T83" s="108">
        <v>533000</v>
      </c>
      <c r="U83" s="108">
        <v>3.57</v>
      </c>
      <c r="V83" s="106">
        <v>1902810</v>
      </c>
      <c r="W83" s="109"/>
      <c r="X83" s="108">
        <v>3.72</v>
      </c>
      <c r="AA83" s="132">
        <v>29</v>
      </c>
      <c r="AB83" s="85">
        <v>1.74</v>
      </c>
      <c r="AE83" s="85">
        <v>1424.0160000000001</v>
      </c>
      <c r="AJ83" s="85" t="s">
        <v>23</v>
      </c>
      <c r="AK83" s="112">
        <f t="shared" si="3"/>
        <v>7.7956989247311821</v>
      </c>
      <c r="AL83" s="113">
        <f t="shared" si="4"/>
        <v>10353.767046224499</v>
      </c>
      <c r="AM83" s="114">
        <f t="shared" si="5"/>
        <v>0.95967741935483863</v>
      </c>
      <c r="AN83" s="114"/>
    </row>
    <row r="84" spans="1:40">
      <c r="A84" s="85">
        <v>410</v>
      </c>
      <c r="B84" s="85">
        <v>108</v>
      </c>
      <c r="C84" s="85" t="s">
        <v>377</v>
      </c>
      <c r="D84" s="105" t="s">
        <v>235</v>
      </c>
      <c r="E84" s="85">
        <v>1904</v>
      </c>
      <c r="F84" s="85">
        <v>1912</v>
      </c>
      <c r="G84" s="85" t="s">
        <v>9</v>
      </c>
      <c r="H84" s="85" t="s">
        <v>378</v>
      </c>
      <c r="I84" s="85">
        <v>7.32</v>
      </c>
      <c r="J84" s="85">
        <v>2.1</v>
      </c>
      <c r="L84" s="85">
        <v>7.76</v>
      </c>
      <c r="M84" s="85">
        <v>1</v>
      </c>
      <c r="N84" s="85">
        <v>1</v>
      </c>
      <c r="O84" s="85">
        <v>132.6</v>
      </c>
      <c r="P84" s="106">
        <v>664000</v>
      </c>
      <c r="S84" s="86"/>
      <c r="T84" s="108">
        <v>662000</v>
      </c>
      <c r="U84" s="108">
        <v>6.4</v>
      </c>
      <c r="V84" s="106">
        <v>4236800</v>
      </c>
      <c r="W84" s="109" t="s">
        <v>238</v>
      </c>
      <c r="X84" s="108">
        <v>6.1</v>
      </c>
      <c r="Y84" s="85">
        <v>21.3</v>
      </c>
      <c r="Z84" s="85">
        <v>18.3</v>
      </c>
      <c r="AA84" s="108">
        <v>19.8</v>
      </c>
      <c r="AB84" s="85">
        <v>0.2</v>
      </c>
      <c r="AC84" s="110">
        <v>0.2</v>
      </c>
      <c r="AD84" s="110">
        <v>0.2</v>
      </c>
      <c r="AE84" s="85">
        <v>1483</v>
      </c>
      <c r="AG84" s="85">
        <v>5</v>
      </c>
      <c r="AH84" s="85">
        <v>5</v>
      </c>
      <c r="AI84" s="85">
        <v>5</v>
      </c>
      <c r="AJ84" s="85" t="s">
        <v>296</v>
      </c>
      <c r="AK84" s="112">
        <f t="shared" si="3"/>
        <v>3.2459016393442628</v>
      </c>
      <c r="AL84" s="113">
        <f t="shared" si="4"/>
        <v>2916.5436754618236</v>
      </c>
      <c r="AM84" s="114">
        <f t="shared" si="5"/>
        <v>1.0491803278688525</v>
      </c>
      <c r="AN84" s="114"/>
    </row>
    <row r="85" spans="1:40">
      <c r="P85" s="106"/>
      <c r="S85" s="86"/>
      <c r="V85" s="106"/>
      <c r="AC85" s="110"/>
      <c r="AD85" s="110"/>
    </row>
  </sheetData>
  <mergeCells count="1">
    <mergeCell ref="AK3:AM3"/>
  </mergeCells>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ransitionEvaluation="1" codeName="Sheet9"/>
  <dimension ref="A1:B33"/>
  <sheetViews>
    <sheetView defaultGridColor="0" colorId="22" zoomScale="87" workbookViewId="0">
      <selection activeCell="A5" sqref="A5"/>
    </sheetView>
  </sheetViews>
  <sheetFormatPr defaultColWidth="12.42578125" defaultRowHeight="15"/>
  <cols>
    <col min="1" max="16384" width="12.42578125" style="85"/>
  </cols>
  <sheetData>
    <row r="1" spans="1:1">
      <c r="A1" s="85" t="s">
        <v>379</v>
      </c>
    </row>
    <row r="3" spans="1:1">
      <c r="A3" s="85" t="s">
        <v>380</v>
      </c>
    </row>
    <row r="4" spans="1:1">
      <c r="A4" s="85" t="s">
        <v>381</v>
      </c>
    </row>
    <row r="5" spans="1:1">
      <c r="A5" s="85" t="s">
        <v>382</v>
      </c>
    </row>
    <row r="6" spans="1:1">
      <c r="A6" s="85" t="s">
        <v>383</v>
      </c>
    </row>
    <row r="7" spans="1:1">
      <c r="A7" s="85" t="s">
        <v>384</v>
      </c>
    </row>
    <row r="8" spans="1:1">
      <c r="A8" s="85" t="s">
        <v>385</v>
      </c>
    </row>
    <row r="9" spans="1:1">
      <c r="A9" s="85" t="s">
        <v>386</v>
      </c>
    </row>
    <row r="10" spans="1:1">
      <c r="A10" s="85" t="s">
        <v>387</v>
      </c>
    </row>
    <row r="11" spans="1:1">
      <c r="A11" s="85" t="s">
        <v>388</v>
      </c>
    </row>
    <row r="12" spans="1:1">
      <c r="A12" s="85" t="s">
        <v>389</v>
      </c>
    </row>
    <row r="13" spans="1:1">
      <c r="A13" s="85" t="s">
        <v>390</v>
      </c>
    </row>
    <row r="16" spans="1:1">
      <c r="A16" s="87" t="s">
        <v>391</v>
      </c>
    </row>
    <row r="17" spans="1:2">
      <c r="A17" s="85" t="s">
        <v>118</v>
      </c>
      <c r="B17" s="85" t="s">
        <v>392</v>
      </c>
    </row>
    <row r="18" spans="1:2">
      <c r="A18" s="85" t="s">
        <v>393</v>
      </c>
      <c r="B18" s="85" t="s">
        <v>394</v>
      </c>
    </row>
    <row r="19" spans="1:2">
      <c r="A19" s="85" t="s">
        <v>122</v>
      </c>
      <c r="B19" s="85" t="s">
        <v>395</v>
      </c>
    </row>
    <row r="20" spans="1:2">
      <c r="A20" s="85" t="s">
        <v>396</v>
      </c>
      <c r="B20" s="85" t="s">
        <v>397</v>
      </c>
    </row>
    <row r="21" spans="1:2">
      <c r="A21" s="85" t="s">
        <v>398</v>
      </c>
      <c r="B21" s="85" t="s">
        <v>399</v>
      </c>
    </row>
    <row r="22" spans="1:2">
      <c r="A22" s="85" t="s">
        <v>121</v>
      </c>
      <c r="B22" s="85" t="s">
        <v>400</v>
      </c>
    </row>
    <row r="23" spans="1:2">
      <c r="A23" s="85" t="s">
        <v>401</v>
      </c>
      <c r="B23" s="85" t="s">
        <v>402</v>
      </c>
    </row>
    <row r="24" spans="1:2">
      <c r="A24" s="85" t="s">
        <v>403</v>
      </c>
      <c r="B24" s="85" t="s">
        <v>404</v>
      </c>
    </row>
    <row r="25" spans="1:2">
      <c r="A25" s="85" t="s">
        <v>405</v>
      </c>
      <c r="B25" s="85" t="s">
        <v>406</v>
      </c>
    </row>
    <row r="26" spans="1:2">
      <c r="A26" s="85" t="s">
        <v>407</v>
      </c>
      <c r="B26" s="85" t="s">
        <v>408</v>
      </c>
    </row>
    <row r="27" spans="1:2">
      <c r="A27" s="85" t="s">
        <v>248</v>
      </c>
      <c r="B27" s="85" t="s">
        <v>409</v>
      </c>
    </row>
    <row r="28" spans="1:2">
      <c r="A28" s="85" t="s">
        <v>23</v>
      </c>
      <c r="B28" s="85" t="s">
        <v>410</v>
      </c>
    </row>
    <row r="29" spans="1:2">
      <c r="A29" s="85" t="s">
        <v>411</v>
      </c>
      <c r="B29" s="85" t="s">
        <v>412</v>
      </c>
    </row>
    <row r="30" spans="1:2">
      <c r="A30" s="85" t="s">
        <v>413</v>
      </c>
      <c r="B30" s="85" t="s">
        <v>414</v>
      </c>
    </row>
    <row r="31" spans="1:2">
      <c r="A31" s="85" t="s">
        <v>415</v>
      </c>
      <c r="B31" s="85" t="s">
        <v>416</v>
      </c>
    </row>
    <row r="32" spans="1:2">
      <c r="A32" s="85" t="s">
        <v>417</v>
      </c>
      <c r="B32" s="85" t="s">
        <v>418</v>
      </c>
    </row>
    <row r="33" spans="1:2">
      <c r="A33" s="85" t="s">
        <v>419</v>
      </c>
      <c r="B33" s="85" t="s">
        <v>420</v>
      </c>
    </row>
  </sheetData>
  <pageMargins left="0.5" right="0.5" top="0.5" bottom="0.5" header="0.5" footer="0.5"/>
  <pageSetup scale="34"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81"/>
  <dimension ref="A1:AF115"/>
  <sheetViews>
    <sheetView showGridLines="0" zoomScale="80" zoomScaleNormal="80" workbookViewId="0">
      <pane xSplit="2" topLeftCell="C1" activePane="topRight" state="frozen"/>
      <selection pane="topRight" activeCell="AH12" sqref="AH12"/>
    </sheetView>
  </sheetViews>
  <sheetFormatPr defaultRowHeight="12.75"/>
  <cols>
    <col min="1" max="1" width="9.140625" style="1"/>
    <col min="2" max="2" width="34" style="3" bestFit="1" customWidth="1"/>
    <col min="3" max="3" width="5.7109375" style="1" bestFit="1" customWidth="1"/>
    <col min="4" max="4" width="6.7109375" style="1" bestFit="1" customWidth="1"/>
    <col min="5" max="5" width="24.7109375" style="3" bestFit="1" customWidth="1"/>
    <col min="6" max="6" width="40" style="3" bestFit="1" customWidth="1"/>
    <col min="7" max="7" width="29" style="3" customWidth="1"/>
    <col min="8" max="12" width="9.140625" style="1"/>
    <col min="13" max="13" width="11.28515625" style="1" bestFit="1" customWidth="1"/>
    <col min="14" max="14" width="9.140625" style="1"/>
    <col min="15" max="15" width="9.140625" style="5"/>
    <col min="16" max="16" width="43.140625" style="5" bestFit="1" customWidth="1"/>
    <col min="17" max="17" width="12.5703125" style="1" bestFit="1" customWidth="1"/>
    <col min="18" max="18" width="12.140625" style="1" customWidth="1"/>
    <col min="19" max="19" width="20.42578125" style="1" bestFit="1" customWidth="1"/>
    <col min="20" max="20" width="12" style="1" bestFit="1" customWidth="1"/>
    <col min="21" max="21" width="16.85546875" style="1" bestFit="1" customWidth="1"/>
    <col min="22" max="22" width="9.140625" style="1"/>
    <col min="23" max="24" width="7.140625" style="1" bestFit="1" customWidth="1"/>
    <col min="25" max="25" width="7.42578125" style="1" bestFit="1" customWidth="1"/>
    <col min="26" max="26" width="8.28515625" style="1" bestFit="1" customWidth="1"/>
    <col min="27" max="27" width="12.7109375" style="1" bestFit="1" customWidth="1"/>
    <col min="28" max="28" width="9.85546875" style="1" bestFit="1" customWidth="1"/>
    <col min="29" max="29" width="10" style="1" bestFit="1" customWidth="1"/>
    <col min="30" max="30" width="7.140625" style="1" bestFit="1" customWidth="1"/>
    <col min="31" max="31" width="16.7109375" style="1" bestFit="1" customWidth="1"/>
    <col min="32" max="32" width="12" style="1" bestFit="1" customWidth="1"/>
    <col min="33" max="35" width="9.140625" style="1" customWidth="1"/>
    <col min="36" max="16384" width="9.140625" style="1"/>
  </cols>
  <sheetData>
    <row r="1" spans="1:32">
      <c r="H1" s="292" t="s">
        <v>421</v>
      </c>
      <c r="I1" s="293"/>
      <c r="J1" s="293"/>
      <c r="K1" s="293"/>
      <c r="L1" s="293"/>
      <c r="M1" s="293"/>
      <c r="N1" s="293"/>
      <c r="O1" s="295" t="s">
        <v>422</v>
      </c>
      <c r="P1" s="296"/>
      <c r="Q1" s="292" t="s">
        <v>423</v>
      </c>
      <c r="R1" s="293"/>
      <c r="S1" s="293"/>
      <c r="T1" s="293"/>
      <c r="U1" s="294"/>
      <c r="V1" s="293" t="s">
        <v>424</v>
      </c>
      <c r="W1" s="293"/>
      <c r="X1" s="293"/>
      <c r="Y1" s="293"/>
      <c r="Z1" s="293"/>
      <c r="AA1" s="293"/>
      <c r="AB1" s="293"/>
      <c r="AC1" s="292" t="s">
        <v>425</v>
      </c>
      <c r="AD1" s="293"/>
      <c r="AE1" s="293"/>
      <c r="AF1" s="293"/>
    </row>
    <row r="2" spans="1:32">
      <c r="H2" s="255"/>
      <c r="I2" s="256"/>
      <c r="J2" s="256"/>
      <c r="K2" s="256"/>
      <c r="L2" s="256"/>
      <c r="M2" s="256"/>
      <c r="N2" s="256"/>
      <c r="O2" s="17"/>
      <c r="Q2" s="255"/>
      <c r="R2" s="256"/>
      <c r="S2" s="256"/>
      <c r="T2" s="256"/>
      <c r="U2" s="257"/>
      <c r="V2" s="256"/>
      <c r="W2" s="256"/>
      <c r="X2" s="256"/>
      <c r="Y2" s="256"/>
      <c r="Z2" s="256"/>
      <c r="AA2" s="256"/>
      <c r="AB2" s="256"/>
      <c r="AC2" s="9"/>
    </row>
    <row r="3" spans="1:32">
      <c r="H3" s="7" t="s">
        <v>426</v>
      </c>
      <c r="I3" s="2" t="s">
        <v>427</v>
      </c>
      <c r="J3" s="2" t="s">
        <v>428</v>
      </c>
      <c r="K3" s="2" t="s">
        <v>429</v>
      </c>
      <c r="L3" s="2" t="s">
        <v>430</v>
      </c>
      <c r="M3" s="2" t="s">
        <v>431</v>
      </c>
      <c r="O3" s="18" t="s">
        <v>432</v>
      </c>
      <c r="P3" s="15"/>
      <c r="Q3" s="7" t="s">
        <v>433</v>
      </c>
      <c r="S3" s="2" t="s">
        <v>434</v>
      </c>
      <c r="T3" s="2" t="s">
        <v>435</v>
      </c>
      <c r="U3" s="23" t="s">
        <v>436</v>
      </c>
      <c r="W3" s="2"/>
      <c r="X3" s="2" t="s">
        <v>437</v>
      </c>
      <c r="Y3" s="2" t="s">
        <v>438</v>
      </c>
      <c r="Z3" s="2" t="s">
        <v>429</v>
      </c>
      <c r="AA3" s="2" t="s">
        <v>439</v>
      </c>
      <c r="AB3" s="2" t="s">
        <v>440</v>
      </c>
      <c r="AC3" s="7" t="s">
        <v>441</v>
      </c>
      <c r="AD3" s="2" t="s">
        <v>442</v>
      </c>
      <c r="AE3" s="2" t="s">
        <v>443</v>
      </c>
      <c r="AF3" s="2" t="s">
        <v>444</v>
      </c>
    </row>
    <row r="4" spans="1:32" ht="15">
      <c r="H4" s="7" t="s">
        <v>445</v>
      </c>
      <c r="I4" s="2" t="s">
        <v>446</v>
      </c>
      <c r="J4" s="2" t="s">
        <v>446</v>
      </c>
      <c r="K4" s="2" t="s">
        <v>446</v>
      </c>
      <c r="L4" s="2" t="s">
        <v>447</v>
      </c>
      <c r="M4" s="2" t="s">
        <v>447</v>
      </c>
      <c r="N4" s="2" t="s">
        <v>448</v>
      </c>
      <c r="O4" s="18" t="s">
        <v>449</v>
      </c>
      <c r="P4" s="15" t="s">
        <v>450</v>
      </c>
      <c r="Q4" s="7" t="s">
        <v>145</v>
      </c>
      <c r="R4" s="2" t="s">
        <v>451</v>
      </c>
      <c r="S4" s="2" t="s">
        <v>452</v>
      </c>
      <c r="T4" s="2" t="s">
        <v>453</v>
      </c>
      <c r="U4" s="23" t="s">
        <v>454</v>
      </c>
      <c r="W4" s="2" t="s">
        <v>445</v>
      </c>
      <c r="X4" s="2" t="s">
        <v>446</v>
      </c>
      <c r="Y4" s="2" t="s">
        <v>446</v>
      </c>
      <c r="Z4" s="2" t="s">
        <v>446</v>
      </c>
      <c r="AA4" s="2" t="s">
        <v>455</v>
      </c>
      <c r="AB4" s="2" t="s">
        <v>166</v>
      </c>
      <c r="AC4" s="7" t="s">
        <v>456</v>
      </c>
      <c r="AD4" s="2" t="s">
        <v>457</v>
      </c>
      <c r="AE4" s="2" t="s">
        <v>458</v>
      </c>
      <c r="AF4" s="2" t="s">
        <v>459</v>
      </c>
    </row>
    <row r="5" spans="1:32" ht="15.75">
      <c r="H5" s="20" t="s">
        <v>460</v>
      </c>
      <c r="I5" s="21" t="s">
        <v>461</v>
      </c>
      <c r="J5" s="21" t="s">
        <v>462</v>
      </c>
      <c r="K5" s="21" t="s">
        <v>463</v>
      </c>
      <c r="L5" s="21" t="s">
        <v>464</v>
      </c>
      <c r="M5" s="21" t="s">
        <v>465</v>
      </c>
      <c r="N5" s="21" t="s">
        <v>175</v>
      </c>
      <c r="O5" s="22" t="s">
        <v>466</v>
      </c>
      <c r="P5" s="15"/>
      <c r="Q5" s="20" t="s">
        <v>176</v>
      </c>
      <c r="R5" s="21" t="s">
        <v>177</v>
      </c>
      <c r="S5" s="21" t="s">
        <v>467</v>
      </c>
      <c r="T5" s="21" t="s">
        <v>468</v>
      </c>
      <c r="U5" s="26" t="s">
        <v>469</v>
      </c>
      <c r="W5" s="2" t="s">
        <v>470</v>
      </c>
      <c r="X5" s="2" t="s">
        <v>471</v>
      </c>
      <c r="Y5" s="2" t="s">
        <v>472</v>
      </c>
      <c r="Z5" s="2" t="s">
        <v>473</v>
      </c>
      <c r="AA5" s="2" t="s">
        <v>186</v>
      </c>
      <c r="AB5" s="2" t="s">
        <v>474</v>
      </c>
      <c r="AC5" s="7" t="s">
        <v>475</v>
      </c>
      <c r="AD5" s="2" t="s">
        <v>475</v>
      </c>
      <c r="AE5" s="2" t="s">
        <v>475</v>
      </c>
      <c r="AF5" s="2" t="s">
        <v>475</v>
      </c>
    </row>
    <row r="6" spans="1:32">
      <c r="C6" s="9"/>
      <c r="H6" s="7"/>
      <c r="I6" s="2"/>
      <c r="J6" s="2"/>
      <c r="K6" s="2"/>
      <c r="L6" s="2"/>
      <c r="M6" s="2"/>
      <c r="O6" s="17"/>
      <c r="Q6" s="9"/>
      <c r="U6" s="24"/>
      <c r="V6" s="2" t="s">
        <v>476</v>
      </c>
      <c r="AC6" s="9"/>
    </row>
    <row r="7" spans="1:32" ht="15" thickBot="1">
      <c r="A7" s="10"/>
      <c r="B7" s="11" t="s">
        <v>477</v>
      </c>
      <c r="C7" s="12" t="s">
        <v>478</v>
      </c>
      <c r="D7" s="11" t="s">
        <v>479</v>
      </c>
      <c r="E7" s="11" t="s">
        <v>6</v>
      </c>
      <c r="F7" s="11" t="s">
        <v>480</v>
      </c>
      <c r="G7" s="11" t="s">
        <v>110</v>
      </c>
      <c r="H7" s="13" t="s">
        <v>23</v>
      </c>
      <c r="I7" s="14" t="s">
        <v>23</v>
      </c>
      <c r="J7" s="14" t="s">
        <v>23</v>
      </c>
      <c r="K7" s="14" t="s">
        <v>23</v>
      </c>
      <c r="L7" s="14" t="s">
        <v>481</v>
      </c>
      <c r="M7" s="14" t="s">
        <v>481</v>
      </c>
      <c r="N7" s="14" t="s">
        <v>23</v>
      </c>
      <c r="O7" s="19" t="s">
        <v>482</v>
      </c>
      <c r="P7" s="16"/>
      <c r="Q7" s="13" t="s">
        <v>483</v>
      </c>
      <c r="R7" s="14" t="s">
        <v>484</v>
      </c>
      <c r="S7" s="14" t="s">
        <v>483</v>
      </c>
      <c r="T7" s="14" t="s">
        <v>23</v>
      </c>
      <c r="U7" s="25" t="s">
        <v>485</v>
      </c>
      <c r="V7" s="14" t="s">
        <v>486</v>
      </c>
      <c r="W7" s="14" t="s">
        <v>23</v>
      </c>
      <c r="X7" s="14" t="s">
        <v>23</v>
      </c>
      <c r="Y7" s="14" t="s">
        <v>23</v>
      </c>
      <c r="Z7" s="14" t="s">
        <v>23</v>
      </c>
      <c r="AA7" s="14" t="s">
        <v>481</v>
      </c>
      <c r="AB7" s="14" t="s">
        <v>483</v>
      </c>
      <c r="AC7" s="13" t="s">
        <v>487</v>
      </c>
      <c r="AD7" s="14" t="s">
        <v>487</v>
      </c>
      <c r="AE7" s="14" t="s">
        <v>487</v>
      </c>
      <c r="AF7" s="14" t="s">
        <v>487</v>
      </c>
    </row>
    <row r="8" spans="1:32" ht="13.5" thickTop="1">
      <c r="A8" s="1">
        <v>1</v>
      </c>
      <c r="B8" s="3" t="s">
        <v>488</v>
      </c>
      <c r="C8" s="9">
        <v>1920</v>
      </c>
      <c r="D8" s="1">
        <v>1923</v>
      </c>
      <c r="E8" s="6" t="s">
        <v>15</v>
      </c>
      <c r="F8" s="6" t="s">
        <v>489</v>
      </c>
      <c r="G8" s="6" t="s">
        <v>239</v>
      </c>
      <c r="H8" s="17">
        <v>34.14</v>
      </c>
      <c r="I8" s="5">
        <v>4.88</v>
      </c>
      <c r="J8" s="5">
        <v>160</v>
      </c>
      <c r="K8" s="5">
        <v>82.4</v>
      </c>
      <c r="L8" s="15">
        <v>3</v>
      </c>
      <c r="M8" s="5">
        <v>2</v>
      </c>
      <c r="N8" s="5"/>
      <c r="O8" s="59">
        <v>6850</v>
      </c>
      <c r="P8" s="5" t="s">
        <v>237</v>
      </c>
      <c r="Q8" s="30">
        <v>22500000</v>
      </c>
      <c r="R8" s="31">
        <v>259000</v>
      </c>
      <c r="S8" s="31">
        <v>22200000</v>
      </c>
      <c r="T8" s="56">
        <v>28</v>
      </c>
      <c r="U8" s="62">
        <v>622000000</v>
      </c>
      <c r="V8" s="2" t="s">
        <v>238</v>
      </c>
      <c r="W8" s="56">
        <v>31.1</v>
      </c>
      <c r="X8" s="56">
        <v>91.5</v>
      </c>
      <c r="Y8" s="56">
        <v>81.5</v>
      </c>
      <c r="Z8" s="56">
        <v>93</v>
      </c>
      <c r="AA8" s="56">
        <v>0.44</v>
      </c>
      <c r="AB8" s="31">
        <v>238000</v>
      </c>
      <c r="AC8" s="27">
        <v>0.75</v>
      </c>
      <c r="AD8" s="28">
        <v>2.5</v>
      </c>
      <c r="AE8" s="28">
        <v>2.5</v>
      </c>
      <c r="AF8" s="28"/>
    </row>
    <row r="9" spans="1:32">
      <c r="A9" s="1">
        <v>2</v>
      </c>
      <c r="B9" s="3" t="s">
        <v>490</v>
      </c>
      <c r="C9" s="9">
        <v>1951</v>
      </c>
      <c r="D9" s="1">
        <v>1963</v>
      </c>
      <c r="E9" s="6" t="s">
        <v>15</v>
      </c>
      <c r="F9" s="3" t="s">
        <v>241</v>
      </c>
      <c r="G9" s="6" t="s">
        <v>243</v>
      </c>
      <c r="H9" s="17">
        <v>71</v>
      </c>
      <c r="I9" s="5">
        <v>19.2</v>
      </c>
      <c r="J9" s="5">
        <v>100</v>
      </c>
      <c r="K9" s="5">
        <v>59.6</v>
      </c>
      <c r="L9" s="5">
        <v>2</v>
      </c>
      <c r="M9" s="5">
        <v>1.8</v>
      </c>
      <c r="N9" s="5">
        <v>198</v>
      </c>
      <c r="O9" s="59">
        <v>1130</v>
      </c>
      <c r="P9" s="5" t="s">
        <v>237</v>
      </c>
      <c r="Q9" s="30">
        <v>1100000</v>
      </c>
      <c r="R9" s="31">
        <v>76900</v>
      </c>
      <c r="S9" s="31">
        <v>910000</v>
      </c>
      <c r="T9" s="56">
        <v>12.2</v>
      </c>
      <c r="U9" s="62">
        <v>11100000</v>
      </c>
      <c r="V9" s="2" t="s">
        <v>242</v>
      </c>
      <c r="W9" s="56">
        <v>21.3</v>
      </c>
      <c r="X9" s="56"/>
      <c r="Y9" s="56"/>
      <c r="Z9" s="56">
        <v>25</v>
      </c>
      <c r="AA9" s="56">
        <v>0.31</v>
      </c>
      <c r="AB9" s="31">
        <v>31700</v>
      </c>
      <c r="AC9" s="27">
        <v>0.33</v>
      </c>
      <c r="AD9" s="28">
        <v>1.3</v>
      </c>
      <c r="AE9" s="28">
        <v>1.3</v>
      </c>
      <c r="AF9" s="28"/>
    </row>
    <row r="10" spans="1:32">
      <c r="A10" s="1">
        <v>3</v>
      </c>
      <c r="B10" s="6" t="s">
        <v>491</v>
      </c>
      <c r="C10" s="9">
        <v>1963</v>
      </c>
      <c r="D10" s="1">
        <v>1976</v>
      </c>
      <c r="E10" s="6" t="s">
        <v>245</v>
      </c>
      <c r="F10" s="3" t="s">
        <v>241</v>
      </c>
      <c r="G10" s="6" t="s">
        <v>246</v>
      </c>
      <c r="H10" s="17"/>
      <c r="I10" s="5">
        <v>3.1</v>
      </c>
      <c r="J10" s="5"/>
      <c r="K10" s="5">
        <v>14</v>
      </c>
      <c r="L10" s="5"/>
      <c r="M10" s="5"/>
      <c r="N10" s="5"/>
      <c r="O10" s="59"/>
      <c r="Q10" s="30"/>
      <c r="R10" s="31"/>
      <c r="S10" s="31">
        <v>49300</v>
      </c>
      <c r="T10" s="56">
        <v>5.79</v>
      </c>
      <c r="U10" s="62">
        <v>285000</v>
      </c>
      <c r="W10" s="56">
        <v>6.4</v>
      </c>
      <c r="X10" s="56"/>
      <c r="Y10" s="56"/>
      <c r="Z10" s="56">
        <v>12.2</v>
      </c>
      <c r="AA10" s="56">
        <v>1.43</v>
      </c>
      <c r="AB10" s="31">
        <v>1090</v>
      </c>
      <c r="AC10" s="27"/>
      <c r="AD10" s="28"/>
      <c r="AE10" s="28"/>
      <c r="AF10" s="28"/>
    </row>
    <row r="11" spans="1:32">
      <c r="A11" s="1">
        <v>4</v>
      </c>
      <c r="B11" s="6" t="s">
        <v>492</v>
      </c>
      <c r="C11" s="9">
        <v>1863</v>
      </c>
      <c r="D11" s="1">
        <v>1864</v>
      </c>
      <c r="E11" s="6" t="s">
        <v>15</v>
      </c>
      <c r="F11" s="6" t="s">
        <v>493</v>
      </c>
      <c r="G11" s="6" t="s">
        <v>494</v>
      </c>
      <c r="H11" s="17">
        <v>28.96</v>
      </c>
      <c r="I11" s="5"/>
      <c r="J11" s="5"/>
      <c r="K11" s="5">
        <v>50</v>
      </c>
      <c r="L11" s="5"/>
      <c r="M11" s="5"/>
      <c r="N11" s="5">
        <v>382</v>
      </c>
      <c r="O11" s="59">
        <v>1150</v>
      </c>
      <c r="P11" s="5" t="s">
        <v>275</v>
      </c>
      <c r="Q11" s="30">
        <v>3200000</v>
      </c>
      <c r="R11" s="31"/>
      <c r="S11" s="31"/>
      <c r="T11" s="56"/>
      <c r="U11" s="62"/>
      <c r="W11" s="56"/>
      <c r="X11" s="56"/>
      <c r="Y11" s="56"/>
      <c r="Z11" s="56"/>
      <c r="AA11" s="56"/>
      <c r="AB11" s="31"/>
      <c r="AC11" s="27"/>
      <c r="AD11" s="29" t="s">
        <v>495</v>
      </c>
      <c r="AE11" s="28"/>
      <c r="AF11" s="28">
        <v>0.75</v>
      </c>
    </row>
    <row r="12" spans="1:32">
      <c r="A12" s="1">
        <v>5</v>
      </c>
      <c r="B12" s="6" t="s">
        <v>496</v>
      </c>
      <c r="C12" s="9">
        <v>1877</v>
      </c>
      <c r="D12" s="1">
        <v>1902</v>
      </c>
      <c r="E12" s="6"/>
      <c r="G12" s="6" t="s">
        <v>403</v>
      </c>
      <c r="H12" s="17">
        <v>7</v>
      </c>
      <c r="I12" s="5"/>
      <c r="J12" s="5"/>
      <c r="K12" s="5">
        <v>86</v>
      </c>
      <c r="L12" s="5"/>
      <c r="M12" s="5"/>
      <c r="N12" s="5"/>
      <c r="O12" s="59">
        <v>9.1999999999999993</v>
      </c>
      <c r="P12" s="5" t="s">
        <v>275</v>
      </c>
      <c r="Q12" s="30">
        <v>49000</v>
      </c>
      <c r="R12" s="31"/>
      <c r="S12" s="31"/>
      <c r="T12" s="56"/>
      <c r="U12" s="62"/>
      <c r="W12" s="56">
        <v>7</v>
      </c>
      <c r="X12" s="56"/>
      <c r="Y12" s="56"/>
      <c r="Z12" s="56">
        <v>30.5</v>
      </c>
      <c r="AA12" s="56"/>
      <c r="AB12" s="31"/>
      <c r="AC12" s="27"/>
      <c r="AD12" s="28">
        <v>3</v>
      </c>
      <c r="AE12" s="28"/>
      <c r="AF12" s="28"/>
    </row>
    <row r="13" spans="1:32">
      <c r="A13" s="32">
        <v>6</v>
      </c>
      <c r="B13" s="33" t="s">
        <v>247</v>
      </c>
      <c r="C13" s="34"/>
      <c r="D13" s="32"/>
      <c r="E13" s="33" t="s">
        <v>9</v>
      </c>
      <c r="F13" s="35"/>
      <c r="G13" s="33" t="s">
        <v>248</v>
      </c>
      <c r="H13" s="36"/>
      <c r="I13" s="37"/>
      <c r="J13" s="37"/>
      <c r="K13" s="37">
        <v>37</v>
      </c>
      <c r="L13" s="37"/>
      <c r="M13" s="37"/>
      <c r="N13" s="37"/>
      <c r="O13" s="60"/>
      <c r="P13" s="37"/>
      <c r="Q13" s="38"/>
      <c r="R13" s="39"/>
      <c r="S13" s="39">
        <v>24700</v>
      </c>
      <c r="T13" s="57">
        <v>6.1</v>
      </c>
      <c r="U13" s="63">
        <v>151000</v>
      </c>
      <c r="V13" s="32"/>
      <c r="W13" s="57">
        <v>6.1</v>
      </c>
      <c r="X13" s="57"/>
      <c r="Y13" s="57"/>
      <c r="Z13" s="57">
        <v>4.72</v>
      </c>
      <c r="AA13" s="57">
        <v>0.73</v>
      </c>
      <c r="AB13" s="39">
        <v>1070</v>
      </c>
      <c r="AC13" s="40"/>
      <c r="AD13" s="41"/>
      <c r="AE13" s="41"/>
      <c r="AF13" s="41"/>
    </row>
    <row r="14" spans="1:32">
      <c r="A14" s="1">
        <v>7</v>
      </c>
      <c r="B14" s="3" t="s">
        <v>497</v>
      </c>
      <c r="C14" s="9">
        <v>1972</v>
      </c>
      <c r="D14" s="1">
        <v>1972</v>
      </c>
      <c r="E14" s="6" t="s">
        <v>250</v>
      </c>
      <c r="F14" s="6" t="s">
        <v>498</v>
      </c>
      <c r="G14" s="6" t="s">
        <v>253</v>
      </c>
      <c r="H14" s="17">
        <v>14.02</v>
      </c>
      <c r="I14" s="5">
        <v>128</v>
      </c>
      <c r="J14" s="5"/>
      <c r="K14" s="5">
        <v>128</v>
      </c>
      <c r="L14" s="5">
        <v>1.6</v>
      </c>
      <c r="M14" s="5">
        <v>1.3</v>
      </c>
      <c r="N14" s="5"/>
      <c r="O14" s="59">
        <v>1420</v>
      </c>
      <c r="P14" s="15" t="s">
        <v>252</v>
      </c>
      <c r="Q14" s="30">
        <v>484000</v>
      </c>
      <c r="R14" s="31">
        <v>52600</v>
      </c>
      <c r="S14" s="31">
        <v>484000</v>
      </c>
      <c r="T14" s="56">
        <v>14.02</v>
      </c>
      <c r="U14" s="62">
        <v>6780000</v>
      </c>
      <c r="V14" s="2" t="s">
        <v>238</v>
      </c>
      <c r="W14" s="56">
        <v>14</v>
      </c>
      <c r="X14" s="56">
        <v>153</v>
      </c>
      <c r="Y14" s="56">
        <v>97</v>
      </c>
      <c r="Z14" s="56">
        <v>125</v>
      </c>
      <c r="AA14" s="56">
        <v>2</v>
      </c>
      <c r="AB14" s="31">
        <v>319000</v>
      </c>
      <c r="AC14" s="27"/>
      <c r="AD14" s="28">
        <v>0.5</v>
      </c>
      <c r="AE14" s="28">
        <v>0.5</v>
      </c>
      <c r="AF14" s="28"/>
    </row>
    <row r="15" spans="1:32">
      <c r="A15" s="1">
        <v>8</v>
      </c>
      <c r="B15" s="3" t="s">
        <v>254</v>
      </c>
      <c r="C15" s="9">
        <v>1971</v>
      </c>
      <c r="D15" s="1">
        <v>1971</v>
      </c>
      <c r="E15" s="6" t="s">
        <v>15</v>
      </c>
      <c r="F15" s="3" t="s">
        <v>241</v>
      </c>
      <c r="G15" s="6" t="s">
        <v>255</v>
      </c>
      <c r="H15" s="17">
        <v>5.79</v>
      </c>
      <c r="I15" s="5">
        <v>4.3</v>
      </c>
      <c r="J15" s="5"/>
      <c r="K15" s="5">
        <v>18.600000000000001</v>
      </c>
      <c r="L15" s="5">
        <v>2</v>
      </c>
      <c r="M15" s="5">
        <v>3</v>
      </c>
      <c r="N15" s="5"/>
      <c r="O15" s="59"/>
      <c r="Q15" s="30">
        <v>1130000</v>
      </c>
      <c r="R15" s="31"/>
      <c r="S15" s="31">
        <v>740000</v>
      </c>
      <c r="T15" s="56">
        <v>3.05</v>
      </c>
      <c r="U15" s="62">
        <v>2260000</v>
      </c>
      <c r="V15" s="2" t="s">
        <v>238</v>
      </c>
      <c r="W15" s="56">
        <v>5.79</v>
      </c>
      <c r="X15" s="56">
        <v>13.6</v>
      </c>
      <c r="Y15" s="56">
        <v>11</v>
      </c>
      <c r="Z15" s="56">
        <v>12.5</v>
      </c>
      <c r="AA15" s="56">
        <v>0.21</v>
      </c>
      <c r="AB15" s="31">
        <v>1350</v>
      </c>
      <c r="AC15" s="27"/>
      <c r="AD15" s="28"/>
      <c r="AE15" s="28"/>
      <c r="AF15" s="28"/>
    </row>
    <row r="16" spans="1:32">
      <c r="A16" s="1">
        <v>9</v>
      </c>
      <c r="B16" s="6" t="s">
        <v>256</v>
      </c>
      <c r="C16" s="9"/>
      <c r="D16" s="1">
        <v>1982</v>
      </c>
      <c r="E16" s="6" t="s">
        <v>9</v>
      </c>
      <c r="F16" s="3" t="s">
        <v>241</v>
      </c>
      <c r="G16" s="6" t="s">
        <v>258</v>
      </c>
      <c r="H16" s="17"/>
      <c r="I16" s="5"/>
      <c r="J16" s="5"/>
      <c r="K16" s="5">
        <v>9.6300000000000008</v>
      </c>
      <c r="L16" s="5"/>
      <c r="M16" s="5"/>
      <c r="N16" s="5"/>
      <c r="O16" s="59">
        <v>810</v>
      </c>
      <c r="P16" s="15" t="s">
        <v>499</v>
      </c>
      <c r="Q16" s="30"/>
      <c r="R16" s="31"/>
      <c r="S16" s="31">
        <v>2380000</v>
      </c>
      <c r="T16" s="56">
        <v>7.16</v>
      </c>
      <c r="U16" s="62">
        <v>17000000</v>
      </c>
      <c r="W16" s="56">
        <v>7.16</v>
      </c>
      <c r="X16" s="56"/>
      <c r="Y16" s="56"/>
      <c r="Z16" s="56">
        <v>62.5</v>
      </c>
      <c r="AA16" s="56">
        <v>0.85</v>
      </c>
      <c r="AB16" s="31">
        <v>4310</v>
      </c>
      <c r="AC16" s="27"/>
      <c r="AD16" s="28"/>
      <c r="AE16" s="28"/>
      <c r="AF16" s="28"/>
    </row>
    <row r="17" spans="1:32">
      <c r="A17" s="4">
        <v>10</v>
      </c>
      <c r="B17" s="42" t="s">
        <v>500</v>
      </c>
      <c r="C17" s="43">
        <v>1938</v>
      </c>
      <c r="D17" s="4">
        <v>1972</v>
      </c>
      <c r="E17" s="42" t="s">
        <v>9</v>
      </c>
      <c r="F17" s="44"/>
      <c r="G17" s="42" t="s">
        <v>494</v>
      </c>
      <c r="H17" s="45">
        <v>6.1</v>
      </c>
      <c r="I17" s="46"/>
      <c r="J17" s="46"/>
      <c r="K17" s="46"/>
      <c r="L17" s="46"/>
      <c r="M17" s="46"/>
      <c r="N17" s="46">
        <v>152</v>
      </c>
      <c r="O17" s="61"/>
      <c r="P17" s="46"/>
      <c r="Q17" s="47">
        <v>985000</v>
      </c>
      <c r="R17" s="48"/>
      <c r="S17" s="48"/>
      <c r="T17" s="58"/>
      <c r="U17" s="64"/>
      <c r="V17" s="4"/>
      <c r="W17" s="58"/>
      <c r="X17" s="58"/>
      <c r="Y17" s="58"/>
      <c r="Z17" s="58"/>
      <c r="AA17" s="58"/>
      <c r="AB17" s="48"/>
      <c r="AC17" s="49"/>
      <c r="AD17" s="50">
        <v>0.1</v>
      </c>
      <c r="AE17" s="50"/>
      <c r="AF17" s="50"/>
    </row>
    <row r="18" spans="1:32">
      <c r="A18" s="1">
        <v>11</v>
      </c>
      <c r="B18" s="3" t="s">
        <v>501</v>
      </c>
      <c r="C18" s="9">
        <v>1890</v>
      </c>
      <c r="D18" s="1">
        <v>1933</v>
      </c>
      <c r="E18" s="6" t="s">
        <v>9</v>
      </c>
      <c r="F18" s="6" t="s">
        <v>260</v>
      </c>
      <c r="G18" s="6" t="s">
        <v>261</v>
      </c>
      <c r="H18" s="17">
        <v>21.34</v>
      </c>
      <c r="I18" s="5">
        <v>4.9000000000000004</v>
      </c>
      <c r="J18" s="5"/>
      <c r="K18" s="5">
        <v>47.4</v>
      </c>
      <c r="L18" s="5">
        <v>3</v>
      </c>
      <c r="M18" s="5">
        <v>1</v>
      </c>
      <c r="N18" s="5"/>
      <c r="O18" s="59">
        <v>3570</v>
      </c>
      <c r="P18" s="15" t="s">
        <v>237</v>
      </c>
      <c r="Q18" s="30">
        <v>4230000</v>
      </c>
      <c r="R18" s="31">
        <v>809000</v>
      </c>
      <c r="S18" s="31">
        <v>6170000</v>
      </c>
      <c r="T18" s="56">
        <v>21.6</v>
      </c>
      <c r="U18" s="62">
        <v>133000000</v>
      </c>
      <c r="V18" s="2" t="s">
        <v>238</v>
      </c>
      <c r="W18" s="56">
        <v>21.3</v>
      </c>
      <c r="X18" s="56">
        <v>54.9</v>
      </c>
      <c r="Y18" s="56">
        <v>33.5</v>
      </c>
      <c r="Z18" s="56">
        <v>44.2</v>
      </c>
      <c r="AA18" s="56">
        <v>0.5</v>
      </c>
      <c r="AB18" s="31">
        <v>55700</v>
      </c>
      <c r="AC18" s="27">
        <v>0.5</v>
      </c>
      <c r="AD18" s="28"/>
      <c r="AE18" s="28">
        <v>0.33</v>
      </c>
      <c r="AF18" s="28"/>
    </row>
    <row r="19" spans="1:32">
      <c r="A19" s="1">
        <v>12</v>
      </c>
      <c r="B19" s="6" t="s">
        <v>262</v>
      </c>
      <c r="C19" s="9"/>
      <c r="E19" s="6" t="s">
        <v>263</v>
      </c>
      <c r="G19" s="6" t="s">
        <v>248</v>
      </c>
      <c r="H19" s="17"/>
      <c r="I19" s="5"/>
      <c r="J19" s="5"/>
      <c r="K19" s="5">
        <v>32</v>
      </c>
      <c r="L19" s="5"/>
      <c r="M19" s="5"/>
      <c r="N19" s="5"/>
      <c r="O19" s="59"/>
      <c r="Q19" s="30"/>
      <c r="R19" s="31"/>
      <c r="S19" s="31">
        <v>698000</v>
      </c>
      <c r="T19" s="56">
        <v>11.1</v>
      </c>
      <c r="U19" s="62">
        <v>7750000</v>
      </c>
      <c r="W19" s="56">
        <v>12.2</v>
      </c>
      <c r="X19" s="56"/>
      <c r="Y19" s="56"/>
      <c r="Z19" s="56">
        <v>35.1</v>
      </c>
      <c r="AA19" s="56">
        <v>1.38</v>
      </c>
      <c r="AB19" s="31">
        <v>13700</v>
      </c>
      <c r="AC19" s="27"/>
      <c r="AD19" s="28"/>
      <c r="AE19" s="28"/>
      <c r="AF19" s="28"/>
    </row>
    <row r="20" spans="1:32">
      <c r="A20" s="1">
        <v>13</v>
      </c>
      <c r="B20" s="3" t="s">
        <v>502</v>
      </c>
      <c r="C20" s="9">
        <v>1970</v>
      </c>
      <c r="D20" s="1">
        <v>1970</v>
      </c>
      <c r="E20" s="6" t="s">
        <v>9</v>
      </c>
      <c r="F20" s="6" t="s">
        <v>290</v>
      </c>
      <c r="G20" s="6" t="s">
        <v>276</v>
      </c>
      <c r="H20" s="17">
        <v>7.01</v>
      </c>
      <c r="I20" s="5">
        <v>4.3</v>
      </c>
      <c r="J20" s="5"/>
      <c r="K20" s="5"/>
      <c r="L20" s="5">
        <v>3</v>
      </c>
      <c r="M20" s="5">
        <v>2.5</v>
      </c>
      <c r="N20" s="5"/>
      <c r="O20" s="59"/>
      <c r="Q20" s="30">
        <v>69000</v>
      </c>
      <c r="R20" s="31"/>
      <c r="S20" s="31"/>
      <c r="T20" s="56"/>
      <c r="U20" s="62"/>
      <c r="W20" s="56"/>
      <c r="X20" s="56"/>
      <c r="Y20" s="56"/>
      <c r="Z20" s="56"/>
      <c r="AA20" s="56"/>
      <c r="AB20" s="31">
        <v>15500</v>
      </c>
      <c r="AC20" s="27"/>
      <c r="AD20" s="28">
        <v>5.5</v>
      </c>
      <c r="AE20" s="28">
        <v>5.5</v>
      </c>
      <c r="AF20" s="28"/>
    </row>
    <row r="21" spans="1:32">
      <c r="A21" s="1">
        <v>14</v>
      </c>
      <c r="B21" s="6" t="s">
        <v>503</v>
      </c>
      <c r="C21" s="9">
        <v>1965</v>
      </c>
      <c r="D21" s="1">
        <v>1994</v>
      </c>
      <c r="E21" s="6" t="s">
        <v>9</v>
      </c>
      <c r="F21" s="3" t="s">
        <v>241</v>
      </c>
      <c r="G21" s="6" t="s">
        <v>23</v>
      </c>
      <c r="H21" s="17"/>
      <c r="I21" s="5"/>
      <c r="J21" s="5"/>
      <c r="K21" s="5">
        <v>15</v>
      </c>
      <c r="L21" s="5"/>
      <c r="M21" s="5"/>
      <c r="N21" s="5"/>
      <c r="O21" s="59"/>
      <c r="Q21" s="30"/>
      <c r="R21" s="31"/>
      <c r="S21" s="31">
        <v>466000</v>
      </c>
      <c r="T21" s="56">
        <v>4.05</v>
      </c>
      <c r="U21" s="62">
        <v>1890000</v>
      </c>
      <c r="W21" s="56">
        <v>3.78</v>
      </c>
      <c r="X21" s="56"/>
      <c r="Y21" s="56"/>
      <c r="Z21" s="56">
        <v>22.8</v>
      </c>
      <c r="AA21" s="56">
        <v>1.03</v>
      </c>
      <c r="AB21" s="31">
        <v>1290</v>
      </c>
      <c r="AC21" s="27"/>
      <c r="AD21" s="28"/>
      <c r="AE21" s="28"/>
      <c r="AF21" s="28"/>
    </row>
    <row r="22" spans="1:32">
      <c r="A22" s="1">
        <v>15</v>
      </c>
      <c r="B22" s="6" t="s">
        <v>265</v>
      </c>
      <c r="C22" s="9">
        <v>1924</v>
      </c>
      <c r="D22" s="1">
        <v>1925</v>
      </c>
      <c r="E22" s="6" t="s">
        <v>9</v>
      </c>
      <c r="F22" s="6" t="s">
        <v>266</v>
      </c>
      <c r="G22" s="6" t="s">
        <v>268</v>
      </c>
      <c r="H22" s="17">
        <v>10.97</v>
      </c>
      <c r="I22" s="5">
        <v>3.1</v>
      </c>
      <c r="J22" s="5"/>
      <c r="K22" s="5"/>
      <c r="L22" s="5"/>
      <c r="M22" s="5"/>
      <c r="N22" s="5">
        <v>262</v>
      </c>
      <c r="O22" s="59"/>
      <c r="Q22" s="30">
        <v>310000</v>
      </c>
      <c r="R22" s="31"/>
      <c r="S22" s="31">
        <v>311000</v>
      </c>
      <c r="T22" s="56">
        <v>11</v>
      </c>
      <c r="U22" s="62">
        <v>3420000</v>
      </c>
      <c r="W22" s="56">
        <v>11</v>
      </c>
      <c r="X22" s="56">
        <v>67</v>
      </c>
      <c r="Y22" s="56">
        <v>18.2</v>
      </c>
      <c r="Z22" s="56">
        <v>42.7</v>
      </c>
      <c r="AA22" s="56">
        <v>2.2200000000000002</v>
      </c>
      <c r="AB22" s="31"/>
      <c r="AC22" s="27">
        <v>0.25</v>
      </c>
      <c r="AD22" s="29" t="s">
        <v>267</v>
      </c>
      <c r="AE22" s="28"/>
      <c r="AF22" s="29" t="s">
        <v>267</v>
      </c>
    </row>
    <row r="23" spans="1:32">
      <c r="A23" s="32">
        <v>16</v>
      </c>
      <c r="B23" s="51" t="s">
        <v>504</v>
      </c>
      <c r="C23" s="34"/>
      <c r="D23" s="32"/>
      <c r="E23" s="33" t="s">
        <v>9</v>
      </c>
      <c r="F23" s="35"/>
      <c r="G23" s="33" t="s">
        <v>248</v>
      </c>
      <c r="H23" s="36"/>
      <c r="I23" s="37"/>
      <c r="J23" s="37"/>
      <c r="K23" s="37">
        <v>21.7</v>
      </c>
      <c r="L23" s="37"/>
      <c r="M23" s="37"/>
      <c r="N23" s="37"/>
      <c r="O23" s="60"/>
      <c r="P23" s="37"/>
      <c r="Q23" s="38"/>
      <c r="R23" s="39"/>
      <c r="S23" s="39">
        <v>29800</v>
      </c>
      <c r="T23" s="57">
        <v>11.1</v>
      </c>
      <c r="U23" s="63">
        <v>331000</v>
      </c>
      <c r="V23" s="32"/>
      <c r="W23" s="57">
        <v>10.4</v>
      </c>
      <c r="X23" s="57"/>
      <c r="Y23" s="57"/>
      <c r="Z23" s="57"/>
      <c r="AA23" s="57"/>
      <c r="AB23" s="39"/>
      <c r="AC23" s="40"/>
      <c r="AD23" s="41"/>
      <c r="AE23" s="41"/>
      <c r="AF23" s="41"/>
    </row>
    <row r="24" spans="1:32">
      <c r="A24" s="1">
        <v>17</v>
      </c>
      <c r="B24" s="52" t="s">
        <v>505</v>
      </c>
      <c r="C24" s="9">
        <v>1914</v>
      </c>
      <c r="D24" s="1">
        <v>1914</v>
      </c>
      <c r="E24" s="6" t="s">
        <v>15</v>
      </c>
      <c r="F24" s="6" t="s">
        <v>506</v>
      </c>
      <c r="G24" s="6" t="s">
        <v>507</v>
      </c>
      <c r="H24" s="17">
        <v>11.89</v>
      </c>
      <c r="I24" s="5">
        <v>6.1</v>
      </c>
      <c r="J24" s="5"/>
      <c r="K24" s="5"/>
      <c r="L24" s="5">
        <v>2</v>
      </c>
      <c r="M24" s="5">
        <v>2</v>
      </c>
      <c r="N24" s="5"/>
      <c r="O24" s="59">
        <v>510</v>
      </c>
      <c r="P24" s="5" t="s">
        <v>275</v>
      </c>
      <c r="Q24" s="30">
        <v>58000000</v>
      </c>
      <c r="R24" s="31">
        <v>12900000</v>
      </c>
      <c r="S24" s="31">
        <v>58000000</v>
      </c>
      <c r="T24" s="56">
        <v>11.58</v>
      </c>
      <c r="U24" s="62">
        <v>671000000</v>
      </c>
      <c r="V24" s="2" t="s">
        <v>238</v>
      </c>
      <c r="W24" s="56">
        <v>11.9</v>
      </c>
      <c r="X24" s="56">
        <v>21.3</v>
      </c>
      <c r="Y24" s="56"/>
      <c r="Z24" s="56"/>
      <c r="AA24" s="56">
        <v>0.25</v>
      </c>
      <c r="AB24" s="31">
        <v>6470</v>
      </c>
      <c r="AC24" s="27"/>
      <c r="AD24" s="28"/>
      <c r="AE24" s="28">
        <v>7</v>
      </c>
      <c r="AF24" s="28"/>
    </row>
    <row r="25" spans="1:32">
      <c r="A25" s="1">
        <v>18</v>
      </c>
      <c r="B25" s="53" t="s">
        <v>508</v>
      </c>
      <c r="C25" s="9"/>
      <c r="D25" s="1">
        <v>1983</v>
      </c>
      <c r="E25" s="6"/>
      <c r="F25" s="6" t="s">
        <v>8</v>
      </c>
      <c r="G25" s="6" t="s">
        <v>401</v>
      </c>
      <c r="H25" s="17">
        <v>8.8000000000000007</v>
      </c>
      <c r="I25" s="5"/>
      <c r="J25" s="5"/>
      <c r="K25" s="5"/>
      <c r="L25" s="5"/>
      <c r="M25" s="5"/>
      <c r="N25" s="5"/>
      <c r="O25" s="59">
        <v>793</v>
      </c>
      <c r="P25" s="15" t="s">
        <v>509</v>
      </c>
      <c r="Q25" s="30">
        <v>19700000</v>
      </c>
      <c r="R25" s="31"/>
      <c r="S25" s="31">
        <v>19700000</v>
      </c>
      <c r="T25" s="56"/>
      <c r="U25" s="62"/>
      <c r="W25" s="56"/>
      <c r="X25" s="56"/>
      <c r="Y25" s="56"/>
      <c r="Z25" s="56"/>
      <c r="AA25" s="56"/>
      <c r="AB25" s="31"/>
      <c r="AC25" s="27"/>
      <c r="AD25" s="28"/>
      <c r="AE25" s="28"/>
      <c r="AF25" s="28"/>
    </row>
    <row r="26" spans="1:32">
      <c r="A26" s="1">
        <v>19</v>
      </c>
      <c r="B26" s="53" t="s">
        <v>269</v>
      </c>
      <c r="C26" s="9"/>
      <c r="E26" s="6" t="s">
        <v>15</v>
      </c>
      <c r="G26" s="6" t="s">
        <v>248</v>
      </c>
      <c r="H26" s="17"/>
      <c r="I26" s="5"/>
      <c r="J26" s="5"/>
      <c r="K26" s="5">
        <v>38.9</v>
      </c>
      <c r="L26" s="5"/>
      <c r="M26" s="5"/>
      <c r="N26" s="5"/>
      <c r="O26" s="59"/>
      <c r="Q26" s="30"/>
      <c r="R26" s="31"/>
      <c r="S26" s="31">
        <v>1870000</v>
      </c>
      <c r="T26" s="56">
        <v>9.8000000000000007</v>
      </c>
      <c r="U26" s="62">
        <v>18300000</v>
      </c>
      <c r="W26" s="56">
        <v>11.4</v>
      </c>
      <c r="X26" s="56"/>
      <c r="Y26" s="56"/>
      <c r="Z26" s="56">
        <v>17.2</v>
      </c>
      <c r="AA26" s="56">
        <v>0.44</v>
      </c>
      <c r="AB26" s="31">
        <v>7630</v>
      </c>
      <c r="AC26" s="27"/>
      <c r="AD26" s="28"/>
      <c r="AE26" s="28"/>
      <c r="AF26" s="28"/>
    </row>
    <row r="27" spans="1:32">
      <c r="A27" s="4">
        <v>20</v>
      </c>
      <c r="B27" s="54" t="s">
        <v>510</v>
      </c>
      <c r="C27" s="43">
        <v>1925</v>
      </c>
      <c r="D27" s="4">
        <v>1936</v>
      </c>
      <c r="E27" s="42" t="s">
        <v>9</v>
      </c>
      <c r="F27" s="42" t="s">
        <v>271</v>
      </c>
      <c r="G27" s="42" t="s">
        <v>268</v>
      </c>
      <c r="H27" s="45">
        <v>9.14</v>
      </c>
      <c r="I27" s="46">
        <v>4.9000000000000004</v>
      </c>
      <c r="J27" s="46"/>
      <c r="K27" s="46">
        <v>50.4</v>
      </c>
      <c r="L27" s="46">
        <v>3</v>
      </c>
      <c r="M27" s="46">
        <v>2</v>
      </c>
      <c r="N27" s="46">
        <v>564</v>
      </c>
      <c r="O27" s="61"/>
      <c r="P27" s="46"/>
      <c r="Q27" s="47">
        <v>740000</v>
      </c>
      <c r="R27" s="48"/>
      <c r="S27" s="48">
        <v>1180000</v>
      </c>
      <c r="T27" s="58">
        <v>9.44</v>
      </c>
      <c r="U27" s="64">
        <v>11100000</v>
      </c>
      <c r="V27" s="4"/>
      <c r="W27" s="58">
        <v>9.14</v>
      </c>
      <c r="X27" s="58">
        <v>45.5</v>
      </c>
      <c r="Y27" s="58">
        <v>27.7</v>
      </c>
      <c r="Z27" s="58">
        <v>36.6</v>
      </c>
      <c r="AA27" s="58">
        <v>1</v>
      </c>
      <c r="AB27" s="48">
        <v>16900</v>
      </c>
      <c r="AC27" s="49"/>
      <c r="AD27" s="50"/>
      <c r="AE27" s="50"/>
      <c r="AF27" s="50"/>
    </row>
    <row r="28" spans="1:32">
      <c r="A28" s="1">
        <v>21</v>
      </c>
      <c r="B28" s="6" t="s">
        <v>511</v>
      </c>
      <c r="C28" s="9"/>
      <c r="E28" s="6" t="s">
        <v>15</v>
      </c>
      <c r="G28" s="6" t="s">
        <v>248</v>
      </c>
      <c r="H28" s="17"/>
      <c r="I28" s="5"/>
      <c r="J28" s="5"/>
      <c r="K28" s="5">
        <v>22.2</v>
      </c>
      <c r="L28" s="5"/>
      <c r="M28" s="5"/>
      <c r="N28" s="5"/>
      <c r="O28" s="59"/>
      <c r="Q28" s="30"/>
      <c r="R28" s="31"/>
      <c r="S28" s="31">
        <v>425000</v>
      </c>
      <c r="T28" s="56">
        <v>6.55</v>
      </c>
      <c r="U28" s="62">
        <v>2780000</v>
      </c>
      <c r="W28" s="56">
        <v>8.23</v>
      </c>
      <c r="X28" s="56"/>
      <c r="Y28" s="56"/>
      <c r="Z28" s="56">
        <v>10.8</v>
      </c>
      <c r="AA28" s="56">
        <v>0.35</v>
      </c>
      <c r="AB28" s="31">
        <v>1970</v>
      </c>
      <c r="AC28" s="27"/>
      <c r="AD28" s="28"/>
      <c r="AE28" s="28"/>
      <c r="AF28" s="28"/>
    </row>
    <row r="29" spans="1:32">
      <c r="A29" s="1">
        <v>22</v>
      </c>
      <c r="B29" s="6" t="s">
        <v>512</v>
      </c>
      <c r="C29" s="9">
        <v>1910</v>
      </c>
      <c r="D29" s="1">
        <v>1912</v>
      </c>
      <c r="E29" s="6" t="s">
        <v>9</v>
      </c>
      <c r="F29" s="6" t="s">
        <v>513</v>
      </c>
      <c r="G29" s="6" t="s">
        <v>494</v>
      </c>
      <c r="H29" s="17">
        <v>10.67</v>
      </c>
      <c r="I29" s="5"/>
      <c r="J29" s="5"/>
      <c r="K29" s="5"/>
      <c r="L29" s="5"/>
      <c r="M29" s="5"/>
      <c r="N29" s="5">
        <v>213</v>
      </c>
      <c r="O29" s="59"/>
      <c r="Q29" s="30"/>
      <c r="R29" s="31"/>
      <c r="S29" s="31"/>
      <c r="T29" s="56"/>
      <c r="U29" s="62"/>
      <c r="W29" s="56">
        <v>4.5999999999999996</v>
      </c>
      <c r="X29" s="56">
        <v>39.5</v>
      </c>
      <c r="Y29" s="56"/>
      <c r="Z29" s="56"/>
      <c r="AA29" s="56"/>
      <c r="AB29" s="31"/>
      <c r="AC29" s="27"/>
      <c r="AD29" s="29" t="s">
        <v>514</v>
      </c>
      <c r="AE29" s="28"/>
      <c r="AF29" s="28"/>
    </row>
    <row r="30" spans="1:32">
      <c r="A30" s="1">
        <v>23</v>
      </c>
      <c r="B30" s="3" t="s">
        <v>515</v>
      </c>
      <c r="C30" s="9">
        <v>1958</v>
      </c>
      <c r="D30" s="1">
        <v>1977</v>
      </c>
      <c r="E30" s="6" t="s">
        <v>9</v>
      </c>
      <c r="F30" s="6" t="s">
        <v>8</v>
      </c>
      <c r="G30" s="6" t="s">
        <v>276</v>
      </c>
      <c r="H30" s="17">
        <v>53.04</v>
      </c>
      <c r="I30" s="5"/>
      <c r="J30" s="5"/>
      <c r="K30" s="5"/>
      <c r="L30" s="5"/>
      <c r="M30" s="5"/>
      <c r="N30" s="5"/>
      <c r="O30" s="59">
        <v>1020</v>
      </c>
      <c r="P30" s="5" t="s">
        <v>275</v>
      </c>
      <c r="Q30" s="30">
        <v>13600000</v>
      </c>
      <c r="R30" s="31"/>
      <c r="S30" s="31"/>
      <c r="T30" s="56">
        <v>58.22</v>
      </c>
      <c r="U30" s="62"/>
      <c r="V30" s="2" t="s">
        <v>238</v>
      </c>
      <c r="W30" s="56">
        <v>53</v>
      </c>
      <c r="X30" s="56">
        <v>131</v>
      </c>
      <c r="Y30" s="56"/>
      <c r="Z30" s="56"/>
      <c r="AA30" s="56"/>
      <c r="AB30" s="31">
        <v>726000</v>
      </c>
      <c r="AC30" s="27"/>
      <c r="AD30" s="28">
        <v>7.3</v>
      </c>
      <c r="AE30" s="28">
        <v>7.3</v>
      </c>
      <c r="AF30" s="28"/>
    </row>
    <row r="31" spans="1:32">
      <c r="A31" s="1">
        <v>24</v>
      </c>
      <c r="B31" s="6" t="s">
        <v>273</v>
      </c>
      <c r="C31" s="9"/>
      <c r="E31" s="6" t="s">
        <v>15</v>
      </c>
      <c r="G31" s="6" t="s">
        <v>248</v>
      </c>
      <c r="H31" s="17"/>
      <c r="I31" s="5"/>
      <c r="J31" s="5"/>
      <c r="K31" s="5">
        <v>21.3</v>
      </c>
      <c r="L31" s="5"/>
      <c r="M31" s="5"/>
      <c r="N31" s="5"/>
      <c r="O31" s="59"/>
      <c r="Q31" s="30"/>
      <c r="R31" s="31"/>
      <c r="S31" s="31">
        <v>493000</v>
      </c>
      <c r="T31" s="56">
        <v>11.1</v>
      </c>
      <c r="U31" s="62">
        <v>5470000</v>
      </c>
      <c r="W31" s="56">
        <v>12.6</v>
      </c>
      <c r="X31" s="56"/>
      <c r="Y31" s="56"/>
      <c r="Z31" s="56">
        <v>7.62</v>
      </c>
      <c r="AA31" s="56">
        <v>0.36</v>
      </c>
      <c r="AB31" s="31">
        <v>2050</v>
      </c>
      <c r="AC31" s="27"/>
      <c r="AD31" s="28"/>
      <c r="AE31" s="28"/>
      <c r="AF31" s="28"/>
    </row>
    <row r="32" spans="1:32">
      <c r="A32" s="1">
        <v>25</v>
      </c>
      <c r="B32" s="3" t="s">
        <v>274</v>
      </c>
      <c r="C32" s="9">
        <v>1975</v>
      </c>
      <c r="D32" s="1">
        <v>1977</v>
      </c>
      <c r="E32" s="6" t="s">
        <v>15</v>
      </c>
      <c r="F32" s="6" t="s">
        <v>8</v>
      </c>
      <c r="G32" s="6" t="s">
        <v>276</v>
      </c>
      <c r="H32" s="17">
        <v>9.75</v>
      </c>
      <c r="I32" s="5"/>
      <c r="J32" s="5"/>
      <c r="K32" s="5"/>
      <c r="L32" s="5"/>
      <c r="M32" s="5"/>
      <c r="N32" s="5"/>
      <c r="O32" s="59">
        <v>79</v>
      </c>
      <c r="P32" s="5" t="s">
        <v>275</v>
      </c>
      <c r="Q32" s="30">
        <v>350000</v>
      </c>
      <c r="R32" s="31"/>
      <c r="S32" s="31">
        <v>352000</v>
      </c>
      <c r="T32" s="56">
        <v>8.23</v>
      </c>
      <c r="U32" s="62">
        <v>2890000</v>
      </c>
      <c r="V32" s="2" t="s">
        <v>238</v>
      </c>
      <c r="W32" s="56">
        <v>9.75</v>
      </c>
      <c r="X32" s="56">
        <v>9.1999999999999993</v>
      </c>
      <c r="Y32" s="56">
        <v>4.5999999999999996</v>
      </c>
      <c r="Z32" s="56">
        <v>6.9</v>
      </c>
      <c r="AA32" s="56">
        <v>0.4</v>
      </c>
      <c r="AB32" s="31">
        <v>1290</v>
      </c>
      <c r="AC32" s="27"/>
      <c r="AD32" s="28">
        <v>2.5</v>
      </c>
      <c r="AE32" s="28">
        <v>0.25</v>
      </c>
      <c r="AF32" s="28"/>
    </row>
    <row r="33" spans="1:32">
      <c r="A33" s="32">
        <v>26</v>
      </c>
      <c r="B33" s="33" t="s">
        <v>516</v>
      </c>
      <c r="C33" s="34"/>
      <c r="D33" s="32">
        <v>1948</v>
      </c>
      <c r="E33" s="33" t="s">
        <v>15</v>
      </c>
      <c r="F33" s="35" t="s">
        <v>241</v>
      </c>
      <c r="G33" s="33" t="s">
        <v>517</v>
      </c>
      <c r="H33" s="36">
        <v>10.4</v>
      </c>
      <c r="I33" s="37"/>
      <c r="J33" s="37"/>
      <c r="K33" s="37">
        <v>30.8</v>
      </c>
      <c r="L33" s="37"/>
      <c r="M33" s="37"/>
      <c r="N33" s="37"/>
      <c r="O33" s="60">
        <v>654</v>
      </c>
      <c r="P33" s="68" t="s">
        <v>518</v>
      </c>
      <c r="Q33" s="38">
        <v>752000</v>
      </c>
      <c r="R33" s="39"/>
      <c r="S33" s="39">
        <v>750000</v>
      </c>
      <c r="T33" s="57">
        <v>10.199999999999999</v>
      </c>
      <c r="U33" s="63">
        <v>7650000</v>
      </c>
      <c r="V33" s="32"/>
      <c r="W33" s="57">
        <v>10.4</v>
      </c>
      <c r="X33" s="57"/>
      <c r="Y33" s="57"/>
      <c r="Z33" s="57"/>
      <c r="AA33" s="57"/>
      <c r="AB33" s="39"/>
      <c r="AC33" s="40"/>
      <c r="AD33" s="41"/>
      <c r="AE33" s="41"/>
      <c r="AF33" s="41"/>
    </row>
    <row r="34" spans="1:32">
      <c r="A34" s="1">
        <v>27</v>
      </c>
      <c r="B34" s="3" t="s">
        <v>519</v>
      </c>
      <c r="C34" s="9">
        <v>1925</v>
      </c>
      <c r="D34" s="1">
        <v>1925</v>
      </c>
      <c r="E34" s="6" t="s">
        <v>15</v>
      </c>
      <c r="F34" s="3" t="s">
        <v>241</v>
      </c>
      <c r="G34" s="6" t="s">
        <v>279</v>
      </c>
      <c r="H34" s="17">
        <v>12.19</v>
      </c>
      <c r="I34" s="5">
        <v>2.4</v>
      </c>
      <c r="J34" s="5"/>
      <c r="K34" s="5">
        <v>34.299999999999997</v>
      </c>
      <c r="L34" s="5">
        <v>2</v>
      </c>
      <c r="M34" s="5">
        <v>2.5</v>
      </c>
      <c r="N34" s="5"/>
      <c r="O34" s="59">
        <v>929</v>
      </c>
      <c r="P34" s="15" t="s">
        <v>278</v>
      </c>
      <c r="Q34" s="30"/>
      <c r="R34" s="31"/>
      <c r="S34" s="31">
        <v>3870000</v>
      </c>
      <c r="T34" s="56">
        <v>8.5299999999999994</v>
      </c>
      <c r="U34" s="62">
        <v>33000000</v>
      </c>
      <c r="V34" s="2" t="s">
        <v>238</v>
      </c>
      <c r="W34" s="56">
        <v>14.2</v>
      </c>
      <c r="X34" s="56">
        <v>41</v>
      </c>
      <c r="Y34" s="56">
        <v>13.8</v>
      </c>
      <c r="Z34" s="56">
        <v>27.4</v>
      </c>
      <c r="AA34" s="56">
        <v>0.97</v>
      </c>
      <c r="AB34" s="31">
        <v>13800</v>
      </c>
      <c r="AC34" s="27">
        <v>0.57999999999999996</v>
      </c>
      <c r="AD34" s="28">
        <v>0.57999999999999996</v>
      </c>
      <c r="AE34" s="28">
        <v>0.57999999999999996</v>
      </c>
      <c r="AF34" s="28"/>
    </row>
    <row r="35" spans="1:32">
      <c r="A35" s="1">
        <v>28</v>
      </c>
      <c r="B35" s="3" t="s">
        <v>520</v>
      </c>
      <c r="C35" s="9">
        <v>1952</v>
      </c>
      <c r="D35" s="1">
        <v>1952</v>
      </c>
      <c r="E35" s="6" t="s">
        <v>15</v>
      </c>
      <c r="F35" s="3" t="s">
        <v>241</v>
      </c>
      <c r="G35" s="6" t="s">
        <v>279</v>
      </c>
      <c r="H35" s="17">
        <v>12.5</v>
      </c>
      <c r="I35" s="5">
        <v>6.1</v>
      </c>
      <c r="J35" s="5"/>
      <c r="K35" s="5">
        <v>37.299999999999997</v>
      </c>
      <c r="L35" s="5">
        <v>3</v>
      </c>
      <c r="M35" s="5">
        <v>2</v>
      </c>
      <c r="N35" s="5"/>
      <c r="O35" s="59">
        <v>1420</v>
      </c>
      <c r="P35" s="5" t="s">
        <v>275</v>
      </c>
      <c r="Q35" s="30">
        <v>21000000</v>
      </c>
      <c r="R35" s="31"/>
      <c r="S35" s="31">
        <v>16000000</v>
      </c>
      <c r="T35" s="56">
        <v>10.8</v>
      </c>
      <c r="U35" s="62">
        <v>173000000</v>
      </c>
      <c r="V35" s="2" t="s">
        <v>238</v>
      </c>
      <c r="W35" s="56">
        <v>12.5</v>
      </c>
      <c r="X35" s="56">
        <v>67</v>
      </c>
      <c r="Y35" s="56">
        <v>54.4</v>
      </c>
      <c r="Z35" s="56">
        <v>54.6</v>
      </c>
      <c r="AA35" s="56">
        <v>0.5</v>
      </c>
      <c r="AB35" s="31">
        <v>28400</v>
      </c>
      <c r="AC35" s="27"/>
      <c r="AD35" s="28"/>
      <c r="AE35" s="28"/>
      <c r="AF35" s="28"/>
    </row>
    <row r="36" spans="1:32">
      <c r="A36" s="1">
        <v>29</v>
      </c>
      <c r="B36" s="6" t="s">
        <v>521</v>
      </c>
      <c r="C36" s="9">
        <v>1940</v>
      </c>
      <c r="D36" s="1">
        <v>1970</v>
      </c>
      <c r="E36" s="6" t="s">
        <v>9</v>
      </c>
      <c r="F36" s="6" t="s">
        <v>8</v>
      </c>
      <c r="G36" s="6" t="s">
        <v>494</v>
      </c>
      <c r="H36" s="17"/>
      <c r="I36" s="5"/>
      <c r="J36" s="5"/>
      <c r="K36" s="5"/>
      <c r="L36" s="5">
        <v>1</v>
      </c>
      <c r="M36" s="5">
        <v>1</v>
      </c>
      <c r="N36" s="5">
        <v>62.2</v>
      </c>
      <c r="O36" s="59"/>
      <c r="Q36" s="30"/>
      <c r="R36" s="31"/>
      <c r="S36" s="31"/>
      <c r="T36" s="56"/>
      <c r="U36" s="62"/>
      <c r="W36" s="56">
        <v>15</v>
      </c>
      <c r="X36" s="56">
        <v>62</v>
      </c>
      <c r="Y36" s="56"/>
      <c r="Z36" s="56"/>
      <c r="AA36" s="56"/>
      <c r="AB36" s="31"/>
      <c r="AC36" s="27"/>
      <c r="AD36" s="28">
        <v>0.25</v>
      </c>
      <c r="AE36" s="28"/>
      <c r="AF36" s="28"/>
    </row>
    <row r="37" spans="1:32">
      <c r="A37" s="4">
        <v>30</v>
      </c>
      <c r="B37" s="44" t="s">
        <v>522</v>
      </c>
      <c r="C37" s="43">
        <v>1903</v>
      </c>
      <c r="D37" s="4">
        <v>1916</v>
      </c>
      <c r="E37" s="42" t="s">
        <v>9</v>
      </c>
      <c r="F37" s="42" t="s">
        <v>284</v>
      </c>
      <c r="G37" s="42" t="s">
        <v>282</v>
      </c>
      <c r="H37" s="45">
        <v>6.1</v>
      </c>
      <c r="I37" s="46">
        <v>3</v>
      </c>
      <c r="J37" s="46"/>
      <c r="K37" s="46"/>
      <c r="L37" s="46">
        <v>1.5</v>
      </c>
      <c r="M37" s="46">
        <v>1.5</v>
      </c>
      <c r="N37" s="46"/>
      <c r="O37" s="61">
        <v>565</v>
      </c>
      <c r="P37" s="5" t="s">
        <v>275</v>
      </c>
      <c r="Q37" s="47">
        <v>10600000</v>
      </c>
      <c r="R37" s="48"/>
      <c r="S37" s="48">
        <v>10600000</v>
      </c>
      <c r="T37" s="58">
        <v>1.37</v>
      </c>
      <c r="U37" s="64">
        <v>14500000</v>
      </c>
      <c r="V37" s="8" t="s">
        <v>238</v>
      </c>
      <c r="W37" s="58">
        <v>4.0999999999999996</v>
      </c>
      <c r="X37" s="58">
        <v>30.5</v>
      </c>
      <c r="Y37" s="58">
        <v>22.3</v>
      </c>
      <c r="Z37" s="58">
        <v>26.4</v>
      </c>
      <c r="AA37" s="58">
        <v>0.5</v>
      </c>
      <c r="AB37" s="48">
        <v>1070</v>
      </c>
      <c r="AC37" s="49"/>
      <c r="AD37" s="55" t="s">
        <v>514</v>
      </c>
      <c r="AE37" s="50">
        <v>0.5</v>
      </c>
      <c r="AF37" s="50"/>
    </row>
    <row r="38" spans="1:32">
      <c r="A38" s="1">
        <v>31</v>
      </c>
      <c r="B38" s="6" t="s">
        <v>283</v>
      </c>
      <c r="C38" s="9">
        <v>1874</v>
      </c>
      <c r="D38" s="1">
        <v>1900</v>
      </c>
      <c r="E38" s="6" t="s">
        <v>9</v>
      </c>
      <c r="G38" s="6" t="s">
        <v>285</v>
      </c>
      <c r="H38" s="17">
        <v>7.62</v>
      </c>
      <c r="I38" s="5">
        <v>3.7</v>
      </c>
      <c r="J38" s="5"/>
      <c r="K38" s="5">
        <v>14.8</v>
      </c>
      <c r="L38" s="5">
        <v>1.5</v>
      </c>
      <c r="M38" s="5">
        <v>1.5</v>
      </c>
      <c r="N38" s="5">
        <v>441</v>
      </c>
      <c r="O38" s="59"/>
      <c r="P38" s="66"/>
      <c r="Q38" s="30">
        <v>220000</v>
      </c>
      <c r="R38" s="31"/>
      <c r="S38" s="31">
        <v>25500</v>
      </c>
      <c r="T38" s="56">
        <v>6.4</v>
      </c>
      <c r="U38" s="62">
        <v>163000</v>
      </c>
      <c r="W38" s="56">
        <v>6.4</v>
      </c>
      <c r="X38" s="56">
        <v>12.2</v>
      </c>
      <c r="Y38" s="56">
        <v>6</v>
      </c>
      <c r="Z38" s="56">
        <v>19</v>
      </c>
      <c r="AA38" s="56">
        <v>2.2599999999999998</v>
      </c>
      <c r="AB38" s="31">
        <v>1800</v>
      </c>
      <c r="AC38" s="27"/>
      <c r="AD38" s="28">
        <v>0.5</v>
      </c>
      <c r="AE38" s="28"/>
      <c r="AF38" s="29" t="s">
        <v>267</v>
      </c>
    </row>
    <row r="39" spans="1:32">
      <c r="A39" s="1">
        <v>32</v>
      </c>
      <c r="B39" s="6" t="s">
        <v>523</v>
      </c>
      <c r="C39" s="9"/>
      <c r="D39" s="1">
        <v>1971</v>
      </c>
      <c r="G39" s="6" t="s">
        <v>122</v>
      </c>
      <c r="H39" s="17"/>
      <c r="I39" s="5"/>
      <c r="J39" s="5"/>
      <c r="K39" s="5"/>
      <c r="L39" s="5"/>
      <c r="M39" s="5"/>
      <c r="N39" s="5"/>
      <c r="O39" s="59">
        <v>1840</v>
      </c>
      <c r="P39" s="69" t="s">
        <v>524</v>
      </c>
      <c r="Q39" s="30"/>
      <c r="R39" s="31"/>
      <c r="S39" s="31"/>
      <c r="T39" s="56"/>
      <c r="U39" s="62"/>
      <c r="W39" s="56"/>
      <c r="X39" s="56"/>
      <c r="Y39" s="56"/>
      <c r="Z39" s="56"/>
      <c r="AA39" s="56"/>
      <c r="AB39" s="31"/>
      <c r="AC39" s="27"/>
      <c r="AD39" s="28"/>
      <c r="AE39" s="28"/>
      <c r="AF39" s="28"/>
    </row>
    <row r="40" spans="1:32">
      <c r="A40" s="1">
        <v>33</v>
      </c>
      <c r="B40" s="6" t="s">
        <v>286</v>
      </c>
      <c r="C40" s="9"/>
      <c r="E40" s="6" t="s">
        <v>15</v>
      </c>
      <c r="G40" s="6" t="s">
        <v>248</v>
      </c>
      <c r="H40" s="17"/>
      <c r="I40" s="5"/>
      <c r="J40" s="5"/>
      <c r="K40" s="5">
        <v>16.7</v>
      </c>
      <c r="L40" s="5"/>
      <c r="M40" s="5"/>
      <c r="N40" s="5"/>
      <c r="O40" s="59"/>
      <c r="P40" s="67"/>
      <c r="Q40" s="30"/>
      <c r="R40" s="31"/>
      <c r="S40" s="31">
        <v>23400</v>
      </c>
      <c r="T40" s="56">
        <v>2.99</v>
      </c>
      <c r="U40" s="62">
        <v>73000</v>
      </c>
      <c r="W40" s="56">
        <v>3.96</v>
      </c>
      <c r="X40" s="56"/>
      <c r="Y40" s="56"/>
      <c r="Z40" s="56">
        <v>10.7</v>
      </c>
      <c r="AA40" s="56">
        <v>0.38</v>
      </c>
      <c r="AB40" s="31">
        <v>708</v>
      </c>
      <c r="AC40" s="27"/>
      <c r="AD40" s="28"/>
      <c r="AE40" s="28"/>
      <c r="AF40" s="28"/>
    </row>
    <row r="41" spans="1:32">
      <c r="A41" s="1">
        <v>34</v>
      </c>
      <c r="B41" s="6" t="s">
        <v>525</v>
      </c>
      <c r="C41" s="9">
        <v>1920</v>
      </c>
      <c r="D41" s="1">
        <v>1986</v>
      </c>
      <c r="E41" s="6" t="s">
        <v>15</v>
      </c>
      <c r="F41" s="3" t="s">
        <v>241</v>
      </c>
      <c r="G41" s="6" t="s">
        <v>246</v>
      </c>
      <c r="H41" s="17"/>
      <c r="I41" s="5">
        <v>4.3</v>
      </c>
      <c r="J41" s="5"/>
      <c r="K41" s="5">
        <v>31.1</v>
      </c>
      <c r="L41" s="5"/>
      <c r="M41" s="5"/>
      <c r="N41" s="5"/>
      <c r="O41" s="59"/>
      <c r="P41" s="67"/>
      <c r="Q41" s="30"/>
      <c r="R41" s="31"/>
      <c r="S41" s="31">
        <v>6350000</v>
      </c>
      <c r="T41" s="56">
        <v>10.7</v>
      </c>
      <c r="U41" s="62">
        <v>67900000</v>
      </c>
      <c r="W41" s="56">
        <v>10.8</v>
      </c>
      <c r="X41" s="56"/>
      <c r="Y41" s="56"/>
      <c r="Z41" s="56">
        <v>73</v>
      </c>
      <c r="AA41" s="56">
        <v>3.03</v>
      </c>
      <c r="AB41" s="31">
        <v>24800</v>
      </c>
      <c r="AC41" s="27"/>
      <c r="AD41" s="28"/>
      <c r="AE41" s="28"/>
      <c r="AF41" s="28"/>
    </row>
    <row r="42" spans="1:32">
      <c r="A42" s="1">
        <v>35</v>
      </c>
      <c r="B42" s="3" t="s">
        <v>288</v>
      </c>
      <c r="C42" s="9">
        <v>1908</v>
      </c>
      <c r="D42" s="1">
        <v>1914</v>
      </c>
      <c r="E42" s="6" t="s">
        <v>289</v>
      </c>
      <c r="F42" s="6" t="s">
        <v>290</v>
      </c>
      <c r="G42" s="6" t="s">
        <v>291</v>
      </c>
      <c r="H42" s="17">
        <v>19.2</v>
      </c>
      <c r="I42" s="5">
        <v>6.1</v>
      </c>
      <c r="J42" s="5"/>
      <c r="K42" s="5">
        <v>44.8</v>
      </c>
      <c r="L42" s="5">
        <v>2</v>
      </c>
      <c r="M42" s="5">
        <v>2.5</v>
      </c>
      <c r="N42" s="5">
        <v>238</v>
      </c>
      <c r="O42" s="59">
        <v>3080</v>
      </c>
      <c r="P42" s="70" t="s">
        <v>278</v>
      </c>
      <c r="Q42" s="30">
        <v>14800000</v>
      </c>
      <c r="R42" s="31"/>
      <c r="S42" s="31">
        <v>14800000</v>
      </c>
      <c r="T42" s="56">
        <v>16.8</v>
      </c>
      <c r="U42" s="62">
        <v>249000000</v>
      </c>
      <c r="V42" s="2" t="s">
        <v>238</v>
      </c>
      <c r="W42" s="56">
        <v>18.3</v>
      </c>
      <c r="X42" s="56">
        <v>180</v>
      </c>
      <c r="Y42" s="56">
        <v>140</v>
      </c>
      <c r="Z42" s="56">
        <v>151</v>
      </c>
      <c r="AA42" s="56">
        <v>2.42</v>
      </c>
      <c r="AB42" s="31">
        <v>161000</v>
      </c>
      <c r="AC42" s="27">
        <v>1</v>
      </c>
      <c r="AD42" s="28">
        <v>3</v>
      </c>
      <c r="AE42" s="28">
        <v>3</v>
      </c>
      <c r="AF42" s="28">
        <v>1</v>
      </c>
    </row>
    <row r="43" spans="1:32">
      <c r="A43" s="32">
        <v>36</v>
      </c>
      <c r="B43" s="33" t="s">
        <v>526</v>
      </c>
      <c r="C43" s="34">
        <v>1908</v>
      </c>
      <c r="D43" s="32">
        <v>1911</v>
      </c>
      <c r="E43" s="35"/>
      <c r="F43" s="35"/>
      <c r="G43" s="33" t="s">
        <v>403</v>
      </c>
      <c r="H43" s="36">
        <v>6.8</v>
      </c>
      <c r="I43" s="37"/>
      <c r="J43" s="37"/>
      <c r="K43" s="37"/>
      <c r="L43" s="37"/>
      <c r="M43" s="37"/>
      <c r="N43" s="37"/>
      <c r="O43" s="60">
        <v>3400</v>
      </c>
      <c r="P43" s="5" t="s">
        <v>275</v>
      </c>
      <c r="Q43" s="38">
        <v>12300000</v>
      </c>
      <c r="R43" s="39"/>
      <c r="S43" s="39"/>
      <c r="T43" s="57"/>
      <c r="U43" s="63"/>
      <c r="V43" s="32"/>
      <c r="W43" s="57">
        <v>6.8</v>
      </c>
      <c r="X43" s="57"/>
      <c r="Y43" s="57">
        <v>6.1</v>
      </c>
      <c r="Z43" s="57">
        <v>91.5</v>
      </c>
      <c r="AA43" s="57"/>
      <c r="AB43" s="39"/>
      <c r="AC43" s="40"/>
      <c r="AD43" s="41"/>
      <c r="AE43" s="41"/>
      <c r="AF43" s="41"/>
    </row>
    <row r="44" spans="1:32">
      <c r="A44" s="1">
        <v>37</v>
      </c>
      <c r="B44" s="3" t="s">
        <v>527</v>
      </c>
      <c r="C44" s="9">
        <v>1913</v>
      </c>
      <c r="D44" s="1">
        <v>1914</v>
      </c>
      <c r="E44" s="6" t="s">
        <v>15</v>
      </c>
      <c r="F44" s="6" t="s">
        <v>8</v>
      </c>
      <c r="G44" s="6" t="s">
        <v>276</v>
      </c>
      <c r="H44" s="17">
        <v>11.58</v>
      </c>
      <c r="I44" s="5">
        <v>3.7</v>
      </c>
      <c r="J44" s="5"/>
      <c r="K44" s="5"/>
      <c r="L44" s="5">
        <v>3</v>
      </c>
      <c r="M44" s="5">
        <v>1.5</v>
      </c>
      <c r="N44" s="5"/>
      <c r="O44" s="59"/>
      <c r="Q44" s="30"/>
      <c r="R44" s="31"/>
      <c r="S44" s="31"/>
      <c r="T44" s="56">
        <v>12.19</v>
      </c>
      <c r="U44" s="62"/>
      <c r="V44" s="2" t="s">
        <v>238</v>
      </c>
      <c r="W44" s="56">
        <v>15.3</v>
      </c>
      <c r="X44" s="56">
        <v>61</v>
      </c>
      <c r="Y44" s="56">
        <v>30.4</v>
      </c>
      <c r="Z44" s="56">
        <v>45.7</v>
      </c>
      <c r="AA44" s="56">
        <v>0.5</v>
      </c>
      <c r="AB44" s="31">
        <v>30800</v>
      </c>
      <c r="AC44" s="27"/>
      <c r="AD44" s="28">
        <v>2.25</v>
      </c>
      <c r="AE44" s="28">
        <v>2.25</v>
      </c>
      <c r="AF44" s="28"/>
    </row>
    <row r="45" spans="1:32">
      <c r="A45" s="1">
        <v>38</v>
      </c>
      <c r="B45" s="3" t="s">
        <v>528</v>
      </c>
      <c r="C45" s="9">
        <v>1964</v>
      </c>
      <c r="D45" s="1">
        <v>1964</v>
      </c>
      <c r="E45" s="6" t="s">
        <v>15</v>
      </c>
      <c r="F45" s="6" t="s">
        <v>293</v>
      </c>
      <c r="G45" s="6" t="s">
        <v>261</v>
      </c>
      <c r="H45" s="17">
        <v>67.06</v>
      </c>
      <c r="I45" s="5">
        <v>21.3</v>
      </c>
      <c r="J45" s="5"/>
      <c r="K45" s="5">
        <v>103.2</v>
      </c>
      <c r="L45" s="5">
        <v>1.5</v>
      </c>
      <c r="M45" s="5">
        <v>1.5</v>
      </c>
      <c r="N45" s="5"/>
      <c r="O45" s="59">
        <v>7360</v>
      </c>
      <c r="P45" s="15" t="s">
        <v>278</v>
      </c>
      <c r="Q45" s="30">
        <v>30600000</v>
      </c>
      <c r="R45" s="31"/>
      <c r="S45" s="31">
        <v>30600000</v>
      </c>
      <c r="T45" s="56">
        <v>35.1</v>
      </c>
      <c r="U45" s="62">
        <v>1070000000</v>
      </c>
      <c r="V45" s="2" t="s">
        <v>238</v>
      </c>
      <c r="W45" s="56">
        <v>56.4</v>
      </c>
      <c r="X45" s="56"/>
      <c r="Y45" s="56"/>
      <c r="Z45" s="56">
        <v>121</v>
      </c>
      <c r="AA45" s="56">
        <v>0.96</v>
      </c>
      <c r="AB45" s="31">
        <v>555000</v>
      </c>
      <c r="AC45" s="27">
        <v>0.75</v>
      </c>
      <c r="AD45" s="28"/>
      <c r="AE45" s="28">
        <v>5</v>
      </c>
      <c r="AF45" s="28"/>
    </row>
    <row r="46" spans="1:32">
      <c r="A46" s="1">
        <v>39</v>
      </c>
      <c r="B46" s="6" t="s">
        <v>529</v>
      </c>
      <c r="C46" s="9"/>
      <c r="D46" s="1">
        <v>1935</v>
      </c>
      <c r="E46" s="6" t="s">
        <v>9</v>
      </c>
      <c r="F46" s="6" t="s">
        <v>290</v>
      </c>
      <c r="G46" s="6" t="s">
        <v>246</v>
      </c>
      <c r="H46" s="17"/>
      <c r="I46" s="5">
        <v>4.5999999999999996</v>
      </c>
      <c r="J46" s="5"/>
      <c r="K46" s="5">
        <v>28.8</v>
      </c>
      <c r="L46" s="5"/>
      <c r="M46" s="5"/>
      <c r="N46" s="5"/>
      <c r="O46" s="59"/>
      <c r="Q46" s="30"/>
      <c r="R46" s="31"/>
      <c r="S46" s="31"/>
      <c r="T46" s="56">
        <v>10.7</v>
      </c>
      <c r="U46" s="62"/>
      <c r="V46" s="2" t="s">
        <v>238</v>
      </c>
      <c r="W46" s="56">
        <v>10.7</v>
      </c>
      <c r="X46" s="56"/>
      <c r="Y46" s="56"/>
      <c r="Z46" s="56">
        <v>47.2</v>
      </c>
      <c r="AA46" s="56">
        <v>1.1399999999999999</v>
      </c>
      <c r="AB46" s="31">
        <v>14500</v>
      </c>
      <c r="AC46" s="27"/>
      <c r="AD46" s="28"/>
      <c r="AE46" s="28"/>
      <c r="AF46" s="28"/>
    </row>
    <row r="47" spans="1:32">
      <c r="A47" s="4">
        <v>40</v>
      </c>
      <c r="B47" s="44" t="s">
        <v>530</v>
      </c>
      <c r="C47" s="43">
        <v>1911</v>
      </c>
      <c r="D47" s="4">
        <v>1914</v>
      </c>
      <c r="E47" s="42" t="s">
        <v>15</v>
      </c>
      <c r="F47" s="42" t="s">
        <v>295</v>
      </c>
      <c r="G47" s="42" t="s">
        <v>296</v>
      </c>
      <c r="H47" s="45">
        <v>12.19</v>
      </c>
      <c r="I47" s="46">
        <v>4.9000000000000004</v>
      </c>
      <c r="J47" s="46"/>
      <c r="K47" s="46">
        <v>26.8</v>
      </c>
      <c r="L47" s="46">
        <v>1.5</v>
      </c>
      <c r="M47" s="46">
        <v>2</v>
      </c>
      <c r="N47" s="46">
        <v>701</v>
      </c>
      <c r="O47" s="61"/>
      <c r="P47" s="46"/>
      <c r="Q47" s="47">
        <v>21000000</v>
      </c>
      <c r="R47" s="48">
        <v>4860000</v>
      </c>
      <c r="S47" s="48">
        <v>12800000</v>
      </c>
      <c r="T47" s="58">
        <v>7.01</v>
      </c>
      <c r="U47" s="64">
        <v>89700000</v>
      </c>
      <c r="V47" s="4"/>
      <c r="W47" s="58">
        <v>12.8</v>
      </c>
      <c r="X47" s="58">
        <v>76.2</v>
      </c>
      <c r="Y47" s="58">
        <v>70</v>
      </c>
      <c r="Z47" s="58">
        <v>73.099999999999994</v>
      </c>
      <c r="AA47" s="58">
        <v>0.83</v>
      </c>
      <c r="AB47" s="48">
        <v>20500</v>
      </c>
      <c r="AC47" s="49"/>
      <c r="AD47" s="50"/>
      <c r="AE47" s="50"/>
      <c r="AF47" s="50"/>
    </row>
    <row r="48" spans="1:32">
      <c r="A48" s="1">
        <v>41</v>
      </c>
      <c r="B48" s="6" t="s">
        <v>297</v>
      </c>
      <c r="C48" s="9">
        <v>1960</v>
      </c>
      <c r="D48" s="1">
        <v>1994</v>
      </c>
      <c r="E48" s="6" t="s">
        <v>9</v>
      </c>
      <c r="F48" s="3" t="s">
        <v>241</v>
      </c>
      <c r="G48" s="6" t="s">
        <v>23</v>
      </c>
      <c r="H48" s="17"/>
      <c r="I48" s="5"/>
      <c r="J48" s="5"/>
      <c r="K48" s="5">
        <v>14</v>
      </c>
      <c r="L48" s="5"/>
      <c r="M48" s="5"/>
      <c r="N48" s="5"/>
      <c r="O48" s="59"/>
      <c r="Q48" s="30"/>
      <c r="R48" s="31"/>
      <c r="S48" s="31">
        <v>1170000</v>
      </c>
      <c r="T48" s="56">
        <v>4.42</v>
      </c>
      <c r="U48" s="62">
        <v>5170000</v>
      </c>
      <c r="W48" s="56">
        <v>3.75</v>
      </c>
      <c r="X48" s="56"/>
      <c r="Y48" s="56"/>
      <c r="Z48" s="56">
        <v>33.4</v>
      </c>
      <c r="AA48" s="56">
        <v>1.1399999999999999</v>
      </c>
      <c r="AB48" s="31">
        <v>1750</v>
      </c>
      <c r="AC48" s="27"/>
      <c r="AD48" s="28"/>
      <c r="AE48" s="28"/>
      <c r="AF48" s="28"/>
    </row>
    <row r="49" spans="1:32">
      <c r="A49" s="1">
        <v>42</v>
      </c>
      <c r="B49" s="6" t="s">
        <v>298</v>
      </c>
      <c r="C49" s="9">
        <v>1971</v>
      </c>
      <c r="D49" s="1">
        <v>1993</v>
      </c>
      <c r="E49" s="6" t="s">
        <v>15</v>
      </c>
      <c r="F49" s="6" t="s">
        <v>8</v>
      </c>
      <c r="G49" s="6" t="s">
        <v>299</v>
      </c>
      <c r="H49" s="17">
        <v>4.57</v>
      </c>
      <c r="I49" s="5"/>
      <c r="J49" s="5"/>
      <c r="K49" s="5"/>
      <c r="L49" s="5"/>
      <c r="M49" s="5"/>
      <c r="N49" s="5">
        <v>305</v>
      </c>
      <c r="O49" s="59"/>
      <c r="Q49" s="30">
        <v>333000</v>
      </c>
      <c r="R49" s="31">
        <v>150000</v>
      </c>
      <c r="S49" s="31">
        <v>333000</v>
      </c>
      <c r="T49" s="56">
        <v>4.42</v>
      </c>
      <c r="U49" s="62">
        <v>1470000</v>
      </c>
      <c r="W49" s="56">
        <v>4.57</v>
      </c>
      <c r="X49" s="56"/>
      <c r="Y49" s="56"/>
      <c r="Z49" s="56">
        <v>16.8</v>
      </c>
      <c r="AA49" s="56">
        <v>0.33</v>
      </c>
      <c r="AB49" s="31"/>
      <c r="AC49" s="27"/>
      <c r="AD49" s="28"/>
      <c r="AE49" s="28"/>
      <c r="AF49" s="28"/>
    </row>
    <row r="50" spans="1:32">
      <c r="A50" s="1">
        <v>43</v>
      </c>
      <c r="B50" s="6" t="s">
        <v>531</v>
      </c>
      <c r="C50" s="9"/>
      <c r="D50" s="1">
        <v>1984</v>
      </c>
      <c r="E50" s="6" t="s">
        <v>15</v>
      </c>
      <c r="F50" s="3" t="s">
        <v>241</v>
      </c>
      <c r="G50" s="6" t="s">
        <v>302</v>
      </c>
      <c r="H50" s="17"/>
      <c r="I50" s="5">
        <v>2.4</v>
      </c>
      <c r="J50" s="5"/>
      <c r="K50" s="5">
        <v>18</v>
      </c>
      <c r="L50" s="5"/>
      <c r="M50" s="5"/>
      <c r="N50" s="5"/>
      <c r="O50" s="59">
        <v>110</v>
      </c>
      <c r="P50" s="69" t="s">
        <v>518</v>
      </c>
      <c r="Q50" s="30"/>
      <c r="R50" s="31"/>
      <c r="S50" s="31">
        <v>160000</v>
      </c>
      <c r="T50" s="56">
        <v>3.81</v>
      </c>
      <c r="U50" s="62">
        <v>610000</v>
      </c>
      <c r="W50" s="56">
        <v>5.18</v>
      </c>
      <c r="X50" s="56"/>
      <c r="Y50" s="56"/>
      <c r="Z50" s="56">
        <v>13.5</v>
      </c>
      <c r="AA50" s="56">
        <v>0.38</v>
      </c>
      <c r="AB50" s="31">
        <v>1260</v>
      </c>
      <c r="AC50" s="27">
        <v>0.5</v>
      </c>
      <c r="AD50" s="28"/>
      <c r="AE50" s="28"/>
      <c r="AF50" s="28"/>
    </row>
    <row r="51" spans="1:32">
      <c r="A51" s="1">
        <v>44</v>
      </c>
      <c r="B51" s="6" t="s">
        <v>532</v>
      </c>
      <c r="C51" s="9"/>
      <c r="E51" s="6" t="s">
        <v>15</v>
      </c>
      <c r="G51" s="6" t="s">
        <v>248</v>
      </c>
      <c r="H51" s="17"/>
      <c r="I51" s="5"/>
      <c r="J51" s="5"/>
      <c r="K51" s="5"/>
      <c r="L51" s="5"/>
      <c r="M51" s="5"/>
      <c r="N51" s="5"/>
      <c r="O51" s="59"/>
      <c r="Q51" s="30"/>
      <c r="R51" s="31"/>
      <c r="S51" s="31">
        <v>423000</v>
      </c>
      <c r="T51" s="56">
        <v>20.100000000000001</v>
      </c>
      <c r="U51" s="62">
        <v>8500000</v>
      </c>
      <c r="W51" s="56">
        <v>21.3</v>
      </c>
      <c r="X51" s="56"/>
      <c r="Y51" s="56"/>
      <c r="Z51" s="56">
        <v>17.5</v>
      </c>
      <c r="AA51" s="56">
        <v>0.61</v>
      </c>
      <c r="AB51" s="31"/>
      <c r="AC51" s="27"/>
      <c r="AD51" s="28"/>
      <c r="AE51" s="28"/>
      <c r="AF51" s="28"/>
    </row>
    <row r="52" spans="1:32">
      <c r="A52" s="1">
        <v>45</v>
      </c>
      <c r="B52" s="3" t="s">
        <v>533</v>
      </c>
      <c r="C52" s="9">
        <v>1921</v>
      </c>
      <c r="D52" s="1">
        <v>1981</v>
      </c>
      <c r="E52" s="6" t="s">
        <v>15</v>
      </c>
      <c r="F52" s="3" t="s">
        <v>241</v>
      </c>
      <c r="G52" s="6" t="s">
        <v>255</v>
      </c>
      <c r="H52" s="17">
        <v>4.2699999999999996</v>
      </c>
      <c r="I52" s="5">
        <v>1.8</v>
      </c>
      <c r="J52" s="5"/>
      <c r="K52" s="5">
        <v>21.5</v>
      </c>
      <c r="L52" s="5">
        <v>4.75</v>
      </c>
      <c r="M52" s="5">
        <v>2.75</v>
      </c>
      <c r="N52" s="5"/>
      <c r="O52" s="59"/>
      <c r="Q52" s="30">
        <v>575000</v>
      </c>
      <c r="R52" s="31"/>
      <c r="S52" s="31">
        <v>575000</v>
      </c>
      <c r="T52" s="56">
        <v>3.05</v>
      </c>
      <c r="U52" s="62">
        <v>1750000</v>
      </c>
      <c r="V52" s="2" t="s">
        <v>238</v>
      </c>
      <c r="W52" s="56">
        <v>5.18</v>
      </c>
      <c r="X52" s="56">
        <v>13.4</v>
      </c>
      <c r="Y52" s="56">
        <v>2</v>
      </c>
      <c r="Z52" s="56">
        <v>8.23</v>
      </c>
      <c r="AA52" s="56">
        <v>1</v>
      </c>
      <c r="AB52" s="31">
        <v>673</v>
      </c>
      <c r="AC52" s="27"/>
      <c r="AD52" s="28"/>
      <c r="AE52" s="28"/>
      <c r="AF52" s="28"/>
    </row>
    <row r="53" spans="1:32">
      <c r="A53" s="32">
        <v>46</v>
      </c>
      <c r="B53" s="35" t="s">
        <v>305</v>
      </c>
      <c r="C53" s="34">
        <v>1835</v>
      </c>
      <c r="D53" s="32">
        <v>1889</v>
      </c>
      <c r="E53" s="33" t="s">
        <v>9</v>
      </c>
      <c r="F53" s="33" t="s">
        <v>306</v>
      </c>
      <c r="G53" s="33" t="s">
        <v>308</v>
      </c>
      <c r="H53" s="36">
        <v>38.1</v>
      </c>
      <c r="I53" s="37">
        <v>3.05</v>
      </c>
      <c r="J53" s="37"/>
      <c r="K53" s="37">
        <v>64</v>
      </c>
      <c r="L53" s="37">
        <v>2</v>
      </c>
      <c r="M53" s="37">
        <v>1.5</v>
      </c>
      <c r="N53" s="37">
        <v>284</v>
      </c>
      <c r="O53" s="60">
        <v>8500</v>
      </c>
      <c r="P53" s="68" t="s">
        <v>307</v>
      </c>
      <c r="Q53" s="38">
        <v>18900000</v>
      </c>
      <c r="R53" s="39">
        <v>1650000</v>
      </c>
      <c r="S53" s="39">
        <v>18900000</v>
      </c>
      <c r="T53" s="57">
        <v>24.6</v>
      </c>
      <c r="U53" s="63">
        <v>465000000</v>
      </c>
      <c r="V53" s="65" t="s">
        <v>238</v>
      </c>
      <c r="W53" s="57">
        <v>24.4</v>
      </c>
      <c r="X53" s="57">
        <v>128</v>
      </c>
      <c r="Y53" s="57">
        <v>61</v>
      </c>
      <c r="Z53" s="57">
        <v>94.5</v>
      </c>
      <c r="AA53" s="57">
        <v>1.38</v>
      </c>
      <c r="AB53" s="39">
        <v>68800</v>
      </c>
      <c r="AC53" s="40">
        <v>0.75</v>
      </c>
      <c r="AD53" s="41"/>
      <c r="AE53" s="41">
        <v>3.5</v>
      </c>
      <c r="AF53" s="41">
        <v>3.5</v>
      </c>
    </row>
    <row r="54" spans="1:32">
      <c r="A54" s="1">
        <v>47</v>
      </c>
      <c r="B54" s="6" t="s">
        <v>534</v>
      </c>
      <c r="C54" s="9">
        <v>1957</v>
      </c>
      <c r="D54" s="1">
        <v>1958</v>
      </c>
      <c r="E54" s="6" t="s">
        <v>9</v>
      </c>
      <c r="F54" s="6" t="s">
        <v>8</v>
      </c>
      <c r="G54" s="6" t="s">
        <v>535</v>
      </c>
      <c r="H54" s="17">
        <v>12.5</v>
      </c>
      <c r="I54" s="5"/>
      <c r="J54" s="5"/>
      <c r="K54" s="5"/>
      <c r="L54" s="5"/>
      <c r="M54" s="5"/>
      <c r="N54" s="5"/>
      <c r="O54" s="59"/>
      <c r="Q54" s="30">
        <v>214000000</v>
      </c>
      <c r="R54" s="31"/>
      <c r="S54" s="31"/>
      <c r="T54" s="56"/>
      <c r="U54" s="62"/>
      <c r="W54" s="56">
        <v>15.2</v>
      </c>
      <c r="X54" s="56">
        <v>30</v>
      </c>
      <c r="Y54" s="56"/>
      <c r="Z54" s="56">
        <v>137.19999999999999</v>
      </c>
      <c r="AA54" s="56"/>
      <c r="AB54" s="31"/>
      <c r="AC54" s="27"/>
      <c r="AD54" s="28">
        <v>1</v>
      </c>
      <c r="AE54" s="28"/>
      <c r="AF54" s="28"/>
    </row>
    <row r="55" spans="1:32">
      <c r="A55" s="1">
        <v>48</v>
      </c>
      <c r="B55" s="3" t="s">
        <v>536</v>
      </c>
      <c r="C55" s="9">
        <v>1948</v>
      </c>
      <c r="D55" s="1">
        <v>1977</v>
      </c>
      <c r="E55" s="6" t="s">
        <v>15</v>
      </c>
      <c r="F55" s="3" t="s">
        <v>241</v>
      </c>
      <c r="G55" s="6" t="s">
        <v>239</v>
      </c>
      <c r="H55" s="17">
        <v>11.58</v>
      </c>
      <c r="I55" s="5">
        <v>6.1</v>
      </c>
      <c r="J55" s="5"/>
      <c r="K55" s="5">
        <v>19.399999999999999</v>
      </c>
      <c r="L55" s="5">
        <v>1</v>
      </c>
      <c r="M55" s="5">
        <v>1</v>
      </c>
      <c r="N55" s="5"/>
      <c r="O55" s="59">
        <v>680</v>
      </c>
      <c r="P55" s="15" t="s">
        <v>537</v>
      </c>
      <c r="Q55" s="30">
        <v>505000</v>
      </c>
      <c r="R55" s="31">
        <v>170000</v>
      </c>
      <c r="S55" s="31">
        <v>77000</v>
      </c>
      <c r="T55" s="56">
        <v>11.3</v>
      </c>
      <c r="U55" s="62">
        <v>8780000</v>
      </c>
      <c r="V55" s="2" t="s">
        <v>238</v>
      </c>
      <c r="W55" s="56">
        <v>12.8</v>
      </c>
      <c r="X55" s="56">
        <v>35</v>
      </c>
      <c r="Y55" s="56">
        <v>18</v>
      </c>
      <c r="Z55" s="56">
        <v>27.3</v>
      </c>
      <c r="AA55" s="56">
        <v>0.85</v>
      </c>
      <c r="AB55" s="31">
        <v>9940</v>
      </c>
      <c r="AC55" s="27"/>
      <c r="AD55" s="28">
        <v>0.5</v>
      </c>
      <c r="AE55" s="28"/>
      <c r="AF55" s="28"/>
    </row>
    <row r="56" spans="1:32">
      <c r="A56" s="1">
        <v>49</v>
      </c>
      <c r="B56" s="6" t="s">
        <v>538</v>
      </c>
      <c r="C56" s="9">
        <v>1900</v>
      </c>
      <c r="D56" s="1">
        <v>1990</v>
      </c>
      <c r="E56" s="6" t="s">
        <v>9</v>
      </c>
      <c r="F56" s="6" t="s">
        <v>8</v>
      </c>
      <c r="G56" s="6" t="s">
        <v>411</v>
      </c>
      <c r="H56" s="17">
        <v>5.49</v>
      </c>
      <c r="I56" s="5"/>
      <c r="J56" s="5"/>
      <c r="K56" s="5"/>
      <c r="L56" s="5"/>
      <c r="M56" s="5"/>
      <c r="N56" s="5">
        <v>128</v>
      </c>
      <c r="O56" s="59"/>
      <c r="Q56" s="30">
        <v>728000</v>
      </c>
      <c r="R56" s="31">
        <v>166000</v>
      </c>
      <c r="S56" s="31"/>
      <c r="T56" s="56"/>
      <c r="U56" s="62"/>
      <c r="W56" s="56"/>
      <c r="X56" s="56"/>
      <c r="Y56" s="56"/>
      <c r="Z56" s="56"/>
      <c r="AA56" s="56"/>
      <c r="AB56" s="31"/>
      <c r="AC56" s="27"/>
      <c r="AD56" s="28"/>
      <c r="AE56" s="28"/>
      <c r="AF56" s="28"/>
    </row>
    <row r="57" spans="1:32">
      <c r="A57" s="4">
        <v>50</v>
      </c>
      <c r="B57" s="42" t="s">
        <v>311</v>
      </c>
      <c r="C57" s="43"/>
      <c r="D57" s="4">
        <v>1994</v>
      </c>
      <c r="E57" s="42" t="s">
        <v>9</v>
      </c>
      <c r="F57" s="44" t="s">
        <v>241</v>
      </c>
      <c r="G57" s="42" t="s">
        <v>23</v>
      </c>
      <c r="H57" s="45"/>
      <c r="I57" s="46"/>
      <c r="J57" s="46"/>
      <c r="K57" s="46">
        <v>8.1</v>
      </c>
      <c r="L57" s="46"/>
      <c r="M57" s="46"/>
      <c r="N57" s="46"/>
      <c r="O57" s="61"/>
      <c r="P57" s="46"/>
      <c r="Q57" s="47"/>
      <c r="R57" s="48"/>
      <c r="S57" s="48">
        <v>177000</v>
      </c>
      <c r="T57" s="58">
        <v>3.66</v>
      </c>
      <c r="U57" s="64">
        <v>648000</v>
      </c>
      <c r="V57" s="4"/>
      <c r="W57" s="58">
        <v>3.2</v>
      </c>
      <c r="X57" s="58"/>
      <c r="Y57" s="58"/>
      <c r="Z57" s="58">
        <v>14.5</v>
      </c>
      <c r="AA57" s="58">
        <v>1.48</v>
      </c>
      <c r="AB57" s="48">
        <v>376</v>
      </c>
      <c r="AC57" s="49"/>
      <c r="AD57" s="50"/>
      <c r="AE57" s="50"/>
      <c r="AF57" s="50"/>
    </row>
    <row r="58" spans="1:32">
      <c r="A58" s="1">
        <v>51</v>
      </c>
      <c r="B58" s="6" t="s">
        <v>539</v>
      </c>
      <c r="C58" s="9">
        <v>1930</v>
      </c>
      <c r="D58" s="1">
        <v>1930</v>
      </c>
      <c r="E58" s="6" t="s">
        <v>15</v>
      </c>
      <c r="F58" s="3" t="s">
        <v>241</v>
      </c>
      <c r="G58" s="6" t="s">
        <v>246</v>
      </c>
      <c r="H58" s="17"/>
      <c r="I58" s="5">
        <v>4.9000000000000004</v>
      </c>
      <c r="J58" s="5"/>
      <c r="K58" s="5">
        <v>40</v>
      </c>
      <c r="L58" s="5"/>
      <c r="M58" s="5"/>
      <c r="N58" s="5"/>
      <c r="O58" s="59"/>
      <c r="Q58" s="30"/>
      <c r="R58" s="31"/>
      <c r="S58" s="31">
        <v>78900000</v>
      </c>
      <c r="T58" s="56">
        <v>7.9</v>
      </c>
      <c r="U58" s="62">
        <v>623000000</v>
      </c>
      <c r="W58" s="56">
        <v>14</v>
      </c>
      <c r="X58" s="56"/>
      <c r="Y58" s="56"/>
      <c r="Z58" s="56">
        <v>58.8</v>
      </c>
      <c r="AA58" s="56">
        <v>0.3</v>
      </c>
      <c r="AB58" s="31">
        <v>32900</v>
      </c>
      <c r="AC58" s="27"/>
      <c r="AD58" s="28"/>
      <c r="AE58" s="28"/>
      <c r="AF58" s="28"/>
    </row>
    <row r="59" spans="1:32">
      <c r="A59" s="1">
        <v>52</v>
      </c>
      <c r="B59" s="6" t="s">
        <v>540</v>
      </c>
      <c r="C59" s="9">
        <v>1894</v>
      </c>
      <c r="D59" s="1">
        <v>1904</v>
      </c>
      <c r="E59" s="6" t="s">
        <v>15</v>
      </c>
      <c r="F59" s="6" t="s">
        <v>8</v>
      </c>
      <c r="G59" s="6" t="s">
        <v>314</v>
      </c>
      <c r="H59" s="17">
        <v>14.5</v>
      </c>
      <c r="I59" s="5"/>
      <c r="J59" s="5"/>
      <c r="K59" s="5">
        <v>42.7</v>
      </c>
      <c r="L59" s="5"/>
      <c r="M59" s="5"/>
      <c r="N59" s="5"/>
      <c r="O59" s="59">
        <v>2320</v>
      </c>
      <c r="P59" s="5" t="s">
        <v>275</v>
      </c>
      <c r="Q59" s="30">
        <v>7750000</v>
      </c>
      <c r="R59" s="31"/>
      <c r="S59" s="31">
        <v>31500000</v>
      </c>
      <c r="T59" s="56">
        <v>13.7</v>
      </c>
      <c r="U59" s="62">
        <v>432000000</v>
      </c>
      <c r="W59" s="56">
        <v>14.6</v>
      </c>
      <c r="X59" s="56"/>
      <c r="Y59" s="56"/>
      <c r="Z59" s="56">
        <v>130</v>
      </c>
      <c r="AA59" s="56">
        <v>0.52</v>
      </c>
      <c r="AB59" s="31">
        <v>81000</v>
      </c>
      <c r="AC59" s="27"/>
      <c r="AD59" s="28">
        <v>2</v>
      </c>
      <c r="AE59" s="28"/>
      <c r="AF59" s="28"/>
    </row>
    <row r="60" spans="1:32">
      <c r="A60" s="1">
        <v>53</v>
      </c>
      <c r="B60" s="6" t="s">
        <v>541</v>
      </c>
      <c r="C60" s="9">
        <v>1913</v>
      </c>
      <c r="D60" s="1">
        <v>1972</v>
      </c>
      <c r="E60" s="6" t="s">
        <v>9</v>
      </c>
      <c r="F60" s="6" t="s">
        <v>8</v>
      </c>
      <c r="G60" s="6" t="s">
        <v>494</v>
      </c>
      <c r="H60" s="17">
        <v>21.03</v>
      </c>
      <c r="I60" s="5"/>
      <c r="J60" s="5"/>
      <c r="K60" s="5"/>
      <c r="L60" s="5"/>
      <c r="M60" s="5"/>
      <c r="N60" s="5"/>
      <c r="O60" s="59"/>
      <c r="Q60" s="30">
        <v>3120000</v>
      </c>
      <c r="R60" s="31"/>
      <c r="S60" s="31"/>
      <c r="T60" s="56"/>
      <c r="U60" s="62"/>
      <c r="W60" s="56">
        <v>11</v>
      </c>
      <c r="X60" s="56">
        <v>23</v>
      </c>
      <c r="Y60" s="56"/>
      <c r="Z60" s="56"/>
      <c r="AA60" s="56"/>
      <c r="AB60" s="31"/>
      <c r="AC60" s="27"/>
      <c r="AD60" s="28">
        <v>1</v>
      </c>
      <c r="AE60" s="28"/>
      <c r="AF60" s="29" t="s">
        <v>542</v>
      </c>
    </row>
    <row r="61" spans="1:32">
      <c r="A61" s="1">
        <v>54</v>
      </c>
      <c r="B61" s="3" t="s">
        <v>543</v>
      </c>
      <c r="C61" s="9">
        <v>1899</v>
      </c>
      <c r="D61" s="1">
        <v>1899</v>
      </c>
      <c r="E61" s="6" t="s">
        <v>15</v>
      </c>
      <c r="F61" s="3" t="s">
        <v>241</v>
      </c>
      <c r="G61" s="6" t="s">
        <v>255</v>
      </c>
      <c r="H61" s="17">
        <v>15.24</v>
      </c>
      <c r="I61" s="5">
        <v>4.9000000000000004</v>
      </c>
      <c r="J61" s="5"/>
      <c r="K61" s="5">
        <v>47.4</v>
      </c>
      <c r="L61" s="5">
        <v>3</v>
      </c>
      <c r="M61" s="5">
        <v>2</v>
      </c>
      <c r="N61" s="5"/>
      <c r="O61" s="59"/>
      <c r="Q61" s="30">
        <v>865000</v>
      </c>
      <c r="R61" s="31">
        <v>174000</v>
      </c>
      <c r="S61" s="31">
        <v>789000</v>
      </c>
      <c r="T61" s="56">
        <v>14</v>
      </c>
      <c r="U61" s="62">
        <v>11000000</v>
      </c>
      <c r="V61" s="2" t="s">
        <v>238</v>
      </c>
      <c r="W61" s="56">
        <v>17.100000000000001</v>
      </c>
      <c r="X61" s="56">
        <v>30</v>
      </c>
      <c r="Y61" s="56">
        <v>10.4</v>
      </c>
      <c r="Z61" s="56">
        <v>18.899999999999999</v>
      </c>
      <c r="AA61" s="56">
        <v>0.65</v>
      </c>
      <c r="AB61" s="31">
        <v>12400</v>
      </c>
      <c r="AC61" s="27"/>
      <c r="AD61" s="28">
        <v>1</v>
      </c>
      <c r="AE61" s="28">
        <v>1</v>
      </c>
      <c r="AF61" s="28"/>
    </row>
    <row r="62" spans="1:32">
      <c r="A62" s="32">
        <v>55</v>
      </c>
      <c r="B62" s="33" t="s">
        <v>316</v>
      </c>
      <c r="C62" s="34"/>
      <c r="D62" s="32"/>
      <c r="E62" s="33" t="s">
        <v>15</v>
      </c>
      <c r="F62" s="33" t="s">
        <v>8</v>
      </c>
      <c r="G62" s="33" t="s">
        <v>248</v>
      </c>
      <c r="H62" s="36"/>
      <c r="I62" s="37"/>
      <c r="J62" s="37"/>
      <c r="K62" s="37">
        <v>19.8</v>
      </c>
      <c r="L62" s="37"/>
      <c r="M62" s="37"/>
      <c r="N62" s="37"/>
      <c r="O62" s="60"/>
      <c r="P62" s="37"/>
      <c r="Q62" s="38"/>
      <c r="R62" s="39"/>
      <c r="S62" s="39">
        <v>680000</v>
      </c>
      <c r="T62" s="57">
        <v>6.71</v>
      </c>
      <c r="U62" s="63">
        <v>4560000</v>
      </c>
      <c r="V62" s="32"/>
      <c r="W62" s="57">
        <v>7.92</v>
      </c>
      <c r="X62" s="57"/>
      <c r="Y62" s="57"/>
      <c r="Z62" s="57">
        <v>16.8</v>
      </c>
      <c r="AA62" s="57">
        <v>1.54</v>
      </c>
      <c r="AB62" s="39">
        <v>2630</v>
      </c>
      <c r="AC62" s="40"/>
      <c r="AD62" s="41"/>
      <c r="AE62" s="41"/>
      <c r="AF62" s="41"/>
    </row>
    <row r="63" spans="1:32">
      <c r="A63" s="1">
        <v>56</v>
      </c>
      <c r="B63" s="6" t="s">
        <v>544</v>
      </c>
      <c r="C63" s="9">
        <v>1966</v>
      </c>
      <c r="D63" s="1">
        <v>1966</v>
      </c>
      <c r="E63" s="6" t="s">
        <v>15</v>
      </c>
      <c r="F63" s="3" t="s">
        <v>241</v>
      </c>
      <c r="G63" s="6" t="s">
        <v>318</v>
      </c>
      <c r="H63" s="17">
        <v>13</v>
      </c>
      <c r="I63" s="5">
        <v>6.1</v>
      </c>
      <c r="J63" s="5"/>
      <c r="K63" s="5">
        <v>28</v>
      </c>
      <c r="L63" s="5"/>
      <c r="M63" s="5"/>
      <c r="N63" s="5"/>
      <c r="O63" s="59">
        <v>290</v>
      </c>
      <c r="P63" s="5" t="s">
        <v>275</v>
      </c>
      <c r="Q63" s="30">
        <v>1590000</v>
      </c>
      <c r="R63" s="31"/>
      <c r="S63" s="31">
        <v>4090000</v>
      </c>
      <c r="T63" s="56">
        <v>6.25</v>
      </c>
      <c r="U63" s="62">
        <v>25600000</v>
      </c>
      <c r="W63" s="56">
        <v>8.69</v>
      </c>
      <c r="X63" s="56"/>
      <c r="Y63" s="56"/>
      <c r="Z63" s="56">
        <v>39.200000000000003</v>
      </c>
      <c r="AA63" s="56">
        <v>1.18</v>
      </c>
      <c r="AB63" s="31">
        <v>9540</v>
      </c>
      <c r="AC63" s="27"/>
      <c r="AD63" s="28">
        <v>3</v>
      </c>
      <c r="AE63" s="28"/>
      <c r="AF63" s="28"/>
    </row>
    <row r="64" spans="1:32">
      <c r="A64" s="1">
        <v>57</v>
      </c>
      <c r="B64" s="6" t="s">
        <v>319</v>
      </c>
      <c r="C64" s="9">
        <v>1965</v>
      </c>
      <c r="D64" s="1">
        <v>1994</v>
      </c>
      <c r="E64" s="6" t="s">
        <v>9</v>
      </c>
      <c r="F64" s="3" t="s">
        <v>241</v>
      </c>
      <c r="G64" s="6" t="s">
        <v>23</v>
      </c>
      <c r="H64" s="17"/>
      <c r="I64" s="5"/>
      <c r="J64" s="5"/>
      <c r="K64" s="5">
        <v>28</v>
      </c>
      <c r="L64" s="5"/>
      <c r="M64" s="5"/>
      <c r="N64" s="5"/>
      <c r="O64" s="59"/>
      <c r="Q64" s="30"/>
      <c r="R64" s="31"/>
      <c r="S64" s="31">
        <v>4780000</v>
      </c>
      <c r="T64" s="56">
        <v>9</v>
      </c>
      <c r="U64" s="62">
        <v>43000000</v>
      </c>
      <c r="W64" s="56">
        <v>8.5299999999999994</v>
      </c>
      <c r="X64" s="56"/>
      <c r="Y64" s="56"/>
      <c r="Z64" s="56">
        <v>47.2</v>
      </c>
      <c r="AA64" s="56">
        <v>0.33</v>
      </c>
      <c r="AB64" s="31">
        <v>11300</v>
      </c>
      <c r="AC64" s="27"/>
      <c r="AD64" s="28"/>
      <c r="AE64" s="28"/>
      <c r="AF64" s="28"/>
    </row>
    <row r="65" spans="1:32">
      <c r="A65" s="1">
        <v>58</v>
      </c>
      <c r="B65" s="6" t="s">
        <v>545</v>
      </c>
      <c r="C65" s="9"/>
      <c r="E65" s="6" t="s">
        <v>15</v>
      </c>
      <c r="F65" s="6" t="s">
        <v>8</v>
      </c>
      <c r="G65" s="6" t="s">
        <v>248</v>
      </c>
      <c r="H65" s="17"/>
      <c r="I65" s="5"/>
      <c r="J65" s="5"/>
      <c r="K65" s="5">
        <v>53.9</v>
      </c>
      <c r="L65" s="5"/>
      <c r="M65" s="5"/>
      <c r="N65" s="5"/>
      <c r="O65" s="59"/>
      <c r="Q65" s="30"/>
      <c r="R65" s="31"/>
      <c r="S65" s="31">
        <v>296000</v>
      </c>
      <c r="T65" s="56">
        <v>12.8</v>
      </c>
      <c r="U65" s="62">
        <v>3790000</v>
      </c>
      <c r="W65" s="56">
        <v>14.3</v>
      </c>
      <c r="X65" s="56"/>
      <c r="Y65" s="56"/>
      <c r="Z65" s="56">
        <v>7.62</v>
      </c>
      <c r="AA65" s="56">
        <v>0.21</v>
      </c>
      <c r="AB65" s="31">
        <v>5870</v>
      </c>
      <c r="AC65" s="27"/>
      <c r="AD65" s="28"/>
      <c r="AE65" s="28"/>
      <c r="AF65" s="28"/>
    </row>
    <row r="66" spans="1:32">
      <c r="A66" s="4">
        <v>59</v>
      </c>
      <c r="B66" s="44" t="s">
        <v>546</v>
      </c>
      <c r="C66" s="43"/>
      <c r="D66" s="4">
        <v>1977</v>
      </c>
      <c r="E66" s="42" t="s">
        <v>9</v>
      </c>
      <c r="F66" s="42" t="s">
        <v>8</v>
      </c>
      <c r="G66" s="42" t="s">
        <v>239</v>
      </c>
      <c r="H66" s="45">
        <v>12.8</v>
      </c>
      <c r="I66" s="46">
        <v>6.1</v>
      </c>
      <c r="J66" s="46"/>
      <c r="K66" s="46">
        <v>40.5</v>
      </c>
      <c r="L66" s="46"/>
      <c r="M66" s="46"/>
      <c r="N66" s="46"/>
      <c r="O66" s="61">
        <v>1050</v>
      </c>
      <c r="P66" s="71" t="s">
        <v>547</v>
      </c>
      <c r="Q66" s="47">
        <v>385000</v>
      </c>
      <c r="R66" s="48"/>
      <c r="S66" s="48">
        <v>555000</v>
      </c>
      <c r="T66" s="58">
        <v>14.1</v>
      </c>
      <c r="U66" s="64">
        <v>7830000</v>
      </c>
      <c r="V66" s="4"/>
      <c r="W66" s="58">
        <v>13.7</v>
      </c>
      <c r="X66" s="58"/>
      <c r="Y66" s="58"/>
      <c r="Z66" s="58">
        <v>35.1</v>
      </c>
      <c r="AA66" s="58">
        <v>2.4</v>
      </c>
      <c r="AB66" s="48">
        <v>19500</v>
      </c>
      <c r="AC66" s="49"/>
      <c r="AD66" s="50"/>
      <c r="AE66" s="50"/>
      <c r="AF66" s="50"/>
    </row>
    <row r="67" spans="1:32">
      <c r="A67" s="1">
        <v>60</v>
      </c>
      <c r="B67" s="6" t="s">
        <v>548</v>
      </c>
      <c r="C67" s="9">
        <v>1903</v>
      </c>
      <c r="D67" s="1">
        <v>1982</v>
      </c>
      <c r="E67" s="6" t="s">
        <v>15</v>
      </c>
      <c r="F67" s="3" t="s">
        <v>241</v>
      </c>
      <c r="G67" s="6" t="s">
        <v>325</v>
      </c>
      <c r="H67" s="17">
        <v>7.9</v>
      </c>
      <c r="I67" s="5">
        <v>2.4</v>
      </c>
      <c r="J67" s="5"/>
      <c r="K67" s="5">
        <v>14.2</v>
      </c>
      <c r="L67" s="5"/>
      <c r="M67" s="5"/>
      <c r="N67" s="5"/>
      <c r="O67" s="59">
        <v>510</v>
      </c>
      <c r="P67" s="15" t="s">
        <v>324</v>
      </c>
      <c r="Q67" s="30"/>
      <c r="R67" s="31"/>
      <c r="S67" s="31">
        <v>798000</v>
      </c>
      <c r="T67" s="56">
        <v>6.71</v>
      </c>
      <c r="U67" s="62">
        <v>5350000</v>
      </c>
      <c r="W67" s="56">
        <v>7.62</v>
      </c>
      <c r="X67" s="56"/>
      <c r="Y67" s="56"/>
      <c r="Z67" s="56">
        <v>22.2</v>
      </c>
      <c r="AA67" s="56">
        <v>0.96</v>
      </c>
      <c r="AB67" s="31">
        <v>2400</v>
      </c>
      <c r="AC67" s="27"/>
      <c r="AD67" s="28"/>
      <c r="AE67" s="28"/>
      <c r="AF67" s="28"/>
    </row>
    <row r="68" spans="1:32">
      <c r="A68" s="1">
        <v>61</v>
      </c>
      <c r="B68" s="6" t="s">
        <v>549</v>
      </c>
      <c r="C68" s="9">
        <v>1913</v>
      </c>
      <c r="D68" s="1">
        <v>1951</v>
      </c>
      <c r="E68" s="6" t="s">
        <v>15</v>
      </c>
      <c r="F68" s="3" t="s">
        <v>241</v>
      </c>
      <c r="G68" s="6" t="s">
        <v>302</v>
      </c>
      <c r="H68" s="17"/>
      <c r="I68" s="5"/>
      <c r="J68" s="5"/>
      <c r="K68" s="5"/>
      <c r="L68" s="5"/>
      <c r="M68" s="5"/>
      <c r="N68" s="5"/>
      <c r="O68" s="59">
        <v>71</v>
      </c>
      <c r="P68" s="15" t="s">
        <v>550</v>
      </c>
      <c r="Q68" s="30"/>
      <c r="R68" s="31"/>
      <c r="S68" s="31">
        <v>92500</v>
      </c>
      <c r="T68" s="56">
        <v>3.35</v>
      </c>
      <c r="U68" s="62">
        <v>310000</v>
      </c>
      <c r="W68" s="56">
        <v>3.66</v>
      </c>
      <c r="X68" s="56"/>
      <c r="Y68" s="56"/>
      <c r="Z68" s="56">
        <v>10.8</v>
      </c>
      <c r="AA68" s="56">
        <v>0.13</v>
      </c>
      <c r="AB68" s="31"/>
      <c r="AC68" s="27"/>
      <c r="AD68" s="28"/>
      <c r="AE68" s="28"/>
      <c r="AF68" s="28"/>
    </row>
    <row r="69" spans="1:32">
      <c r="A69" s="1">
        <v>62</v>
      </c>
      <c r="B69" s="3" t="s">
        <v>328</v>
      </c>
      <c r="C69" s="9">
        <v>1962</v>
      </c>
      <c r="D69" s="1">
        <v>1963</v>
      </c>
      <c r="E69" s="6" t="s">
        <v>15</v>
      </c>
      <c r="F69" s="3" t="s">
        <v>241</v>
      </c>
      <c r="G69" s="6" t="s">
        <v>239</v>
      </c>
      <c r="H69" s="17">
        <v>26.21</v>
      </c>
      <c r="I69" s="5">
        <v>6.1</v>
      </c>
      <c r="J69" s="5"/>
      <c r="K69" s="5">
        <v>63.1</v>
      </c>
      <c r="L69" s="5"/>
      <c r="M69" s="5"/>
      <c r="N69" s="5"/>
      <c r="O69" s="59">
        <v>1330</v>
      </c>
      <c r="P69" s="15" t="s">
        <v>550</v>
      </c>
      <c r="Q69" s="30">
        <v>1730000</v>
      </c>
      <c r="R69" s="31"/>
      <c r="S69" s="31">
        <v>1360000</v>
      </c>
      <c r="T69" s="56">
        <v>22.9</v>
      </c>
      <c r="U69" s="62">
        <v>31100000</v>
      </c>
      <c r="V69" s="2" t="s">
        <v>238</v>
      </c>
      <c r="W69" s="56">
        <v>27.1</v>
      </c>
      <c r="X69" s="56">
        <v>23</v>
      </c>
      <c r="Y69" s="56"/>
      <c r="Z69" s="56">
        <v>29.6</v>
      </c>
      <c r="AA69" s="56">
        <v>0.75</v>
      </c>
      <c r="AB69" s="31">
        <v>506000</v>
      </c>
      <c r="AC69" s="27">
        <v>0.33</v>
      </c>
      <c r="AD69" s="28">
        <v>0.33</v>
      </c>
      <c r="AE69" s="28">
        <v>0.33</v>
      </c>
      <c r="AF69" s="28"/>
    </row>
    <row r="70" spans="1:32">
      <c r="A70" s="1">
        <v>63</v>
      </c>
      <c r="B70" s="6" t="s">
        <v>551</v>
      </c>
      <c r="C70" s="9"/>
      <c r="E70" s="6" t="s">
        <v>15</v>
      </c>
      <c r="G70" s="6" t="s">
        <v>248</v>
      </c>
      <c r="H70" s="17"/>
      <c r="I70" s="5"/>
      <c r="J70" s="5"/>
      <c r="K70" s="5">
        <v>11.3</v>
      </c>
      <c r="L70" s="5"/>
      <c r="M70" s="5"/>
      <c r="N70" s="5"/>
      <c r="O70" s="59"/>
      <c r="Q70" s="30"/>
      <c r="R70" s="31"/>
      <c r="S70" s="31">
        <v>284000</v>
      </c>
      <c r="T70" s="56">
        <v>3.17</v>
      </c>
      <c r="U70" s="62">
        <v>900000</v>
      </c>
      <c r="W70" s="56">
        <v>3.66</v>
      </c>
      <c r="X70" s="56"/>
      <c r="Y70" s="56"/>
      <c r="Z70" s="56">
        <v>9.14</v>
      </c>
      <c r="AA70" s="56">
        <v>0.4</v>
      </c>
      <c r="AB70" s="31">
        <v>378</v>
      </c>
      <c r="AC70" s="27"/>
      <c r="AD70" s="28"/>
      <c r="AE70" s="28"/>
      <c r="AF70" s="28"/>
    </row>
    <row r="71" spans="1:32">
      <c r="A71" s="1">
        <v>64</v>
      </c>
      <c r="B71" s="6" t="s">
        <v>552</v>
      </c>
      <c r="C71" s="9"/>
      <c r="D71" s="1">
        <v>1973</v>
      </c>
      <c r="E71" s="6" t="s">
        <v>15</v>
      </c>
      <c r="F71" s="3" t="s">
        <v>241</v>
      </c>
      <c r="G71" s="6" t="s">
        <v>331</v>
      </c>
      <c r="H71" s="17"/>
      <c r="I71" s="5">
        <v>4.5999999999999996</v>
      </c>
      <c r="J71" s="5"/>
      <c r="K71" s="5">
        <v>25.7</v>
      </c>
      <c r="L71" s="5"/>
      <c r="M71" s="5"/>
      <c r="N71" s="5"/>
      <c r="O71" s="59">
        <v>340</v>
      </c>
      <c r="P71" s="15" t="s">
        <v>550</v>
      </c>
      <c r="Q71" s="30">
        <v>7080000</v>
      </c>
      <c r="R71" s="31"/>
      <c r="S71" s="31">
        <v>7080000</v>
      </c>
      <c r="T71" s="56">
        <v>5.79</v>
      </c>
      <c r="U71" s="62">
        <v>41000000</v>
      </c>
      <c r="W71" s="56">
        <v>7.01</v>
      </c>
      <c r="X71" s="56"/>
      <c r="Y71" s="56"/>
      <c r="Z71" s="56">
        <v>79.2</v>
      </c>
      <c r="AA71" s="56">
        <v>6.3</v>
      </c>
      <c r="AB71" s="31">
        <v>14300</v>
      </c>
      <c r="AC71" s="27">
        <v>1.5</v>
      </c>
      <c r="AD71" s="28"/>
      <c r="AE71" s="28"/>
      <c r="AF71" s="28"/>
    </row>
    <row r="72" spans="1:32">
      <c r="A72" s="32">
        <v>65</v>
      </c>
      <c r="B72" s="35" t="s">
        <v>553</v>
      </c>
      <c r="C72" s="34">
        <v>1897</v>
      </c>
      <c r="D72" s="32">
        <v>1916</v>
      </c>
      <c r="E72" s="33" t="s">
        <v>9</v>
      </c>
      <c r="F72" s="33" t="s">
        <v>333</v>
      </c>
      <c r="G72" s="33" t="s">
        <v>296</v>
      </c>
      <c r="H72" s="36">
        <v>41.15</v>
      </c>
      <c r="I72" s="37">
        <v>3.7</v>
      </c>
      <c r="J72" s="37"/>
      <c r="K72" s="37">
        <v>53.3</v>
      </c>
      <c r="L72" s="37">
        <v>1</v>
      </c>
      <c r="M72" s="37">
        <v>1</v>
      </c>
      <c r="N72" s="37">
        <v>172</v>
      </c>
      <c r="O72" s="60"/>
      <c r="P72" s="37"/>
      <c r="Q72" s="38">
        <v>49300000</v>
      </c>
      <c r="R72" s="39"/>
      <c r="S72" s="39">
        <v>49300000</v>
      </c>
      <c r="T72" s="57">
        <v>39.6</v>
      </c>
      <c r="U72" s="63">
        <v>1950000000</v>
      </c>
      <c r="V72" s="73" t="s">
        <v>238</v>
      </c>
      <c r="W72" s="57">
        <v>39.6</v>
      </c>
      <c r="X72" s="57">
        <v>172</v>
      </c>
      <c r="Y72" s="57">
        <v>93.8</v>
      </c>
      <c r="Z72" s="57">
        <v>133</v>
      </c>
      <c r="AA72" s="57">
        <v>1</v>
      </c>
      <c r="AB72" s="39">
        <v>107000</v>
      </c>
      <c r="AC72" s="40">
        <v>1</v>
      </c>
      <c r="AD72" s="41">
        <v>0.25</v>
      </c>
      <c r="AE72" s="41">
        <v>0.33</v>
      </c>
      <c r="AF72" s="41">
        <v>2.5</v>
      </c>
    </row>
    <row r="73" spans="1:32">
      <c r="A73" s="1">
        <v>66</v>
      </c>
      <c r="B73" s="3" t="s">
        <v>554</v>
      </c>
      <c r="C73" s="9">
        <v>1913</v>
      </c>
      <c r="D73" s="1">
        <v>1964</v>
      </c>
      <c r="E73" s="6" t="s">
        <v>15</v>
      </c>
      <c r="F73" s="3" t="s">
        <v>241</v>
      </c>
      <c r="G73" s="6" t="s">
        <v>239</v>
      </c>
      <c r="H73" s="17">
        <v>11.28</v>
      </c>
      <c r="I73" s="5">
        <v>3.7</v>
      </c>
      <c r="J73" s="5"/>
      <c r="K73" s="5"/>
      <c r="L73" s="5"/>
      <c r="M73" s="5"/>
      <c r="N73" s="5"/>
      <c r="O73" s="59">
        <v>1800</v>
      </c>
      <c r="P73" s="15" t="s">
        <v>555</v>
      </c>
      <c r="Q73" s="30">
        <v>19600000</v>
      </c>
      <c r="R73" s="31"/>
      <c r="S73" s="31">
        <v>29600000</v>
      </c>
      <c r="T73" s="56">
        <v>11.3</v>
      </c>
      <c r="U73" s="62">
        <v>334000000</v>
      </c>
      <c r="V73" s="2" t="s">
        <v>238</v>
      </c>
      <c r="W73" s="56">
        <v>11.3</v>
      </c>
      <c r="X73" s="56"/>
      <c r="Y73" s="56"/>
      <c r="Z73" s="56">
        <v>67</v>
      </c>
      <c r="AA73" s="56">
        <v>1.5</v>
      </c>
      <c r="AB73" s="31"/>
      <c r="AC73" s="27"/>
      <c r="AD73" s="28"/>
      <c r="AE73" s="28"/>
      <c r="AF73" s="28"/>
    </row>
    <row r="74" spans="1:32">
      <c r="A74" s="1">
        <v>67</v>
      </c>
      <c r="B74" s="3" t="s">
        <v>556</v>
      </c>
      <c r="C74" s="9">
        <v>1913</v>
      </c>
      <c r="D74" s="1">
        <v>1915</v>
      </c>
      <c r="E74" s="6" t="s">
        <v>15</v>
      </c>
      <c r="F74" s="6" t="s">
        <v>290</v>
      </c>
      <c r="G74" s="6" t="s">
        <v>337</v>
      </c>
      <c r="H74" s="17">
        <v>19.809999999999999</v>
      </c>
      <c r="I74" s="5">
        <v>3.7</v>
      </c>
      <c r="J74" s="5"/>
      <c r="K74" s="5"/>
      <c r="L74" s="5">
        <v>2</v>
      </c>
      <c r="M74" s="5">
        <v>2</v>
      </c>
      <c r="N74" s="5"/>
      <c r="O74" s="59"/>
      <c r="Q74" s="30">
        <v>49500000</v>
      </c>
      <c r="R74" s="31"/>
      <c r="S74" s="31">
        <v>35800000</v>
      </c>
      <c r="T74" s="56">
        <v>16.2</v>
      </c>
      <c r="U74" s="62">
        <v>580000000</v>
      </c>
      <c r="V74" s="2" t="s">
        <v>238</v>
      </c>
      <c r="W74" s="56">
        <v>19.8</v>
      </c>
      <c r="X74" s="56">
        <v>107</v>
      </c>
      <c r="Y74" s="56">
        <v>87</v>
      </c>
      <c r="Z74" s="56">
        <v>97</v>
      </c>
      <c r="AA74" s="56">
        <v>1</v>
      </c>
      <c r="AB74" s="31">
        <v>71900</v>
      </c>
      <c r="AC74" s="27"/>
      <c r="AD74" s="28"/>
      <c r="AE74" s="28"/>
      <c r="AF74" s="28"/>
    </row>
    <row r="75" spans="1:32">
      <c r="A75" s="1">
        <v>68</v>
      </c>
      <c r="B75" s="3" t="s">
        <v>557</v>
      </c>
      <c r="C75" s="9">
        <v>1871</v>
      </c>
      <c r="D75" s="1">
        <v>1876</v>
      </c>
      <c r="E75" s="6" t="s">
        <v>15</v>
      </c>
      <c r="F75" s="6" t="s">
        <v>266</v>
      </c>
      <c r="G75" s="6" t="s">
        <v>339</v>
      </c>
      <c r="H75" s="17">
        <v>12.5</v>
      </c>
      <c r="I75" s="5">
        <v>15.2</v>
      </c>
      <c r="J75" s="5"/>
      <c r="K75" s="5">
        <v>41.8</v>
      </c>
      <c r="L75" s="5">
        <v>2</v>
      </c>
      <c r="M75" s="5">
        <v>2.2999999999999998</v>
      </c>
      <c r="N75" s="5"/>
      <c r="O75" s="59"/>
      <c r="Q75" s="30">
        <v>2520000</v>
      </c>
      <c r="R75" s="31">
        <v>534000</v>
      </c>
      <c r="S75" s="31">
        <v>2880000</v>
      </c>
      <c r="T75" s="56">
        <v>11.6</v>
      </c>
      <c r="U75" s="62">
        <v>33400000</v>
      </c>
      <c r="V75" s="2" t="s">
        <v>238</v>
      </c>
      <c r="W75" s="56">
        <v>12.5</v>
      </c>
      <c r="X75" s="56">
        <v>45.7</v>
      </c>
      <c r="Y75" s="56">
        <v>15.3</v>
      </c>
      <c r="Z75" s="56">
        <v>30.5</v>
      </c>
      <c r="AA75" s="56">
        <v>1.22</v>
      </c>
      <c r="AB75" s="31">
        <v>15300</v>
      </c>
      <c r="AC75" s="27"/>
      <c r="AD75" s="28"/>
      <c r="AE75" s="28">
        <v>3</v>
      </c>
      <c r="AF75" s="28"/>
    </row>
    <row r="76" spans="1:32">
      <c r="A76" s="4">
        <v>69</v>
      </c>
      <c r="B76" s="42" t="s">
        <v>558</v>
      </c>
      <c r="C76" s="43"/>
      <c r="D76" s="4">
        <v>1979</v>
      </c>
      <c r="E76" s="42" t="s">
        <v>250</v>
      </c>
      <c r="F76" s="42" t="s">
        <v>8</v>
      </c>
      <c r="G76" s="42" t="s">
        <v>559</v>
      </c>
      <c r="H76" s="45">
        <v>60.05</v>
      </c>
      <c r="I76" s="46">
        <v>6</v>
      </c>
      <c r="J76" s="46"/>
      <c r="K76" s="46"/>
      <c r="L76" s="46">
        <v>3</v>
      </c>
      <c r="M76" s="46">
        <v>2</v>
      </c>
      <c r="N76" s="46">
        <v>4180</v>
      </c>
      <c r="O76" s="61"/>
      <c r="P76" s="46"/>
      <c r="Q76" s="47">
        <v>110000000</v>
      </c>
      <c r="R76" s="48"/>
      <c r="S76" s="48"/>
      <c r="T76" s="58"/>
      <c r="U76" s="64"/>
      <c r="V76" s="4"/>
      <c r="W76" s="58">
        <v>60</v>
      </c>
      <c r="X76" s="58">
        <v>540</v>
      </c>
      <c r="Y76" s="58"/>
      <c r="Z76" s="58"/>
      <c r="AA76" s="58"/>
      <c r="AB76" s="48"/>
      <c r="AC76" s="49"/>
      <c r="AD76" s="50">
        <v>2</v>
      </c>
      <c r="AE76" s="50"/>
      <c r="AF76" s="50"/>
    </row>
    <row r="77" spans="1:32">
      <c r="A77" s="1">
        <v>70</v>
      </c>
      <c r="B77" s="6" t="s">
        <v>560</v>
      </c>
      <c r="C77" s="9">
        <v>1916</v>
      </c>
      <c r="D77" s="1">
        <v>1917</v>
      </c>
      <c r="E77" s="6" t="s">
        <v>250</v>
      </c>
      <c r="G77" s="6" t="s">
        <v>403</v>
      </c>
      <c r="H77" s="17">
        <v>21.3</v>
      </c>
      <c r="I77" s="5"/>
      <c r="J77" s="5"/>
      <c r="K77" s="5"/>
      <c r="L77" s="5"/>
      <c r="M77" s="5"/>
      <c r="N77" s="5"/>
      <c r="O77" s="59">
        <v>2520</v>
      </c>
      <c r="P77" s="5" t="s">
        <v>275</v>
      </c>
      <c r="Q77" s="30">
        <v>13600000</v>
      </c>
      <c r="R77" s="31"/>
      <c r="S77" s="31"/>
      <c r="T77" s="56"/>
      <c r="U77" s="62"/>
      <c r="W77" s="56">
        <v>21.3</v>
      </c>
      <c r="X77" s="56"/>
      <c r="Y77" s="56"/>
      <c r="Z77" s="56">
        <v>9.1999999999999993</v>
      </c>
      <c r="AA77" s="56"/>
      <c r="AB77" s="31"/>
      <c r="AC77" s="27"/>
      <c r="AD77" s="28">
        <v>3</v>
      </c>
      <c r="AE77" s="28"/>
      <c r="AF77" s="28"/>
    </row>
    <row r="78" spans="1:32">
      <c r="A78" s="1">
        <v>71</v>
      </c>
      <c r="B78" s="6" t="s">
        <v>561</v>
      </c>
      <c r="C78" s="9"/>
      <c r="D78" s="1">
        <v>1979</v>
      </c>
      <c r="E78" s="6" t="s">
        <v>562</v>
      </c>
      <c r="F78" s="6"/>
      <c r="G78" s="6" t="s">
        <v>563</v>
      </c>
      <c r="H78" s="17"/>
      <c r="I78" s="5"/>
      <c r="J78" s="5"/>
      <c r="K78" s="5"/>
      <c r="L78" s="5"/>
      <c r="M78" s="5"/>
      <c r="N78" s="5"/>
      <c r="O78" s="59">
        <v>3115</v>
      </c>
      <c r="P78" s="5" t="s">
        <v>275</v>
      </c>
      <c r="Q78" s="30">
        <v>136000000</v>
      </c>
      <c r="R78" s="31"/>
      <c r="S78" s="31">
        <v>136000000</v>
      </c>
      <c r="T78" s="56">
        <v>8.5299999999999994</v>
      </c>
      <c r="U78" s="62">
        <v>1160000000</v>
      </c>
      <c r="W78" s="56"/>
      <c r="X78" s="56"/>
      <c r="Y78" s="56"/>
      <c r="Z78" s="56">
        <v>186</v>
      </c>
      <c r="AA78" s="56"/>
      <c r="AB78" s="31"/>
      <c r="AC78" s="27"/>
      <c r="AD78" s="28"/>
      <c r="AE78" s="28"/>
      <c r="AF78" s="28"/>
    </row>
    <row r="79" spans="1:32">
      <c r="A79" s="1">
        <v>72</v>
      </c>
      <c r="B79" s="6" t="s">
        <v>340</v>
      </c>
      <c r="C79" s="9">
        <v>1907</v>
      </c>
      <c r="D79" s="1">
        <v>1909</v>
      </c>
      <c r="E79" s="6" t="s">
        <v>15</v>
      </c>
      <c r="F79" s="6" t="s">
        <v>290</v>
      </c>
      <c r="G79" s="6" t="s">
        <v>255</v>
      </c>
      <c r="H79" s="17">
        <v>10.97</v>
      </c>
      <c r="I79" s="5">
        <v>3</v>
      </c>
      <c r="J79" s="5"/>
      <c r="K79" s="5">
        <v>25.1</v>
      </c>
      <c r="L79" s="5">
        <v>3</v>
      </c>
      <c r="M79" s="5">
        <v>1.5</v>
      </c>
      <c r="N79" s="5"/>
      <c r="O79" s="59"/>
      <c r="Q79" s="30"/>
      <c r="R79" s="31"/>
      <c r="S79" s="31">
        <v>24700000</v>
      </c>
      <c r="T79" s="56">
        <v>7.92</v>
      </c>
      <c r="U79" s="62">
        <v>196000000</v>
      </c>
      <c r="V79" s="2" t="s">
        <v>238</v>
      </c>
      <c r="W79" s="56">
        <v>9.75</v>
      </c>
      <c r="X79" s="56">
        <v>40</v>
      </c>
      <c r="Y79" s="56">
        <v>25.6</v>
      </c>
      <c r="Z79" s="56">
        <v>32.799999999999997</v>
      </c>
      <c r="AA79" s="56">
        <v>0.7</v>
      </c>
      <c r="AB79" s="31">
        <v>106000</v>
      </c>
      <c r="AC79" s="27"/>
      <c r="AD79" s="28"/>
      <c r="AE79" s="28"/>
      <c r="AF79" s="28"/>
    </row>
    <row r="80" spans="1:32">
      <c r="A80" s="1">
        <v>73</v>
      </c>
      <c r="B80" s="6" t="s">
        <v>341</v>
      </c>
      <c r="C80" s="9">
        <v>1939</v>
      </c>
      <c r="D80" s="1">
        <v>1994</v>
      </c>
      <c r="E80" s="6" t="s">
        <v>9</v>
      </c>
      <c r="F80" s="3" t="s">
        <v>241</v>
      </c>
      <c r="G80" s="6" t="s">
        <v>23</v>
      </c>
      <c r="H80" s="17"/>
      <c r="I80" s="5"/>
      <c r="J80" s="5"/>
      <c r="K80" s="5">
        <v>17.5</v>
      </c>
      <c r="L80" s="5"/>
      <c r="M80" s="5"/>
      <c r="N80" s="5"/>
      <c r="O80" s="59"/>
      <c r="Q80" s="30"/>
      <c r="R80" s="31"/>
      <c r="S80" s="31">
        <v>69600</v>
      </c>
      <c r="T80" s="56">
        <v>3.44</v>
      </c>
      <c r="U80" s="62">
        <v>239000</v>
      </c>
      <c r="W80" s="56">
        <v>3.05</v>
      </c>
      <c r="X80" s="56"/>
      <c r="Y80" s="56"/>
      <c r="Z80" s="56">
        <v>14.2</v>
      </c>
      <c r="AA80" s="56">
        <v>0.41</v>
      </c>
      <c r="AB80" s="31">
        <v>758</v>
      </c>
      <c r="AC80" s="27"/>
      <c r="AD80" s="28"/>
      <c r="AE80" s="28"/>
      <c r="AF80" s="28"/>
    </row>
    <row r="81" spans="1:32">
      <c r="A81" s="1">
        <v>74</v>
      </c>
      <c r="B81" s="6" t="s">
        <v>564</v>
      </c>
      <c r="C81" s="9"/>
      <c r="D81" s="1">
        <v>1874</v>
      </c>
      <c r="F81" s="6" t="s">
        <v>565</v>
      </c>
      <c r="G81" s="6" t="s">
        <v>401</v>
      </c>
      <c r="H81" s="17">
        <v>13.1</v>
      </c>
      <c r="I81" s="5"/>
      <c r="J81" s="5"/>
      <c r="K81" s="5"/>
      <c r="L81" s="5"/>
      <c r="M81" s="5"/>
      <c r="N81" s="5"/>
      <c r="O81" s="59">
        <v>1645</v>
      </c>
      <c r="P81" s="67" t="s">
        <v>275</v>
      </c>
      <c r="Q81" s="30">
        <v>2500000</v>
      </c>
      <c r="R81" s="31"/>
      <c r="S81" s="31">
        <v>2500000</v>
      </c>
      <c r="T81" s="56"/>
      <c r="U81" s="62"/>
      <c r="W81" s="56"/>
      <c r="X81" s="56"/>
      <c r="Y81" s="56"/>
      <c r="Z81" s="56"/>
      <c r="AA81" s="56"/>
      <c r="AB81" s="31"/>
      <c r="AC81" s="27"/>
      <c r="AD81" s="28"/>
      <c r="AE81" s="28"/>
      <c r="AF81" s="28"/>
    </row>
    <row r="82" spans="1:32">
      <c r="A82" s="32">
        <v>75</v>
      </c>
      <c r="B82" s="33" t="s">
        <v>342</v>
      </c>
      <c r="C82" s="34">
        <v>1963</v>
      </c>
      <c r="D82" s="32">
        <v>1994</v>
      </c>
      <c r="E82" s="33" t="s">
        <v>9</v>
      </c>
      <c r="F82" s="35" t="s">
        <v>241</v>
      </c>
      <c r="G82" s="33" t="s">
        <v>23</v>
      </c>
      <c r="H82" s="36"/>
      <c r="I82" s="37"/>
      <c r="J82" s="37"/>
      <c r="K82" s="37">
        <v>14.3</v>
      </c>
      <c r="L82" s="37"/>
      <c r="M82" s="37"/>
      <c r="N82" s="37"/>
      <c r="O82" s="60"/>
      <c r="P82" s="37"/>
      <c r="Q82" s="38"/>
      <c r="R82" s="39"/>
      <c r="S82" s="39">
        <v>4130000</v>
      </c>
      <c r="T82" s="57">
        <v>4.41</v>
      </c>
      <c r="U82" s="63">
        <v>18200000</v>
      </c>
      <c r="V82" s="32"/>
      <c r="W82" s="57">
        <v>3.44</v>
      </c>
      <c r="X82" s="57"/>
      <c r="Y82" s="57"/>
      <c r="Z82" s="57">
        <v>41.5</v>
      </c>
      <c r="AA82" s="57">
        <v>1.24</v>
      </c>
      <c r="AB82" s="39">
        <v>2040</v>
      </c>
      <c r="AC82" s="40"/>
      <c r="AD82" s="41"/>
      <c r="AE82" s="41"/>
      <c r="AF82" s="41"/>
    </row>
    <row r="83" spans="1:32">
      <c r="A83" s="1">
        <v>76</v>
      </c>
      <c r="B83" s="6" t="s">
        <v>566</v>
      </c>
      <c r="C83" s="9">
        <v>1962</v>
      </c>
      <c r="D83" s="1">
        <v>1967</v>
      </c>
      <c r="G83" s="6" t="s">
        <v>567</v>
      </c>
      <c r="H83" s="17">
        <v>15.85</v>
      </c>
      <c r="I83" s="5"/>
      <c r="J83" s="5"/>
      <c r="K83" s="5"/>
      <c r="L83" s="5"/>
      <c r="M83" s="5"/>
      <c r="N83" s="5"/>
      <c r="O83" s="59">
        <v>9700</v>
      </c>
      <c r="P83" s="5" t="s">
        <v>275</v>
      </c>
      <c r="Q83" s="30">
        <v>210000000</v>
      </c>
      <c r="R83" s="31"/>
      <c r="S83" s="31"/>
      <c r="T83" s="56"/>
      <c r="U83" s="62"/>
      <c r="W83" s="56">
        <v>16</v>
      </c>
      <c r="X83" s="56"/>
      <c r="Y83" s="56"/>
      <c r="Z83" s="56">
        <v>46</v>
      </c>
      <c r="AA83" s="56"/>
      <c r="AB83" s="31"/>
      <c r="AC83" s="27"/>
      <c r="AD83" s="28">
        <v>12</v>
      </c>
      <c r="AE83" s="28"/>
      <c r="AF83" s="28"/>
    </row>
    <row r="84" spans="1:32">
      <c r="A84" s="1">
        <v>77</v>
      </c>
      <c r="B84" s="6" t="s">
        <v>568</v>
      </c>
      <c r="C84" s="9"/>
      <c r="D84" s="1">
        <v>1996</v>
      </c>
      <c r="E84" s="6" t="s">
        <v>9</v>
      </c>
      <c r="F84" s="3" t="s">
        <v>241</v>
      </c>
      <c r="G84" s="6" t="s">
        <v>413</v>
      </c>
      <c r="H84" s="17">
        <v>5.49</v>
      </c>
      <c r="I84" s="5"/>
      <c r="J84" s="5"/>
      <c r="K84" s="5"/>
      <c r="L84" s="5">
        <v>3</v>
      </c>
      <c r="M84" s="5">
        <v>2</v>
      </c>
      <c r="N84" s="5">
        <v>130</v>
      </c>
      <c r="O84" s="59"/>
      <c r="Q84" s="30"/>
      <c r="R84" s="31"/>
      <c r="S84" s="31"/>
      <c r="T84" s="56"/>
      <c r="U84" s="62"/>
      <c r="V84" s="2" t="s">
        <v>238</v>
      </c>
      <c r="W84" s="56">
        <v>5.03</v>
      </c>
      <c r="X84" s="56">
        <v>6.71</v>
      </c>
      <c r="Y84" s="56">
        <v>6.71</v>
      </c>
      <c r="Z84" s="56">
        <v>6.71</v>
      </c>
      <c r="AA84" s="56">
        <v>0</v>
      </c>
      <c r="AB84" s="31"/>
      <c r="AC84" s="27"/>
      <c r="AD84" s="28"/>
      <c r="AE84" s="28"/>
      <c r="AF84" s="28"/>
    </row>
    <row r="85" spans="1:32">
      <c r="A85" s="1">
        <v>78</v>
      </c>
      <c r="B85" s="6" t="s">
        <v>569</v>
      </c>
      <c r="C85" s="9"/>
      <c r="D85" s="1">
        <v>1977</v>
      </c>
      <c r="F85" s="6" t="s">
        <v>8</v>
      </c>
      <c r="G85" s="6" t="s">
        <v>282</v>
      </c>
      <c r="H85" s="17">
        <v>5.5</v>
      </c>
      <c r="I85" s="5"/>
      <c r="J85" s="5"/>
      <c r="K85" s="5"/>
      <c r="L85" s="5"/>
      <c r="M85" s="5"/>
      <c r="N85" s="5"/>
      <c r="O85" s="59">
        <v>29.4</v>
      </c>
      <c r="P85" s="15" t="s">
        <v>252</v>
      </c>
      <c r="Q85" s="30"/>
      <c r="R85" s="31"/>
      <c r="S85" s="31">
        <v>22200</v>
      </c>
      <c r="T85" s="56">
        <v>5.49</v>
      </c>
      <c r="U85" s="62">
        <v>122000</v>
      </c>
      <c r="W85" s="56"/>
      <c r="X85" s="56"/>
      <c r="Y85" s="56"/>
      <c r="Z85" s="56"/>
      <c r="AA85" s="56"/>
      <c r="AB85" s="31"/>
      <c r="AC85" s="27"/>
      <c r="AD85" s="28"/>
      <c r="AE85" s="28"/>
      <c r="AF85" s="28"/>
    </row>
    <row r="86" spans="1:32">
      <c r="A86" s="4">
        <v>79</v>
      </c>
      <c r="B86" s="42" t="s">
        <v>570</v>
      </c>
      <c r="C86" s="43"/>
      <c r="D86" s="4">
        <v>1903</v>
      </c>
      <c r="E86" s="42" t="s">
        <v>9</v>
      </c>
      <c r="F86" s="42" t="s">
        <v>266</v>
      </c>
      <c r="G86" s="42" t="s">
        <v>494</v>
      </c>
      <c r="H86" s="45">
        <v>6.1</v>
      </c>
      <c r="I86" s="46">
        <v>2.6</v>
      </c>
      <c r="J86" s="46"/>
      <c r="K86" s="46"/>
      <c r="L86" s="46"/>
      <c r="M86" s="46"/>
      <c r="N86" s="46">
        <v>107</v>
      </c>
      <c r="O86" s="61"/>
      <c r="P86" s="46"/>
      <c r="Q86" s="47"/>
      <c r="R86" s="48"/>
      <c r="S86" s="48"/>
      <c r="T86" s="58"/>
      <c r="U86" s="64"/>
      <c r="V86" s="4"/>
      <c r="W86" s="58">
        <v>4.5999999999999996</v>
      </c>
      <c r="X86" s="58">
        <v>23</v>
      </c>
      <c r="Y86" s="58"/>
      <c r="Z86" s="58"/>
      <c r="AA86" s="58"/>
      <c r="AB86" s="48"/>
      <c r="AC86" s="49"/>
      <c r="AD86" s="50">
        <v>1</v>
      </c>
      <c r="AE86" s="50"/>
      <c r="AF86" s="50"/>
    </row>
    <row r="87" spans="1:32">
      <c r="A87" s="1">
        <v>80</v>
      </c>
      <c r="B87" s="6" t="s">
        <v>343</v>
      </c>
      <c r="C87" s="9">
        <v>1960</v>
      </c>
      <c r="D87" s="1">
        <v>1960</v>
      </c>
      <c r="E87" s="6" t="s">
        <v>9</v>
      </c>
      <c r="F87" s="6" t="s">
        <v>344</v>
      </c>
      <c r="G87" s="6" t="s">
        <v>345</v>
      </c>
      <c r="H87" s="17">
        <v>35.36</v>
      </c>
      <c r="I87" s="5">
        <v>5</v>
      </c>
      <c r="J87" s="5"/>
      <c r="K87" s="5">
        <v>110</v>
      </c>
      <c r="L87" s="5"/>
      <c r="M87" s="5"/>
      <c r="N87" s="5"/>
      <c r="O87" s="59">
        <v>9630</v>
      </c>
      <c r="P87" s="5" t="s">
        <v>275</v>
      </c>
      <c r="Q87" s="30">
        <v>65000000</v>
      </c>
      <c r="R87" s="31"/>
      <c r="S87" s="31">
        <v>660000000</v>
      </c>
      <c r="T87" s="56">
        <v>35.799999999999997</v>
      </c>
      <c r="U87" s="62">
        <v>23600000000</v>
      </c>
      <c r="V87" s="2" t="s">
        <v>238</v>
      </c>
      <c r="W87" s="56">
        <v>35.5</v>
      </c>
      <c r="X87" s="56">
        <v>200</v>
      </c>
      <c r="Y87" s="56">
        <v>130</v>
      </c>
      <c r="Z87" s="56">
        <v>165</v>
      </c>
      <c r="AA87" s="56">
        <v>1</v>
      </c>
      <c r="AB87" s="31">
        <v>765000</v>
      </c>
      <c r="AC87" s="27">
        <v>8.5</v>
      </c>
      <c r="AD87" s="28"/>
      <c r="AE87" s="28"/>
      <c r="AF87" s="28"/>
    </row>
    <row r="88" spans="1:32">
      <c r="A88" s="1">
        <v>81</v>
      </c>
      <c r="B88" s="6" t="s">
        <v>571</v>
      </c>
      <c r="C88" s="9"/>
      <c r="E88" s="6" t="s">
        <v>15</v>
      </c>
      <c r="F88" s="6" t="s">
        <v>8</v>
      </c>
      <c r="G88" s="6" t="s">
        <v>248</v>
      </c>
      <c r="H88" s="17"/>
      <c r="I88" s="5"/>
      <c r="J88" s="5"/>
      <c r="K88" s="5">
        <v>20.6</v>
      </c>
      <c r="L88" s="5"/>
      <c r="M88" s="5"/>
      <c r="N88" s="5"/>
      <c r="O88" s="59"/>
      <c r="Q88" s="30"/>
      <c r="R88" s="31"/>
      <c r="S88" s="31">
        <v>109000</v>
      </c>
      <c r="T88" s="56">
        <v>5</v>
      </c>
      <c r="U88" s="62">
        <v>545000</v>
      </c>
      <c r="W88" s="56">
        <v>6.1</v>
      </c>
      <c r="X88" s="56"/>
      <c r="Y88" s="56"/>
      <c r="Z88" s="56">
        <v>9.3000000000000007</v>
      </c>
      <c r="AA88" s="56">
        <v>1.28</v>
      </c>
      <c r="AB88" s="31">
        <v>1170</v>
      </c>
      <c r="AC88" s="27"/>
      <c r="AD88" s="28"/>
      <c r="AE88" s="28"/>
      <c r="AF88" s="28"/>
    </row>
    <row r="89" spans="1:32">
      <c r="A89" s="1">
        <v>82</v>
      </c>
      <c r="B89" s="6" t="s">
        <v>572</v>
      </c>
      <c r="C89" s="9"/>
      <c r="D89" s="1">
        <v>1977</v>
      </c>
      <c r="F89" s="6" t="s">
        <v>8</v>
      </c>
      <c r="G89" s="6" t="s">
        <v>282</v>
      </c>
      <c r="H89" s="17">
        <v>5.8</v>
      </c>
      <c r="I89" s="5"/>
      <c r="J89" s="5"/>
      <c r="K89" s="5"/>
      <c r="L89" s="5"/>
      <c r="M89" s="5"/>
      <c r="N89" s="5"/>
      <c r="O89" s="59">
        <v>60</v>
      </c>
      <c r="P89" s="15" t="s">
        <v>252</v>
      </c>
      <c r="Q89" s="30"/>
      <c r="R89" s="31"/>
      <c r="S89" s="31">
        <v>7400</v>
      </c>
      <c r="T89" s="56">
        <v>5.79</v>
      </c>
      <c r="U89" s="62">
        <v>42900</v>
      </c>
      <c r="W89" s="56"/>
      <c r="X89" s="56"/>
      <c r="Y89" s="56"/>
      <c r="Z89" s="56"/>
      <c r="AA89" s="56"/>
      <c r="AB89" s="31"/>
      <c r="AC89" s="27"/>
      <c r="AD89" s="28"/>
      <c r="AE89" s="28"/>
      <c r="AF89" s="28"/>
    </row>
    <row r="90" spans="1:32">
      <c r="A90" s="1">
        <v>83</v>
      </c>
      <c r="B90" s="6" t="s">
        <v>573</v>
      </c>
      <c r="C90" s="9"/>
      <c r="D90" s="1">
        <v>1986</v>
      </c>
      <c r="E90" s="6" t="s">
        <v>15</v>
      </c>
      <c r="F90" s="3" t="s">
        <v>241</v>
      </c>
      <c r="G90" s="6" t="s">
        <v>246</v>
      </c>
      <c r="H90" s="17"/>
      <c r="I90" s="5">
        <v>3.1</v>
      </c>
      <c r="J90" s="5"/>
      <c r="K90" s="5"/>
      <c r="L90" s="5"/>
      <c r="M90" s="5"/>
      <c r="N90" s="5"/>
      <c r="O90" s="59"/>
      <c r="Q90" s="30"/>
      <c r="R90" s="31"/>
      <c r="S90" s="31">
        <v>4070000</v>
      </c>
      <c r="T90" s="56">
        <v>8.08</v>
      </c>
      <c r="U90" s="62">
        <v>32900000</v>
      </c>
      <c r="W90" s="56">
        <v>8.69</v>
      </c>
      <c r="X90" s="56"/>
      <c r="Y90" s="56"/>
      <c r="Z90" s="56">
        <v>30.5</v>
      </c>
      <c r="AA90" s="56">
        <v>0.77</v>
      </c>
      <c r="AB90" s="31"/>
      <c r="AC90" s="27">
        <v>1</v>
      </c>
      <c r="AD90" s="28"/>
      <c r="AE90" s="28"/>
      <c r="AF90" s="28"/>
    </row>
    <row r="91" spans="1:32">
      <c r="A91" s="1">
        <v>84</v>
      </c>
      <c r="B91" s="6" t="s">
        <v>574</v>
      </c>
      <c r="C91" s="9">
        <v>1947</v>
      </c>
      <c r="D91" s="1">
        <v>1977</v>
      </c>
      <c r="E91" s="6" t="s">
        <v>9</v>
      </c>
      <c r="F91" s="3" t="s">
        <v>241</v>
      </c>
      <c r="G91" s="6" t="s">
        <v>246</v>
      </c>
      <c r="H91" s="17"/>
      <c r="I91" s="5">
        <v>7.3</v>
      </c>
      <c r="J91" s="5"/>
      <c r="K91" s="5">
        <v>23.5</v>
      </c>
      <c r="L91" s="5"/>
      <c r="M91" s="5"/>
      <c r="N91" s="5"/>
      <c r="O91" s="59"/>
      <c r="Q91" s="30"/>
      <c r="R91" s="31"/>
      <c r="S91" s="31">
        <v>105000</v>
      </c>
      <c r="T91" s="56">
        <v>7.77</v>
      </c>
      <c r="U91" s="62">
        <v>816000</v>
      </c>
      <c r="W91" s="56">
        <v>7.77</v>
      </c>
      <c r="X91" s="56"/>
      <c r="Y91" s="56"/>
      <c r="Z91" s="56">
        <v>16.5</v>
      </c>
      <c r="AA91" s="56">
        <v>1.25</v>
      </c>
      <c r="AB91" s="31">
        <v>3010</v>
      </c>
      <c r="AC91" s="27"/>
      <c r="AD91" s="28"/>
      <c r="AE91" s="28"/>
      <c r="AF91" s="28"/>
    </row>
    <row r="92" spans="1:32">
      <c r="A92" s="32">
        <v>85</v>
      </c>
      <c r="B92" s="33" t="s">
        <v>575</v>
      </c>
      <c r="C92" s="34">
        <v>1914</v>
      </c>
      <c r="D92" s="32">
        <v>1980</v>
      </c>
      <c r="E92" s="33" t="s">
        <v>15</v>
      </c>
      <c r="F92" s="35" t="s">
        <v>241</v>
      </c>
      <c r="G92" s="33" t="s">
        <v>302</v>
      </c>
      <c r="H92" s="36"/>
      <c r="I92" s="37">
        <v>4.3</v>
      </c>
      <c r="J92" s="37"/>
      <c r="K92" s="37">
        <v>13.1</v>
      </c>
      <c r="L92" s="37"/>
      <c r="M92" s="37"/>
      <c r="N92" s="37"/>
      <c r="O92" s="60">
        <v>116</v>
      </c>
      <c r="P92" s="68" t="s">
        <v>350</v>
      </c>
      <c r="Q92" s="38"/>
      <c r="R92" s="39"/>
      <c r="S92" s="39">
        <v>3540000</v>
      </c>
      <c r="T92" s="57">
        <v>1.68</v>
      </c>
      <c r="U92" s="63">
        <v>5950000</v>
      </c>
      <c r="V92" s="32"/>
      <c r="W92" s="57">
        <v>4.42</v>
      </c>
      <c r="X92" s="57"/>
      <c r="Y92" s="57"/>
      <c r="Z92" s="57">
        <v>88.4</v>
      </c>
      <c r="AA92" s="57">
        <v>0.69</v>
      </c>
      <c r="AB92" s="39">
        <v>5120</v>
      </c>
      <c r="AC92" s="40">
        <v>2.5</v>
      </c>
      <c r="AD92" s="41"/>
      <c r="AE92" s="41"/>
      <c r="AF92" s="41"/>
    </row>
    <row r="93" spans="1:32">
      <c r="A93" s="1">
        <v>86</v>
      </c>
      <c r="B93" s="6" t="s">
        <v>576</v>
      </c>
      <c r="C93" s="9">
        <v>1926</v>
      </c>
      <c r="D93" s="1">
        <v>1926</v>
      </c>
      <c r="E93" s="6" t="s">
        <v>9</v>
      </c>
      <c r="F93" s="3" t="s">
        <v>241</v>
      </c>
      <c r="G93" s="6" t="s">
        <v>302</v>
      </c>
      <c r="H93" s="17"/>
      <c r="I93" s="5"/>
      <c r="J93" s="5"/>
      <c r="K93" s="5"/>
      <c r="L93" s="5"/>
      <c r="M93" s="5"/>
      <c r="N93" s="5"/>
      <c r="O93" s="59">
        <v>480</v>
      </c>
      <c r="P93" s="15" t="s">
        <v>237</v>
      </c>
      <c r="Q93" s="30"/>
      <c r="R93" s="31"/>
      <c r="S93" s="31">
        <v>617000</v>
      </c>
      <c r="T93" s="56">
        <v>15.2</v>
      </c>
      <c r="U93" s="62">
        <v>9380000</v>
      </c>
      <c r="W93" s="56">
        <v>15.2</v>
      </c>
      <c r="X93" s="56"/>
      <c r="Y93" s="56"/>
      <c r="Z93" s="56"/>
      <c r="AA93" s="56"/>
      <c r="AB93" s="31"/>
      <c r="AC93" s="27">
        <v>0.25</v>
      </c>
      <c r="AD93" s="28"/>
      <c r="AE93" s="28"/>
      <c r="AF93" s="28"/>
    </row>
    <row r="94" spans="1:32">
      <c r="A94" s="1">
        <v>87</v>
      </c>
      <c r="B94" s="6" t="s">
        <v>351</v>
      </c>
      <c r="C94" s="9">
        <v>1986</v>
      </c>
      <c r="D94" s="1">
        <v>1989</v>
      </c>
      <c r="E94" s="6" t="s">
        <v>15</v>
      </c>
      <c r="F94" s="3" t="s">
        <v>241</v>
      </c>
      <c r="G94" s="6" t="s">
        <v>258</v>
      </c>
      <c r="H94" s="17"/>
      <c r="I94" s="5"/>
      <c r="J94" s="5"/>
      <c r="K94" s="5">
        <v>56.6</v>
      </c>
      <c r="L94" s="5"/>
      <c r="M94" s="5"/>
      <c r="N94" s="5"/>
      <c r="O94" s="59">
        <v>3110</v>
      </c>
      <c r="P94" s="15" t="s">
        <v>237</v>
      </c>
      <c r="Q94" s="30"/>
      <c r="R94" s="31"/>
      <c r="S94" s="31">
        <v>30800000</v>
      </c>
      <c r="T94" s="56">
        <v>16.7</v>
      </c>
      <c r="U94" s="62">
        <v>514000000</v>
      </c>
      <c r="W94" s="56">
        <v>21.3</v>
      </c>
      <c r="X94" s="56"/>
      <c r="Y94" s="56"/>
      <c r="Z94" s="56">
        <v>70</v>
      </c>
      <c r="AA94" s="56">
        <v>0.1</v>
      </c>
      <c r="AB94" s="31">
        <v>84400</v>
      </c>
      <c r="AC94" s="27">
        <v>1</v>
      </c>
      <c r="AD94" s="28"/>
      <c r="AE94" s="28"/>
      <c r="AF94" s="28"/>
    </row>
    <row r="95" spans="1:32">
      <c r="A95" s="1">
        <v>88</v>
      </c>
      <c r="B95" s="6" t="s">
        <v>577</v>
      </c>
      <c r="C95" s="9"/>
      <c r="D95" s="1">
        <v>1986</v>
      </c>
      <c r="E95" s="6" t="s">
        <v>9</v>
      </c>
      <c r="F95" s="3" t="s">
        <v>241</v>
      </c>
      <c r="G95" s="6" t="s">
        <v>246</v>
      </c>
      <c r="H95" s="17"/>
      <c r="I95" s="5">
        <v>11.3</v>
      </c>
      <c r="J95" s="5"/>
      <c r="K95" s="5">
        <v>28.2</v>
      </c>
      <c r="L95" s="5"/>
      <c r="M95" s="5"/>
      <c r="N95" s="5"/>
      <c r="O95" s="59"/>
      <c r="Q95" s="30"/>
      <c r="R95" s="31"/>
      <c r="S95" s="31">
        <v>6780000</v>
      </c>
      <c r="T95" s="56">
        <v>10</v>
      </c>
      <c r="U95" s="62">
        <v>67800000</v>
      </c>
      <c r="W95" s="56">
        <v>9.5399999999999991</v>
      </c>
      <c r="X95" s="56"/>
      <c r="Y95" s="56"/>
      <c r="Z95" s="56">
        <v>38.9</v>
      </c>
      <c r="AA95" s="56">
        <v>2.52</v>
      </c>
      <c r="AB95" s="31">
        <v>10500</v>
      </c>
      <c r="AC95" s="27"/>
      <c r="AD95" s="28"/>
      <c r="AE95" s="28"/>
      <c r="AF95" s="28"/>
    </row>
    <row r="96" spans="1:32">
      <c r="A96" s="4">
        <v>89</v>
      </c>
      <c r="B96" s="42" t="s">
        <v>578</v>
      </c>
      <c r="C96" s="43"/>
      <c r="D96" s="4"/>
      <c r="E96" s="42" t="s">
        <v>9</v>
      </c>
      <c r="F96" s="44"/>
      <c r="G96" s="42" t="s">
        <v>248</v>
      </c>
      <c r="H96" s="45"/>
      <c r="I96" s="46"/>
      <c r="J96" s="46"/>
      <c r="K96" s="46">
        <v>11</v>
      </c>
      <c r="L96" s="46"/>
      <c r="M96" s="46"/>
      <c r="N96" s="46"/>
      <c r="O96" s="61"/>
      <c r="P96" s="46"/>
      <c r="Q96" s="47"/>
      <c r="R96" s="48"/>
      <c r="S96" s="48">
        <v>13900</v>
      </c>
      <c r="T96" s="58">
        <v>3.66</v>
      </c>
      <c r="U96" s="64">
        <v>509000</v>
      </c>
      <c r="V96" s="4"/>
      <c r="W96" s="58">
        <v>3.66</v>
      </c>
      <c r="X96" s="58"/>
      <c r="Y96" s="58"/>
      <c r="Z96" s="58">
        <v>2.29</v>
      </c>
      <c r="AA96" s="58">
        <v>0.63</v>
      </c>
      <c r="AB96" s="48">
        <v>92</v>
      </c>
      <c r="AC96" s="49"/>
      <c r="AD96" s="50"/>
      <c r="AE96" s="50"/>
      <c r="AF96" s="50"/>
    </row>
    <row r="97" spans="1:32">
      <c r="A97" s="1">
        <v>90</v>
      </c>
      <c r="B97" s="6" t="s">
        <v>579</v>
      </c>
      <c r="C97" s="9"/>
      <c r="D97" s="1">
        <v>1975</v>
      </c>
      <c r="E97" s="6" t="s">
        <v>15</v>
      </c>
      <c r="F97" s="3" t="s">
        <v>241</v>
      </c>
      <c r="G97" s="6" t="s">
        <v>255</v>
      </c>
      <c r="H97" s="17">
        <v>7.32</v>
      </c>
      <c r="I97" s="5">
        <v>3.7</v>
      </c>
      <c r="J97" s="5"/>
      <c r="K97" s="5">
        <v>13.3</v>
      </c>
      <c r="L97" s="5">
        <v>1.34</v>
      </c>
      <c r="M97" s="5">
        <v>1.34</v>
      </c>
      <c r="N97" s="5"/>
      <c r="O97" s="59"/>
      <c r="Q97" s="30">
        <v>24700</v>
      </c>
      <c r="R97" s="31"/>
      <c r="S97" s="31">
        <v>24700</v>
      </c>
      <c r="T97" s="56">
        <v>4.57</v>
      </c>
      <c r="U97" s="62">
        <v>113000</v>
      </c>
      <c r="V97" s="2" t="s">
        <v>238</v>
      </c>
      <c r="W97" s="56">
        <v>7.32</v>
      </c>
      <c r="X97" s="56">
        <v>19</v>
      </c>
      <c r="Y97" s="56">
        <v>7.6</v>
      </c>
      <c r="Z97" s="56">
        <v>13.3</v>
      </c>
      <c r="AA97" s="56">
        <v>0.77</v>
      </c>
      <c r="AB97" s="31">
        <v>1290</v>
      </c>
      <c r="AC97" s="27"/>
      <c r="AD97" s="28"/>
      <c r="AE97" s="28"/>
      <c r="AF97" s="28"/>
    </row>
    <row r="98" spans="1:32">
      <c r="A98" s="1">
        <v>91</v>
      </c>
      <c r="B98" s="6" t="s">
        <v>355</v>
      </c>
      <c r="C98" s="9">
        <v>1966</v>
      </c>
      <c r="D98" s="1">
        <v>1977</v>
      </c>
      <c r="E98" s="6" t="s">
        <v>9</v>
      </c>
      <c r="F98" s="6" t="s">
        <v>8</v>
      </c>
      <c r="G98" s="6" t="s">
        <v>276</v>
      </c>
      <c r="H98" s="17">
        <v>35.049999999999997</v>
      </c>
      <c r="I98" s="5"/>
      <c r="J98" s="5"/>
      <c r="K98" s="5"/>
      <c r="L98" s="5"/>
      <c r="M98" s="5"/>
      <c r="N98" s="5"/>
      <c r="O98" s="59">
        <v>7200</v>
      </c>
      <c r="P98" s="15" t="s">
        <v>275</v>
      </c>
      <c r="Q98" s="30">
        <v>25900000</v>
      </c>
      <c r="R98" s="31"/>
      <c r="S98" s="31">
        <v>71500000</v>
      </c>
      <c r="T98" s="56">
        <v>38.4</v>
      </c>
      <c r="U98" s="62">
        <v>2750000000</v>
      </c>
      <c r="V98" s="2" t="s">
        <v>238</v>
      </c>
      <c r="W98" s="56">
        <v>35</v>
      </c>
      <c r="X98" s="56"/>
      <c r="Y98" s="56"/>
      <c r="Z98" s="56">
        <v>168</v>
      </c>
      <c r="AA98" s="56"/>
      <c r="AB98" s="31">
        <v>440000</v>
      </c>
      <c r="AC98" s="27"/>
      <c r="AD98" s="28">
        <v>2</v>
      </c>
      <c r="AE98" s="28">
        <v>2</v>
      </c>
      <c r="AF98" s="28"/>
    </row>
    <row r="99" spans="1:32">
      <c r="A99" s="1">
        <v>92</v>
      </c>
      <c r="B99" s="6" t="s">
        <v>580</v>
      </c>
      <c r="C99" s="9"/>
      <c r="D99" s="1">
        <v>1977</v>
      </c>
      <c r="E99" s="6" t="s">
        <v>9</v>
      </c>
      <c r="F99" s="6" t="s">
        <v>8</v>
      </c>
      <c r="G99" s="6" t="s">
        <v>581</v>
      </c>
      <c r="H99" s="17">
        <v>8.5299999999999994</v>
      </c>
      <c r="I99" s="5"/>
      <c r="J99" s="5"/>
      <c r="K99" s="5"/>
      <c r="L99" s="5"/>
      <c r="M99" s="5"/>
      <c r="N99" s="5"/>
      <c r="O99" s="59">
        <v>435</v>
      </c>
      <c r="P99" s="15" t="s">
        <v>275</v>
      </c>
      <c r="Q99" s="30">
        <v>56800</v>
      </c>
      <c r="R99" s="31"/>
      <c r="S99" s="31">
        <v>56700</v>
      </c>
      <c r="T99" s="56">
        <v>8.5299999999999994</v>
      </c>
      <c r="U99" s="62">
        <v>484000</v>
      </c>
      <c r="W99" s="56"/>
      <c r="X99" s="56"/>
      <c r="Y99" s="56"/>
      <c r="Z99" s="56"/>
      <c r="AA99" s="56"/>
      <c r="AB99" s="31"/>
      <c r="AC99" s="27"/>
      <c r="AD99" s="28"/>
      <c r="AE99" s="28"/>
      <c r="AF99" s="28"/>
    </row>
    <row r="100" spans="1:32">
      <c r="A100" s="1">
        <v>93</v>
      </c>
      <c r="B100" s="6" t="s">
        <v>582</v>
      </c>
      <c r="C100" s="9"/>
      <c r="D100" s="1">
        <v>1921</v>
      </c>
      <c r="E100" s="6" t="s">
        <v>9</v>
      </c>
      <c r="F100" s="6" t="s">
        <v>357</v>
      </c>
      <c r="G100" s="6" t="s">
        <v>359</v>
      </c>
      <c r="H100" s="17">
        <v>30.5</v>
      </c>
      <c r="I100" s="5">
        <v>4.5999999999999996</v>
      </c>
      <c r="J100" s="5"/>
      <c r="K100" s="5">
        <v>80.8</v>
      </c>
      <c r="L100" s="5">
        <v>3</v>
      </c>
      <c r="M100" s="5">
        <v>2</v>
      </c>
      <c r="N100" s="5">
        <v>335</v>
      </c>
      <c r="O100" s="59">
        <v>4500</v>
      </c>
      <c r="P100" s="15" t="s">
        <v>583</v>
      </c>
      <c r="Q100" s="30">
        <v>3920000</v>
      </c>
      <c r="R100" s="31"/>
      <c r="S100" s="31">
        <v>440000</v>
      </c>
      <c r="T100" s="56">
        <v>30.5</v>
      </c>
      <c r="U100" s="62">
        <v>135000000</v>
      </c>
      <c r="V100" s="2" t="s">
        <v>238</v>
      </c>
      <c r="W100" s="56">
        <v>30.5</v>
      </c>
      <c r="X100" s="56">
        <v>210</v>
      </c>
      <c r="Y100" s="56">
        <v>64</v>
      </c>
      <c r="Z100" s="56">
        <v>137</v>
      </c>
      <c r="AA100" s="56">
        <v>2.25</v>
      </c>
      <c r="AB100" s="31">
        <v>227000</v>
      </c>
      <c r="AC100" s="27">
        <v>0.5</v>
      </c>
      <c r="AD100" s="28">
        <v>0.5</v>
      </c>
      <c r="AE100" s="28">
        <v>0.5</v>
      </c>
      <c r="AF100" s="28">
        <v>0.5</v>
      </c>
    </row>
    <row r="101" spans="1:32">
      <c r="A101" s="1">
        <v>94</v>
      </c>
      <c r="B101" s="6" t="s">
        <v>360</v>
      </c>
      <c r="C101" s="9"/>
      <c r="E101" s="6" t="s">
        <v>15</v>
      </c>
      <c r="G101" s="6" t="s">
        <v>248</v>
      </c>
      <c r="H101" s="17"/>
      <c r="I101" s="5"/>
      <c r="J101" s="5"/>
      <c r="K101" s="5">
        <v>39.299999999999997</v>
      </c>
      <c r="L101" s="5"/>
      <c r="M101" s="5"/>
      <c r="N101" s="5"/>
      <c r="O101" s="59"/>
      <c r="Q101" s="30"/>
      <c r="R101" s="31"/>
      <c r="S101" s="31">
        <v>86000</v>
      </c>
      <c r="T101" s="56">
        <v>10.4</v>
      </c>
      <c r="U101" s="62">
        <v>894000</v>
      </c>
      <c r="W101" s="56">
        <v>11.9</v>
      </c>
      <c r="X101" s="56">
        <v>15</v>
      </c>
      <c r="Y101" s="56">
        <v>15</v>
      </c>
      <c r="Z101" s="56">
        <v>15</v>
      </c>
      <c r="AA101" s="56">
        <v>0</v>
      </c>
      <c r="AB101" s="31">
        <v>7020</v>
      </c>
      <c r="AC101" s="27"/>
      <c r="AD101" s="28"/>
      <c r="AE101" s="28"/>
      <c r="AF101" s="28"/>
    </row>
    <row r="102" spans="1:32">
      <c r="A102" s="32">
        <v>95</v>
      </c>
      <c r="B102" s="33" t="s">
        <v>361</v>
      </c>
      <c r="C102" s="34">
        <v>1969</v>
      </c>
      <c r="D102" s="32">
        <v>1970</v>
      </c>
      <c r="E102" s="33" t="s">
        <v>250</v>
      </c>
      <c r="F102" s="33" t="s">
        <v>8</v>
      </c>
      <c r="G102" s="33" t="s">
        <v>276</v>
      </c>
      <c r="H102" s="36">
        <v>17.07</v>
      </c>
      <c r="I102" s="37">
        <v>6.1</v>
      </c>
      <c r="J102" s="37"/>
      <c r="K102" s="37"/>
      <c r="L102" s="37">
        <v>3</v>
      </c>
      <c r="M102" s="37">
        <v>2</v>
      </c>
      <c r="N102" s="37"/>
      <c r="O102" s="60"/>
      <c r="P102" s="37"/>
      <c r="Q102" s="38">
        <v>1430000</v>
      </c>
      <c r="R102" s="39">
        <v>344000</v>
      </c>
      <c r="S102" s="39">
        <v>2910000</v>
      </c>
      <c r="T102" s="57">
        <v>14.02</v>
      </c>
      <c r="U102" s="63">
        <v>40800000</v>
      </c>
      <c r="V102" s="73" t="s">
        <v>238</v>
      </c>
      <c r="W102" s="57">
        <v>17.100000000000001</v>
      </c>
      <c r="X102" s="57">
        <v>30.5</v>
      </c>
      <c r="Y102" s="57">
        <v>13.5</v>
      </c>
      <c r="Z102" s="57">
        <v>22</v>
      </c>
      <c r="AA102" s="57">
        <v>0.5</v>
      </c>
      <c r="AB102" s="39">
        <v>18300</v>
      </c>
      <c r="AC102" s="40"/>
      <c r="AD102" s="41"/>
      <c r="AE102" s="41"/>
      <c r="AF102" s="41"/>
    </row>
    <row r="103" spans="1:32">
      <c r="A103" s="1">
        <v>96</v>
      </c>
      <c r="B103" s="6" t="s">
        <v>584</v>
      </c>
      <c r="C103" s="9">
        <v>1892</v>
      </c>
      <c r="D103" s="1">
        <v>1905</v>
      </c>
      <c r="E103" s="6" t="s">
        <v>250</v>
      </c>
      <c r="F103" s="6" t="s">
        <v>266</v>
      </c>
      <c r="G103" s="6" t="s">
        <v>494</v>
      </c>
      <c r="H103" s="17">
        <v>10.36</v>
      </c>
      <c r="I103" s="5"/>
      <c r="J103" s="5"/>
      <c r="K103" s="5"/>
      <c r="L103" s="5"/>
      <c r="M103" s="5"/>
      <c r="N103" s="5">
        <v>91.4</v>
      </c>
      <c r="O103" s="59">
        <v>960</v>
      </c>
      <c r="P103" s="15" t="s">
        <v>275</v>
      </c>
      <c r="Q103" s="30">
        <v>42000</v>
      </c>
      <c r="R103" s="31"/>
      <c r="S103" s="31"/>
      <c r="T103" s="56"/>
      <c r="U103" s="62"/>
      <c r="W103" s="56"/>
      <c r="X103" s="56">
        <v>46</v>
      </c>
      <c r="Y103" s="56"/>
      <c r="Z103" s="56"/>
      <c r="AA103" s="56"/>
      <c r="AB103" s="31"/>
      <c r="AC103" s="27"/>
      <c r="AD103" s="28">
        <v>2</v>
      </c>
      <c r="AE103" s="28"/>
      <c r="AF103" s="28"/>
    </row>
    <row r="104" spans="1:32">
      <c r="A104" s="1">
        <v>97</v>
      </c>
      <c r="B104" s="6" t="s">
        <v>362</v>
      </c>
      <c r="C104" s="9">
        <v>1910</v>
      </c>
      <c r="D104" s="1">
        <v>1943</v>
      </c>
      <c r="E104" s="6" t="s">
        <v>250</v>
      </c>
      <c r="F104" s="6" t="s">
        <v>8</v>
      </c>
      <c r="G104" s="6" t="s">
        <v>276</v>
      </c>
      <c r="H104" s="17">
        <v>21.34</v>
      </c>
      <c r="I104" s="5"/>
      <c r="J104" s="5"/>
      <c r="K104" s="5"/>
      <c r="L104" s="5"/>
      <c r="M104" s="5"/>
      <c r="N104" s="5"/>
      <c r="O104" s="59"/>
      <c r="Q104" s="30">
        <v>3330000</v>
      </c>
      <c r="R104" s="31"/>
      <c r="S104" s="31">
        <v>3330000</v>
      </c>
      <c r="T104" s="72">
        <v>21.34</v>
      </c>
      <c r="U104" s="62">
        <v>71100000</v>
      </c>
      <c r="V104" s="2" t="s">
        <v>238</v>
      </c>
      <c r="W104" s="56">
        <v>21.3</v>
      </c>
      <c r="X104" s="56">
        <v>92</v>
      </c>
      <c r="Y104" s="56">
        <v>49.2</v>
      </c>
      <c r="Z104" s="56">
        <v>70.599999999999994</v>
      </c>
      <c r="AA104" s="56">
        <v>0.5</v>
      </c>
      <c r="AB104" s="31">
        <v>84000</v>
      </c>
      <c r="AC104" s="27"/>
      <c r="AD104" s="28">
        <v>2</v>
      </c>
      <c r="AE104" s="28">
        <v>2</v>
      </c>
      <c r="AF104" s="28"/>
    </row>
    <row r="105" spans="1:32">
      <c r="A105" s="1">
        <v>98</v>
      </c>
      <c r="B105" s="6" t="s">
        <v>585</v>
      </c>
      <c r="C105" s="9"/>
      <c r="D105" s="1">
        <v>1977</v>
      </c>
      <c r="F105" s="6" t="s">
        <v>8</v>
      </c>
      <c r="G105" s="6" t="s">
        <v>282</v>
      </c>
      <c r="H105" s="17">
        <v>1.8</v>
      </c>
      <c r="I105" s="5"/>
      <c r="J105" s="5"/>
      <c r="K105" s="5"/>
      <c r="L105" s="5"/>
      <c r="M105" s="5"/>
      <c r="N105" s="5"/>
      <c r="O105" s="59">
        <v>122</v>
      </c>
      <c r="P105" s="15" t="s">
        <v>252</v>
      </c>
      <c r="Q105" s="30"/>
      <c r="R105" s="31"/>
      <c r="S105" s="31">
        <v>3700</v>
      </c>
      <c r="T105" s="56">
        <v>1.83</v>
      </c>
      <c r="U105" s="62">
        <v>6770</v>
      </c>
      <c r="W105" s="56"/>
      <c r="X105" s="56"/>
      <c r="Y105" s="56"/>
      <c r="Z105" s="56"/>
      <c r="AA105" s="56"/>
      <c r="AB105" s="31"/>
      <c r="AC105" s="27"/>
      <c r="AD105" s="28"/>
      <c r="AE105" s="28"/>
      <c r="AF105" s="28"/>
    </row>
    <row r="106" spans="1:32">
      <c r="A106" s="4">
        <v>99</v>
      </c>
      <c r="B106" s="42" t="s">
        <v>586</v>
      </c>
      <c r="C106" s="43">
        <v>1887</v>
      </c>
      <c r="D106" s="4">
        <v>1889</v>
      </c>
      <c r="E106" s="42" t="s">
        <v>15</v>
      </c>
      <c r="F106" s="42" t="s">
        <v>364</v>
      </c>
      <c r="G106" s="42" t="s">
        <v>337</v>
      </c>
      <c r="H106" s="45">
        <v>5.49</v>
      </c>
      <c r="I106" s="46"/>
      <c r="J106" s="46"/>
      <c r="K106" s="46"/>
      <c r="L106" s="46">
        <v>0.75</v>
      </c>
      <c r="M106" s="46">
        <v>0.75</v>
      </c>
      <c r="N106" s="46"/>
      <c r="O106" s="61"/>
      <c r="P106" s="46"/>
      <c r="Q106" s="47">
        <v>135000</v>
      </c>
      <c r="R106" s="48">
        <v>72800</v>
      </c>
      <c r="S106" s="48">
        <v>136000</v>
      </c>
      <c r="T106" s="58">
        <v>5.49</v>
      </c>
      <c r="U106" s="64">
        <v>747000</v>
      </c>
      <c r="V106" s="74" t="s">
        <v>238</v>
      </c>
      <c r="W106" s="58">
        <v>5.49</v>
      </c>
      <c r="X106" s="58">
        <v>20</v>
      </c>
      <c r="Y106" s="58">
        <v>9</v>
      </c>
      <c r="Z106" s="58">
        <v>14.5</v>
      </c>
      <c r="AA106" s="58">
        <v>1</v>
      </c>
      <c r="AB106" s="48">
        <v>612</v>
      </c>
      <c r="AC106" s="49"/>
      <c r="AD106" s="50"/>
      <c r="AE106" s="50"/>
      <c r="AF106" s="50"/>
    </row>
    <row r="107" spans="1:32">
      <c r="A107" s="1">
        <v>100</v>
      </c>
      <c r="B107" s="6" t="s">
        <v>365</v>
      </c>
      <c r="C107" s="9">
        <v>1955</v>
      </c>
      <c r="D107" s="1">
        <v>1994</v>
      </c>
      <c r="E107" s="6" t="s">
        <v>9</v>
      </c>
      <c r="F107" s="3" t="s">
        <v>241</v>
      </c>
      <c r="G107" s="6" t="s">
        <v>23</v>
      </c>
      <c r="H107" s="17"/>
      <c r="I107" s="5"/>
      <c r="J107" s="5"/>
      <c r="K107" s="5">
        <v>12.6</v>
      </c>
      <c r="L107" s="5"/>
      <c r="M107" s="5"/>
      <c r="N107" s="5"/>
      <c r="O107" s="59"/>
      <c r="Q107" s="30"/>
      <c r="R107" s="31"/>
      <c r="S107" s="31">
        <v>564000</v>
      </c>
      <c r="T107" s="72">
        <v>5.55</v>
      </c>
      <c r="U107" s="62">
        <v>3130000</v>
      </c>
      <c r="W107" s="56">
        <v>5.12</v>
      </c>
      <c r="X107" s="56"/>
      <c r="Y107" s="56"/>
      <c r="Z107" s="56">
        <v>21</v>
      </c>
      <c r="AA107" s="56">
        <v>0.54</v>
      </c>
      <c r="AB107" s="31">
        <v>1350</v>
      </c>
      <c r="AC107" s="27"/>
      <c r="AD107" s="28"/>
      <c r="AE107" s="28"/>
      <c r="AF107" s="28"/>
    </row>
    <row r="108" spans="1:32">
      <c r="A108" s="1">
        <v>101</v>
      </c>
      <c r="B108" s="6" t="s">
        <v>366</v>
      </c>
      <c r="C108" s="9">
        <v>1914</v>
      </c>
      <c r="D108" s="1">
        <v>1964</v>
      </c>
      <c r="E108" s="6" t="s">
        <v>9</v>
      </c>
      <c r="F108" s="6" t="s">
        <v>367</v>
      </c>
      <c r="G108" s="6" t="s">
        <v>369</v>
      </c>
      <c r="H108" s="17">
        <v>57.61</v>
      </c>
      <c r="I108" s="5"/>
      <c r="J108" s="5"/>
      <c r="K108" s="5"/>
      <c r="L108" s="5"/>
      <c r="M108" s="5"/>
      <c r="N108" s="5">
        <v>226</v>
      </c>
      <c r="O108" s="59">
        <v>24947</v>
      </c>
      <c r="P108" s="15" t="s">
        <v>587</v>
      </c>
      <c r="Q108" s="30">
        <v>37000000</v>
      </c>
      <c r="R108" s="31"/>
      <c r="S108" s="31">
        <v>37000000</v>
      </c>
      <c r="T108" s="56">
        <v>47.85</v>
      </c>
      <c r="U108" s="62">
        <v>1770000000</v>
      </c>
      <c r="V108" s="2" t="s">
        <v>238</v>
      </c>
      <c r="W108" s="56">
        <v>57.6</v>
      </c>
      <c r="X108" s="56">
        <v>225</v>
      </c>
      <c r="Y108" s="56">
        <v>225</v>
      </c>
      <c r="Z108" s="56">
        <v>225</v>
      </c>
      <c r="AA108" s="56">
        <v>0</v>
      </c>
      <c r="AB108" s="31">
        <v>206000</v>
      </c>
      <c r="AC108" s="27"/>
      <c r="AD108" s="29" t="s">
        <v>267</v>
      </c>
      <c r="AE108" s="28">
        <v>0.25</v>
      </c>
      <c r="AF108" s="28"/>
    </row>
    <row r="109" spans="1:32">
      <c r="A109" s="1">
        <v>102</v>
      </c>
      <c r="B109" s="6" t="s">
        <v>370</v>
      </c>
      <c r="C109" s="9">
        <v>1975</v>
      </c>
      <c r="D109" s="1">
        <v>1976</v>
      </c>
      <c r="E109" s="6" t="s">
        <v>15</v>
      </c>
      <c r="F109" s="6" t="s">
        <v>290</v>
      </c>
      <c r="G109" s="6" t="s">
        <v>239</v>
      </c>
      <c r="H109" s="17">
        <v>92.96</v>
      </c>
      <c r="I109" s="5">
        <v>10.7</v>
      </c>
      <c r="J109" s="5"/>
      <c r="K109" s="5">
        <v>250</v>
      </c>
      <c r="L109" s="5">
        <v>3</v>
      </c>
      <c r="M109" s="5">
        <v>2.5</v>
      </c>
      <c r="N109" s="5"/>
      <c r="O109" s="59">
        <v>65120</v>
      </c>
      <c r="P109" s="15" t="s">
        <v>555</v>
      </c>
      <c r="Q109" s="30">
        <v>356000000</v>
      </c>
      <c r="R109" s="31"/>
      <c r="S109" s="31">
        <v>310000000</v>
      </c>
      <c r="T109" s="56">
        <v>77.400000000000006</v>
      </c>
      <c r="U109" s="62">
        <v>24000000000</v>
      </c>
      <c r="V109" s="2" t="s">
        <v>238</v>
      </c>
      <c r="W109" s="56">
        <v>86.9</v>
      </c>
      <c r="X109" s="56"/>
      <c r="Y109" s="56"/>
      <c r="Z109" s="56">
        <v>151</v>
      </c>
      <c r="AA109" s="56">
        <v>1</v>
      </c>
      <c r="AB109" s="31">
        <v>3060000</v>
      </c>
      <c r="AC109" s="27">
        <v>1.25</v>
      </c>
      <c r="AD109" s="28">
        <v>4</v>
      </c>
      <c r="AE109" s="28">
        <v>6</v>
      </c>
      <c r="AF109" s="28"/>
    </row>
    <row r="110" spans="1:32">
      <c r="A110" s="1">
        <v>103</v>
      </c>
      <c r="B110" s="6" t="s">
        <v>371</v>
      </c>
      <c r="C110" s="9"/>
      <c r="E110" s="6" t="s">
        <v>15</v>
      </c>
      <c r="G110" s="6" t="s">
        <v>248</v>
      </c>
      <c r="H110" s="17"/>
      <c r="I110" s="5"/>
      <c r="J110" s="5"/>
      <c r="K110" s="5">
        <v>7.62</v>
      </c>
      <c r="L110" s="5"/>
      <c r="M110" s="5"/>
      <c r="N110" s="5"/>
      <c r="O110" s="59"/>
      <c r="Q110" s="30"/>
      <c r="R110" s="31"/>
      <c r="S110" s="31">
        <v>1480000</v>
      </c>
      <c r="T110" s="56">
        <v>5.18</v>
      </c>
      <c r="U110" s="62">
        <v>7670000</v>
      </c>
      <c r="W110" s="56">
        <v>5.18</v>
      </c>
      <c r="X110" s="56"/>
      <c r="Y110" s="56"/>
      <c r="Z110" s="56">
        <v>21</v>
      </c>
      <c r="AA110" s="56">
        <v>0.82</v>
      </c>
      <c r="AB110" s="31">
        <v>829</v>
      </c>
      <c r="AC110" s="27"/>
      <c r="AD110" s="28"/>
      <c r="AE110" s="28"/>
      <c r="AF110" s="28"/>
    </row>
    <row r="111" spans="1:32">
      <c r="A111" s="1">
        <v>104</v>
      </c>
      <c r="B111" s="6" t="s">
        <v>588</v>
      </c>
      <c r="C111" s="9"/>
      <c r="E111" s="6" t="s">
        <v>9</v>
      </c>
      <c r="G111" s="6" t="s">
        <v>248</v>
      </c>
      <c r="H111" s="17"/>
      <c r="I111" s="5"/>
      <c r="J111" s="5"/>
      <c r="K111" s="5">
        <v>21.6</v>
      </c>
      <c r="L111" s="5"/>
      <c r="M111" s="5"/>
      <c r="N111" s="5"/>
      <c r="O111" s="59"/>
      <c r="Q111" s="30"/>
      <c r="R111" s="31"/>
      <c r="S111" s="31">
        <v>493000</v>
      </c>
      <c r="T111" s="56">
        <v>8.5299999999999994</v>
      </c>
      <c r="U111" s="62">
        <v>4210000</v>
      </c>
      <c r="W111" s="56">
        <v>8.5299999999999994</v>
      </c>
      <c r="X111" s="56"/>
      <c r="Y111" s="56"/>
      <c r="Z111" s="56">
        <v>26.2</v>
      </c>
      <c r="AA111" s="56">
        <v>1.79</v>
      </c>
      <c r="AB111" s="31">
        <v>4830</v>
      </c>
      <c r="AC111" s="27"/>
      <c r="AD111" s="28"/>
      <c r="AE111" s="28"/>
      <c r="AF111" s="28"/>
    </row>
    <row r="112" spans="1:32">
      <c r="A112" s="32">
        <v>105</v>
      </c>
      <c r="B112" s="33" t="s">
        <v>589</v>
      </c>
      <c r="C112" s="34"/>
      <c r="D112" s="32"/>
      <c r="E112" s="33" t="s">
        <v>9</v>
      </c>
      <c r="F112" s="35"/>
      <c r="G112" s="33" t="s">
        <v>248</v>
      </c>
      <c r="H112" s="36"/>
      <c r="I112" s="37"/>
      <c r="J112" s="37"/>
      <c r="K112" s="37"/>
      <c r="L112" s="37"/>
      <c r="M112" s="37"/>
      <c r="N112" s="37"/>
      <c r="O112" s="60"/>
      <c r="P112" s="37"/>
      <c r="Q112" s="38"/>
      <c r="R112" s="39"/>
      <c r="S112" s="39">
        <v>222000</v>
      </c>
      <c r="T112" s="57">
        <v>5.18</v>
      </c>
      <c r="U112" s="63">
        <v>1150000</v>
      </c>
      <c r="V112" s="32"/>
      <c r="W112" s="57">
        <v>5.18</v>
      </c>
      <c r="X112" s="57"/>
      <c r="Y112" s="57"/>
      <c r="Z112" s="57">
        <v>16.5</v>
      </c>
      <c r="AA112" s="57">
        <v>1.71</v>
      </c>
      <c r="AB112" s="39"/>
      <c r="AC112" s="40"/>
      <c r="AD112" s="41"/>
      <c r="AE112" s="41"/>
      <c r="AF112" s="41"/>
    </row>
    <row r="113" spans="1:32">
      <c r="A113" s="1">
        <v>106</v>
      </c>
      <c r="B113" s="6" t="s">
        <v>590</v>
      </c>
      <c r="C113" s="9">
        <v>1893</v>
      </c>
      <c r="D113" s="1">
        <v>1969</v>
      </c>
      <c r="E113" s="6" t="s">
        <v>15</v>
      </c>
      <c r="F113" s="3" t="s">
        <v>241</v>
      </c>
      <c r="G113" s="6" t="s">
        <v>255</v>
      </c>
      <c r="H113" s="17">
        <v>13.6</v>
      </c>
      <c r="I113" s="5">
        <v>6.1</v>
      </c>
      <c r="J113" s="5"/>
      <c r="K113" s="5"/>
      <c r="L113" s="5"/>
      <c r="M113" s="5"/>
      <c r="N113" s="5"/>
      <c r="O113" s="59"/>
      <c r="Q113" s="30">
        <v>11500000</v>
      </c>
      <c r="R113" s="31"/>
      <c r="S113" s="31">
        <v>11600000</v>
      </c>
      <c r="T113" s="56">
        <v>12.2</v>
      </c>
      <c r="U113" s="62">
        <v>142000000</v>
      </c>
      <c r="V113" s="2" t="s">
        <v>238</v>
      </c>
      <c r="W113" s="56">
        <v>13.7</v>
      </c>
      <c r="X113" s="56">
        <v>46</v>
      </c>
      <c r="Y113" s="56">
        <v>41</v>
      </c>
      <c r="Z113" s="56">
        <v>35.4</v>
      </c>
      <c r="AA113" s="56">
        <v>0.75</v>
      </c>
      <c r="AB113" s="31">
        <v>14600</v>
      </c>
      <c r="AC113" s="27">
        <v>1.5</v>
      </c>
      <c r="AD113" s="28">
        <v>1.5</v>
      </c>
      <c r="AE113" s="28">
        <v>1.5</v>
      </c>
      <c r="AF113" s="28"/>
    </row>
    <row r="114" spans="1:32">
      <c r="A114" s="1">
        <v>107</v>
      </c>
      <c r="B114" s="6" t="s">
        <v>375</v>
      </c>
      <c r="C114" s="9">
        <v>1956</v>
      </c>
      <c r="D114" s="1">
        <v>1994</v>
      </c>
      <c r="E114" s="6" t="s">
        <v>15</v>
      </c>
      <c r="F114" s="6" t="s">
        <v>376</v>
      </c>
      <c r="G114" s="6" t="s">
        <v>23</v>
      </c>
      <c r="H114" s="17"/>
      <c r="I114" s="5"/>
      <c r="J114" s="5"/>
      <c r="K114" s="5">
        <v>13.2</v>
      </c>
      <c r="L114" s="5"/>
      <c r="M114" s="5"/>
      <c r="N114" s="5"/>
      <c r="O114" s="59"/>
      <c r="Q114" s="30"/>
      <c r="R114" s="31"/>
      <c r="S114" s="31">
        <v>533000</v>
      </c>
      <c r="T114" s="56">
        <v>3.57</v>
      </c>
      <c r="U114" s="62">
        <v>1900000</v>
      </c>
      <c r="W114" s="56">
        <v>3.72</v>
      </c>
      <c r="X114" s="56"/>
      <c r="Y114" s="56"/>
      <c r="Z114" s="56">
        <v>29</v>
      </c>
      <c r="AA114" s="56">
        <v>1.74</v>
      </c>
      <c r="AB114" s="31">
        <v>1420</v>
      </c>
      <c r="AC114" s="27"/>
      <c r="AD114" s="28"/>
      <c r="AE114" s="28"/>
      <c r="AF114" s="28"/>
    </row>
    <row r="115" spans="1:32">
      <c r="A115" s="1">
        <v>108</v>
      </c>
      <c r="B115" s="6" t="s">
        <v>591</v>
      </c>
      <c r="C115" s="9">
        <v>1904</v>
      </c>
      <c r="D115" s="1">
        <v>1912</v>
      </c>
      <c r="E115" s="6" t="s">
        <v>9</v>
      </c>
      <c r="F115" s="6" t="s">
        <v>378</v>
      </c>
      <c r="G115" s="6" t="s">
        <v>296</v>
      </c>
      <c r="H115" s="17">
        <v>7.32</v>
      </c>
      <c r="I115" s="5">
        <v>2.1</v>
      </c>
      <c r="J115" s="5"/>
      <c r="K115" s="5">
        <v>7.76</v>
      </c>
      <c r="L115" s="5">
        <v>1</v>
      </c>
      <c r="M115" s="5">
        <v>1</v>
      </c>
      <c r="N115" s="5">
        <v>133</v>
      </c>
      <c r="O115" s="59"/>
      <c r="Q115" s="30">
        <v>664000</v>
      </c>
      <c r="R115" s="31"/>
      <c r="S115" s="31">
        <v>662000</v>
      </c>
      <c r="T115" s="56">
        <v>6.4</v>
      </c>
      <c r="U115" s="62">
        <v>4240000</v>
      </c>
      <c r="V115" s="2" t="s">
        <v>238</v>
      </c>
      <c r="W115" s="56">
        <v>6.1</v>
      </c>
      <c r="X115" s="56">
        <v>21.3</v>
      </c>
      <c r="Y115" s="56">
        <v>18.3</v>
      </c>
      <c r="Z115" s="56">
        <v>19.8</v>
      </c>
      <c r="AA115" s="56">
        <v>0.2</v>
      </c>
      <c r="AB115" s="31">
        <v>1480</v>
      </c>
      <c r="AC115" s="27"/>
      <c r="AD115" s="28">
        <v>5</v>
      </c>
      <c r="AE115" s="28">
        <v>5</v>
      </c>
      <c r="AF115" s="28">
        <v>5</v>
      </c>
    </row>
  </sheetData>
  <mergeCells count="5">
    <mergeCell ref="H1:N1"/>
    <mergeCell ref="Q1:U1"/>
    <mergeCell ref="V1:AB1"/>
    <mergeCell ref="O1:P1"/>
    <mergeCell ref="AC1:AF1"/>
  </mergeCells>
  <pageMargins left="0.7" right="0.7" top="0.75" bottom="0.75" header="0.3" footer="0.3"/>
  <pageSetup orientation="portrait" verticalDpi="4"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Dam Regression Equations</vt:lpstr>
      <vt:lpstr>References</vt:lpstr>
      <vt:lpstr>Filtered Data &amp; Plots</vt:lpstr>
      <vt:lpstr>Data Sources</vt:lpstr>
      <vt:lpstr>Dam Failure Case Study 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2026-10-08T02:52:25Z</dcterms:created>
  <dcterms:modified xsi:type="dcterms:W3CDTF">2026-10-08T02:52:29Z</dcterms:modified>
  <cp:category/>
  <cp:contentStatus/>
</cp:coreProperties>
</file>