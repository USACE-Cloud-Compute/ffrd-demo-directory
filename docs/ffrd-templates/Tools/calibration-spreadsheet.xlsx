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xr:revisionPtr revIDLastSave="0" documentId="13_ncr:1_{3BDEDC00-E1A3-4826-A041-D3BEB840DF33}" xr6:coauthVersionLast="47" xr6:coauthVersionMax="47" xr10:uidLastSave="{00000000-0000-0000-0000-000000000000}"/>
  <bookViews>
    <workbookView xWindow="28680" yWindow="-90" windowWidth="29040" windowHeight="15690" tabRatio="798" activeTab="2" xr2:uid="{00000000-000D-0000-FFFF-FFFF00000000}"/>
  </bookViews>
  <sheets>
    <sheet name="Statics Reference" sheetId="98" r:id="rId1"/>
    <sheet name="Summary" sheetId="96" r:id="rId2"/>
    <sheet name="Gage_and_Event" sheetId="99" r:id="rId3"/>
  </sheets>
  <definedNames>
    <definedName name="Mod_El" localSheetId="2">(INDIRECT("$R$"&amp;Gage_and_Event!$F$4):INDIRECT("$R$"&amp;Gage_and_Event!$G$4))</definedName>
    <definedName name="Mod_Flow" localSheetId="2">(INDIRECT("$S$"&amp;Gage_and_Event!$D$4):INDIRECT("$S$"&amp;Gage_and_Event!$E$4))</definedName>
    <definedName name="Obs_El" localSheetId="2">(INDIRECT("$P$"&amp;Gage_and_Event!$F$4):INDIRECT("$P$"&amp;Gage_and_Event!$G$4))</definedName>
    <definedName name="Obs_Flow" localSheetId="2">(INDIRECT("$Q$"&amp;Gage_and_Event!$D$4):INDIRECT("$Q$"&amp;Gage_and_Event!$E$4))</definedName>
    <definedName name="Time_El" localSheetId="2">(INDIRECT("$O$"&amp;Gage_and_Event!$F$4):INDIRECT("$O$"&amp;Gage_and_Event!$G$4))</definedName>
    <definedName name="Time_flow" localSheetId="2">(INDIRECT("$O$"&amp;Gage_and_Event!$D$4):INDIRECT("$O$"&amp;Gage_and_Event!$E$4))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35" i="99" l="1"/>
  <c r="O536" i="99"/>
  <c r="O537" i="99"/>
  <c r="O538" i="99"/>
  <c r="O539" i="99"/>
  <c r="O540" i="99"/>
  <c r="O541" i="99"/>
  <c r="O542" i="99"/>
  <c r="O543" i="99"/>
  <c r="O544" i="99"/>
  <c r="O545" i="99"/>
  <c r="O546" i="99"/>
  <c r="O547" i="99"/>
  <c r="O548" i="99"/>
  <c r="O549" i="99"/>
  <c r="O550" i="99"/>
  <c r="O551" i="99"/>
  <c r="O552" i="99"/>
  <c r="O553" i="99"/>
  <c r="O554" i="99"/>
  <c r="O555" i="99"/>
  <c r="O556" i="99"/>
  <c r="O557" i="99"/>
  <c r="O558" i="99"/>
  <c r="O559" i="99"/>
  <c r="O560" i="99"/>
  <c r="O561" i="99"/>
  <c r="O562" i="99"/>
  <c r="O563" i="99"/>
  <c r="O564" i="99"/>
  <c r="O565" i="99"/>
  <c r="O566" i="99"/>
  <c r="O567" i="99"/>
  <c r="O568" i="99"/>
  <c r="O569" i="99"/>
  <c r="O570" i="99"/>
  <c r="O571" i="99"/>
  <c r="O572" i="99"/>
  <c r="O573" i="99"/>
  <c r="O574" i="99"/>
  <c r="O575" i="99"/>
  <c r="O576" i="99"/>
  <c r="O577" i="99"/>
  <c r="O578" i="99"/>
  <c r="O579" i="99"/>
  <c r="O580" i="99"/>
  <c r="O581" i="99"/>
  <c r="O582" i="99"/>
  <c r="O583" i="99"/>
  <c r="O584" i="99"/>
  <c r="O585" i="99"/>
  <c r="O586" i="99"/>
  <c r="O587" i="99"/>
  <c r="O588" i="99"/>
  <c r="O589" i="99"/>
  <c r="O590" i="99"/>
  <c r="O591" i="99"/>
  <c r="O592" i="99"/>
  <c r="O593" i="99"/>
  <c r="O594" i="99"/>
  <c r="O595" i="99"/>
  <c r="O596" i="99"/>
  <c r="O597" i="99"/>
  <c r="O598" i="99"/>
  <c r="O599" i="99"/>
  <c r="O600" i="99"/>
  <c r="O601" i="99"/>
  <c r="O602" i="99"/>
  <c r="O603" i="99"/>
  <c r="O604" i="99"/>
  <c r="O605" i="99"/>
  <c r="O606" i="99"/>
  <c r="O607" i="99"/>
  <c r="O608" i="99"/>
  <c r="O609" i="99"/>
  <c r="O610" i="99"/>
  <c r="O611" i="99"/>
  <c r="O612" i="99"/>
  <c r="O613" i="99"/>
  <c r="O614" i="99"/>
  <c r="O615" i="99"/>
  <c r="O616" i="99"/>
  <c r="O617" i="99"/>
  <c r="O618" i="99"/>
  <c r="O619" i="99"/>
  <c r="O620" i="99"/>
  <c r="O621" i="99"/>
  <c r="O622" i="99"/>
  <c r="O623" i="99"/>
  <c r="O624" i="99"/>
  <c r="O625" i="99"/>
  <c r="O626" i="99"/>
  <c r="O627" i="99"/>
  <c r="O628" i="99"/>
  <c r="O629" i="99"/>
  <c r="O630" i="99"/>
  <c r="O631" i="99"/>
  <c r="O632" i="99"/>
  <c r="O633" i="99"/>
  <c r="O634" i="99"/>
  <c r="O635" i="99"/>
  <c r="O636" i="99"/>
  <c r="O637" i="99"/>
  <c r="O638" i="99"/>
  <c r="O639" i="99"/>
  <c r="O640" i="99"/>
  <c r="O641" i="99"/>
  <c r="O642" i="99"/>
  <c r="O643" i="99"/>
  <c r="O644" i="99"/>
  <c r="O645" i="99"/>
  <c r="O646" i="99"/>
  <c r="O647" i="99"/>
  <c r="O648" i="99"/>
  <c r="O649" i="99"/>
  <c r="O650" i="99"/>
  <c r="O651" i="99"/>
  <c r="O652" i="99"/>
  <c r="O653" i="99"/>
  <c r="O654" i="99"/>
  <c r="O655" i="99"/>
  <c r="O656" i="99"/>
  <c r="O657" i="99"/>
  <c r="O658" i="99"/>
  <c r="O659" i="99"/>
  <c r="O660" i="99"/>
  <c r="O661" i="99"/>
  <c r="O662" i="99"/>
  <c r="O663" i="99"/>
  <c r="O664" i="99"/>
  <c r="O665" i="99"/>
  <c r="O666" i="99"/>
  <c r="O667" i="99"/>
  <c r="O668" i="99"/>
  <c r="O669" i="99"/>
  <c r="O670" i="99"/>
  <c r="O671" i="99"/>
  <c r="O672" i="99"/>
  <c r="O673" i="99"/>
  <c r="O674" i="99"/>
  <c r="O675" i="99"/>
  <c r="O676" i="99"/>
  <c r="O677" i="99"/>
  <c r="O678" i="99"/>
  <c r="O679" i="99"/>
  <c r="O680" i="99"/>
  <c r="O681" i="99"/>
  <c r="O682" i="99"/>
  <c r="O683" i="99"/>
  <c r="O684" i="99"/>
  <c r="O685" i="99"/>
  <c r="O686" i="99"/>
  <c r="O687" i="99"/>
  <c r="O688" i="99"/>
  <c r="O689" i="99"/>
  <c r="O690" i="99"/>
  <c r="O691" i="99"/>
  <c r="O692" i="99"/>
  <c r="O693" i="99"/>
  <c r="O694" i="99"/>
  <c r="O695" i="99"/>
  <c r="O696" i="99"/>
  <c r="O697" i="99"/>
  <c r="O698" i="99"/>
  <c r="O699" i="99"/>
  <c r="O700" i="99"/>
  <c r="O701" i="99"/>
  <c r="O702" i="99"/>
  <c r="O703" i="99"/>
  <c r="O704" i="99"/>
  <c r="O705" i="99"/>
  <c r="O706" i="99"/>
  <c r="O707" i="99"/>
  <c r="O708" i="99"/>
  <c r="O709" i="99"/>
  <c r="O710" i="99"/>
  <c r="O711" i="99"/>
  <c r="O712" i="99"/>
  <c r="O713" i="99"/>
  <c r="O714" i="99"/>
  <c r="O715" i="99"/>
  <c r="O716" i="99"/>
  <c r="O717" i="99"/>
  <c r="O718" i="99"/>
  <c r="O719" i="99"/>
  <c r="O720" i="99"/>
  <c r="O721" i="99"/>
  <c r="O722" i="99"/>
  <c r="O723" i="99"/>
  <c r="O724" i="99"/>
  <c r="O725" i="99"/>
  <c r="O726" i="99"/>
  <c r="O727" i="99"/>
  <c r="O728" i="99"/>
  <c r="O729" i="99"/>
  <c r="O730" i="99"/>
  <c r="O731" i="99"/>
  <c r="O732" i="99"/>
  <c r="O733" i="99"/>
  <c r="O734" i="99"/>
  <c r="O735" i="99"/>
  <c r="O736" i="99"/>
  <c r="O737" i="99"/>
  <c r="O738" i="99"/>
  <c r="O739" i="99"/>
  <c r="O740" i="99"/>
  <c r="O741" i="99"/>
  <c r="O742" i="99"/>
  <c r="O743" i="99"/>
  <c r="O744" i="99"/>
  <c r="O745" i="99"/>
  <c r="O746" i="99"/>
  <c r="O747" i="99"/>
  <c r="O748" i="99"/>
  <c r="O749" i="99"/>
  <c r="O750" i="99"/>
  <c r="O751" i="99"/>
  <c r="O752" i="99"/>
  <c r="O753" i="99"/>
  <c r="O754" i="99"/>
  <c r="O755" i="99"/>
  <c r="O756" i="99"/>
  <c r="O757" i="99"/>
  <c r="O758" i="99"/>
  <c r="O759" i="99"/>
  <c r="O760" i="99"/>
  <c r="O761" i="99"/>
  <c r="O762" i="99"/>
  <c r="O763" i="99"/>
  <c r="O764" i="99"/>
  <c r="O765" i="99"/>
  <c r="O766" i="99"/>
  <c r="O767" i="99"/>
  <c r="O768" i="99"/>
  <c r="O769" i="99"/>
  <c r="O770" i="99"/>
  <c r="O771" i="99"/>
  <c r="O772" i="99"/>
  <c r="O773" i="99"/>
  <c r="O774" i="99"/>
  <c r="O775" i="99"/>
  <c r="O776" i="99"/>
  <c r="O777" i="99"/>
  <c r="O778" i="99"/>
  <c r="O779" i="99"/>
  <c r="O780" i="99"/>
  <c r="O781" i="99"/>
  <c r="O782" i="99"/>
  <c r="O783" i="99"/>
  <c r="O784" i="99"/>
  <c r="O785" i="99"/>
  <c r="O786" i="99"/>
  <c r="O787" i="99"/>
  <c r="O788" i="99"/>
  <c r="O789" i="99"/>
  <c r="O790" i="99"/>
  <c r="O791" i="99"/>
  <c r="O792" i="99"/>
  <c r="O793" i="99"/>
  <c r="O794" i="99"/>
  <c r="O795" i="99"/>
  <c r="O796" i="99"/>
  <c r="O797" i="99"/>
  <c r="O798" i="99"/>
  <c r="O799" i="99"/>
  <c r="O800" i="99"/>
  <c r="O801" i="99"/>
  <c r="O802" i="99"/>
  <c r="O803" i="99"/>
  <c r="O804" i="99"/>
  <c r="O805" i="99"/>
  <c r="O806" i="99"/>
  <c r="O807" i="99"/>
  <c r="O808" i="99"/>
  <c r="O809" i="99"/>
  <c r="O810" i="99"/>
  <c r="O811" i="99"/>
  <c r="O812" i="99"/>
  <c r="O813" i="99"/>
  <c r="O814" i="99"/>
  <c r="O815" i="99"/>
  <c r="O816" i="99"/>
  <c r="O817" i="99"/>
  <c r="O818" i="99"/>
  <c r="O819" i="99"/>
  <c r="O820" i="99"/>
  <c r="O821" i="99"/>
  <c r="O822" i="99"/>
  <c r="O823" i="99"/>
  <c r="O824" i="99"/>
  <c r="O825" i="99"/>
  <c r="O826" i="99"/>
  <c r="O827" i="99"/>
  <c r="O828" i="99"/>
  <c r="O829" i="99"/>
  <c r="O830" i="99"/>
  <c r="O831" i="99"/>
  <c r="O832" i="99"/>
  <c r="O833" i="99"/>
  <c r="O834" i="99"/>
  <c r="O835" i="99"/>
  <c r="O836" i="99"/>
  <c r="O837" i="99"/>
  <c r="O838" i="99"/>
  <c r="O839" i="99"/>
  <c r="O840" i="99"/>
  <c r="O841" i="99"/>
  <c r="O842" i="99"/>
  <c r="O843" i="99"/>
  <c r="O844" i="99"/>
  <c r="O845" i="99"/>
  <c r="O846" i="99"/>
  <c r="O847" i="99"/>
  <c r="O848" i="99"/>
  <c r="O849" i="99"/>
  <c r="O850" i="99"/>
  <c r="O851" i="99"/>
  <c r="O852" i="99"/>
  <c r="O853" i="99"/>
  <c r="O854" i="99"/>
  <c r="O855" i="99"/>
  <c r="O856" i="99"/>
  <c r="O857" i="99"/>
  <c r="O858" i="99"/>
  <c r="O859" i="99"/>
  <c r="O860" i="99"/>
  <c r="O861" i="99"/>
  <c r="O862" i="99"/>
  <c r="O863" i="99"/>
  <c r="O864" i="99"/>
  <c r="O865" i="99"/>
  <c r="O866" i="99"/>
  <c r="O867" i="99"/>
  <c r="O868" i="99"/>
  <c r="O869" i="99"/>
  <c r="O870" i="99"/>
  <c r="O871" i="99"/>
  <c r="O872" i="99"/>
  <c r="O873" i="99"/>
  <c r="O874" i="99"/>
  <c r="O875" i="99"/>
  <c r="O876" i="99"/>
  <c r="O877" i="99"/>
  <c r="O878" i="99"/>
  <c r="O879" i="99"/>
  <c r="O880" i="99"/>
  <c r="O881" i="99"/>
  <c r="O882" i="99"/>
  <c r="O883" i="99"/>
  <c r="O884" i="99"/>
  <c r="O885" i="99"/>
  <c r="O886" i="99"/>
  <c r="O887" i="99"/>
  <c r="O888" i="99"/>
  <c r="O889" i="99"/>
  <c r="O890" i="99"/>
  <c r="O891" i="99"/>
  <c r="O892" i="99"/>
  <c r="O893" i="99"/>
  <c r="O894" i="99"/>
  <c r="O895" i="99"/>
  <c r="O896" i="99"/>
  <c r="O897" i="99"/>
  <c r="O898" i="99"/>
  <c r="O899" i="99"/>
  <c r="O900" i="99"/>
  <c r="O901" i="99"/>
  <c r="O902" i="99"/>
  <c r="O903" i="99"/>
  <c r="O904" i="99"/>
  <c r="O905" i="99"/>
  <c r="O906" i="99"/>
  <c r="O907" i="99"/>
  <c r="O908" i="99"/>
  <c r="O909" i="99"/>
  <c r="O910" i="99"/>
  <c r="O911" i="99"/>
  <c r="O912" i="99"/>
  <c r="O913" i="99"/>
  <c r="O914" i="99"/>
  <c r="O915" i="99"/>
  <c r="O916" i="99"/>
  <c r="O917" i="99"/>
  <c r="O918" i="99"/>
  <c r="O919" i="99"/>
  <c r="O920" i="99"/>
  <c r="O921" i="99"/>
  <c r="O922" i="99"/>
  <c r="O923" i="99"/>
  <c r="O924" i="99"/>
  <c r="O925" i="99"/>
  <c r="O926" i="99"/>
  <c r="O927" i="99"/>
  <c r="O928" i="99"/>
  <c r="O929" i="99"/>
  <c r="O930" i="99"/>
  <c r="O931" i="99"/>
  <c r="O932" i="99"/>
  <c r="O933" i="99"/>
  <c r="O934" i="99"/>
  <c r="O935" i="99"/>
  <c r="O936" i="99"/>
  <c r="O937" i="99"/>
  <c r="O938" i="99"/>
  <c r="O939" i="99"/>
  <c r="O940" i="99"/>
  <c r="O941" i="99"/>
  <c r="O942" i="99"/>
  <c r="O943" i="99"/>
  <c r="O944" i="99"/>
  <c r="O945" i="99"/>
  <c r="O946" i="99"/>
  <c r="O947" i="99"/>
  <c r="O948" i="99"/>
  <c r="O949" i="99"/>
  <c r="O950" i="99"/>
  <c r="O951" i="99"/>
  <c r="O952" i="99"/>
  <c r="O953" i="99"/>
  <c r="O954" i="99"/>
  <c r="O955" i="99"/>
  <c r="O956" i="99"/>
  <c r="O957" i="99"/>
  <c r="O958" i="99"/>
  <c r="O959" i="99"/>
  <c r="O960" i="99"/>
  <c r="O961" i="99"/>
  <c r="O962" i="99"/>
  <c r="O963" i="99"/>
  <c r="O964" i="99"/>
  <c r="O965" i="99"/>
  <c r="O966" i="99"/>
  <c r="O967" i="99"/>
  <c r="O968" i="99"/>
  <c r="O969" i="99"/>
  <c r="O970" i="99"/>
  <c r="O971" i="99"/>
  <c r="O972" i="99"/>
  <c r="O973" i="99"/>
  <c r="O974" i="99"/>
  <c r="O975" i="99"/>
  <c r="O976" i="99"/>
  <c r="O977" i="99"/>
  <c r="O978" i="99"/>
  <c r="O979" i="99"/>
  <c r="O980" i="99"/>
  <c r="O981" i="99"/>
  <c r="O982" i="99"/>
  <c r="O983" i="99"/>
  <c r="O984" i="99"/>
  <c r="O985" i="99"/>
  <c r="O986" i="99"/>
  <c r="O987" i="99"/>
  <c r="O988" i="99"/>
  <c r="O989" i="99"/>
  <c r="O990" i="99"/>
  <c r="O991" i="99"/>
  <c r="O992" i="99"/>
  <c r="O993" i="99"/>
  <c r="O994" i="99"/>
  <c r="O995" i="99"/>
  <c r="O996" i="99"/>
  <c r="O997" i="99"/>
  <c r="O998" i="99"/>
  <c r="O999" i="99"/>
  <c r="O1000" i="99"/>
  <c r="O1001" i="99"/>
  <c r="O1002" i="99"/>
  <c r="O1003" i="99"/>
  <c r="O1004" i="99"/>
  <c r="O1005" i="99"/>
  <c r="O1006" i="99"/>
  <c r="O1007" i="99"/>
  <c r="O1008" i="99"/>
  <c r="O1009" i="99"/>
  <c r="O1010" i="99"/>
  <c r="O1011" i="99"/>
  <c r="O1012" i="99"/>
  <c r="O1013" i="99"/>
  <c r="O1014" i="99"/>
  <c r="O1015" i="99"/>
  <c r="O1016" i="99"/>
  <c r="O1017" i="99"/>
  <c r="O1018" i="99"/>
  <c r="O1019" i="99"/>
  <c r="O1020" i="99"/>
  <c r="O1021" i="99"/>
  <c r="O1022" i="99"/>
  <c r="O1023" i="99"/>
  <c r="O1024" i="99"/>
  <c r="O1025" i="99"/>
  <c r="O1026" i="99"/>
  <c r="O1027" i="99"/>
  <c r="O1028" i="99"/>
  <c r="O1029" i="99"/>
  <c r="O1030" i="99"/>
  <c r="O1031" i="99"/>
  <c r="O1032" i="99"/>
  <c r="O1033" i="99"/>
  <c r="O1034" i="99"/>
  <c r="O1035" i="99"/>
  <c r="O1036" i="99"/>
  <c r="O1037" i="99"/>
  <c r="O1038" i="99"/>
  <c r="O1039" i="99"/>
  <c r="O1040" i="99"/>
  <c r="O1041" i="99"/>
  <c r="O1042" i="99"/>
  <c r="O1043" i="99"/>
  <c r="O1044" i="99"/>
  <c r="O1045" i="99"/>
  <c r="O1046" i="99"/>
  <c r="O1047" i="99"/>
  <c r="O1048" i="99"/>
  <c r="O1049" i="99"/>
  <c r="O1050" i="99"/>
  <c r="O1051" i="99"/>
  <c r="O1052" i="99"/>
  <c r="O1053" i="99"/>
  <c r="O1054" i="99"/>
  <c r="O1055" i="99"/>
  <c r="O1056" i="99"/>
  <c r="O1057" i="99"/>
  <c r="O1058" i="99"/>
  <c r="O1059" i="99"/>
  <c r="O1060" i="99"/>
  <c r="O1061" i="99"/>
  <c r="O1062" i="99"/>
  <c r="O1063" i="99"/>
  <c r="O1064" i="99"/>
  <c r="O1065" i="99"/>
  <c r="O1066" i="99"/>
  <c r="O1067" i="99"/>
  <c r="O1068" i="99"/>
  <c r="O1069" i="99"/>
  <c r="O1070" i="99"/>
  <c r="O1071" i="99"/>
  <c r="O1072" i="99"/>
  <c r="O1073" i="99"/>
  <c r="O1074" i="99"/>
  <c r="O1075" i="99"/>
  <c r="O1076" i="99"/>
  <c r="O1077" i="99"/>
  <c r="O1078" i="99"/>
  <c r="O1079" i="99"/>
  <c r="O1080" i="99"/>
  <c r="O1081" i="99"/>
  <c r="O1082" i="99"/>
  <c r="O1083" i="99"/>
  <c r="O1084" i="99"/>
  <c r="O1085" i="99"/>
  <c r="O1086" i="99"/>
  <c r="O1087" i="99"/>
  <c r="O1088" i="99"/>
  <c r="O1089" i="99"/>
  <c r="O1090" i="99"/>
  <c r="O1091" i="99"/>
  <c r="O1092" i="99"/>
  <c r="O1093" i="99"/>
  <c r="O1094" i="99"/>
  <c r="O1095" i="99"/>
  <c r="O1096" i="99"/>
  <c r="O1097" i="99"/>
  <c r="O1098" i="99"/>
  <c r="O1099" i="99"/>
  <c r="O1100" i="99"/>
  <c r="O1101" i="99"/>
  <c r="O1102" i="99"/>
  <c r="O1103" i="99"/>
  <c r="O1104" i="99"/>
  <c r="O1105" i="99"/>
  <c r="O1106" i="99"/>
  <c r="O1107" i="99"/>
  <c r="O1108" i="99"/>
  <c r="O1109" i="99"/>
  <c r="O1110" i="99"/>
  <c r="O1111" i="99"/>
  <c r="O1112" i="99"/>
  <c r="O1113" i="99"/>
  <c r="O1114" i="99"/>
  <c r="O1115" i="99"/>
  <c r="O1116" i="99"/>
  <c r="O1117" i="99"/>
  <c r="O1118" i="99"/>
  <c r="O1119" i="99"/>
  <c r="O1120" i="99"/>
  <c r="O1121" i="99"/>
  <c r="O1122" i="99"/>
  <c r="O1123" i="99"/>
  <c r="O1124" i="99"/>
  <c r="O1125" i="99"/>
  <c r="O1126" i="99"/>
  <c r="O1127" i="99"/>
  <c r="O1128" i="99"/>
  <c r="O1129" i="99"/>
  <c r="O1130" i="99"/>
  <c r="O1131" i="99"/>
  <c r="O1132" i="99"/>
  <c r="O1133" i="99"/>
  <c r="O1134" i="99"/>
  <c r="O1135" i="99"/>
  <c r="O1136" i="99"/>
  <c r="O1137" i="99"/>
  <c r="O1138" i="99"/>
  <c r="O1139" i="99"/>
  <c r="O1140" i="99"/>
  <c r="O1141" i="99"/>
  <c r="O1142" i="99"/>
  <c r="O1143" i="99"/>
  <c r="O1144" i="99"/>
  <c r="O1145" i="99"/>
  <c r="O1146" i="99"/>
  <c r="O1147" i="99"/>
  <c r="O1148" i="99"/>
  <c r="O1149" i="99"/>
  <c r="O1150" i="99"/>
  <c r="O1151" i="99"/>
  <c r="O1152" i="99"/>
  <c r="O1153" i="99"/>
  <c r="O1154" i="99"/>
  <c r="O1155" i="99"/>
  <c r="O1156" i="99"/>
  <c r="O1157" i="99"/>
  <c r="O1158" i="99"/>
  <c r="O1159" i="99"/>
  <c r="O1160" i="99"/>
  <c r="O1161" i="99"/>
  <c r="O1162" i="99"/>
  <c r="O1163" i="99"/>
  <c r="O1164" i="99"/>
  <c r="O1165" i="99"/>
  <c r="O1166" i="99"/>
  <c r="O1167" i="99"/>
  <c r="O1168" i="99"/>
  <c r="O1169" i="99"/>
  <c r="O1170" i="99"/>
  <c r="O1171" i="99"/>
  <c r="O1172" i="99"/>
  <c r="O1173" i="99"/>
  <c r="O1174" i="99"/>
  <c r="O1175" i="99"/>
  <c r="O1176" i="99"/>
  <c r="O1177" i="99"/>
  <c r="O1178" i="99"/>
  <c r="O1179" i="99"/>
  <c r="O1180" i="99"/>
  <c r="O1181" i="99"/>
  <c r="O1182" i="99"/>
  <c r="O1183" i="99"/>
  <c r="O1184" i="99"/>
  <c r="O1185" i="99"/>
  <c r="O1186" i="99"/>
  <c r="O1187" i="99"/>
  <c r="O1188" i="99"/>
  <c r="O1189" i="99"/>
  <c r="O1190" i="99"/>
  <c r="O1191" i="99"/>
  <c r="O1192" i="99"/>
  <c r="O1193" i="99"/>
  <c r="O1194" i="99"/>
  <c r="O1195" i="99"/>
  <c r="O1196" i="99"/>
  <c r="O1197" i="99"/>
  <c r="O1198" i="99"/>
  <c r="O1199" i="99"/>
  <c r="O1200" i="99"/>
  <c r="O1201" i="99"/>
  <c r="O1202" i="99"/>
  <c r="O1203" i="99"/>
  <c r="O1204" i="99"/>
  <c r="O1205" i="99"/>
  <c r="O1206" i="99"/>
  <c r="O1207" i="99"/>
  <c r="O1208" i="99"/>
  <c r="O1209" i="99"/>
  <c r="O1210" i="99"/>
  <c r="O1211" i="99"/>
  <c r="O1212" i="99"/>
  <c r="O1213" i="99"/>
  <c r="O1214" i="99"/>
  <c r="O1215" i="99"/>
  <c r="O1216" i="99"/>
  <c r="O1217" i="99"/>
  <c r="O1218" i="99"/>
  <c r="O1219" i="99"/>
  <c r="O1220" i="99"/>
  <c r="O1221" i="99"/>
  <c r="O1222" i="99"/>
  <c r="O1223" i="99"/>
  <c r="O1224" i="99"/>
  <c r="O1225" i="99"/>
  <c r="O1226" i="99"/>
  <c r="O1227" i="99"/>
  <c r="O1228" i="99"/>
  <c r="O1229" i="99"/>
  <c r="O1230" i="99"/>
  <c r="O1231" i="99"/>
  <c r="O1232" i="99"/>
  <c r="O1233" i="99"/>
  <c r="O1234" i="99"/>
  <c r="O1235" i="99"/>
  <c r="O1236" i="99"/>
  <c r="O1237" i="99"/>
  <c r="O1238" i="99"/>
  <c r="O1239" i="99"/>
  <c r="O1240" i="99"/>
  <c r="O1241" i="99"/>
  <c r="O1242" i="99"/>
  <c r="O1243" i="99"/>
  <c r="O1244" i="99"/>
  <c r="O1245" i="99"/>
  <c r="O1246" i="99"/>
  <c r="O1247" i="99"/>
  <c r="O1248" i="99"/>
  <c r="O1249" i="99"/>
  <c r="O1250" i="99"/>
  <c r="O1251" i="99"/>
  <c r="O1252" i="99"/>
  <c r="O1253" i="99"/>
  <c r="O1254" i="99"/>
  <c r="O1255" i="99"/>
  <c r="O1256" i="99"/>
  <c r="O1257" i="99"/>
  <c r="O1258" i="99"/>
  <c r="O1259" i="99"/>
  <c r="O1260" i="99"/>
  <c r="O1261" i="99"/>
  <c r="O1262" i="99"/>
  <c r="O1263" i="99"/>
  <c r="O1264" i="99"/>
  <c r="O1265" i="99"/>
  <c r="O1266" i="99"/>
  <c r="O1267" i="99"/>
  <c r="O1268" i="99"/>
  <c r="O1269" i="99"/>
  <c r="O1270" i="99"/>
  <c r="O1271" i="99"/>
  <c r="O1272" i="99"/>
  <c r="O1273" i="99"/>
  <c r="O1274" i="99"/>
  <c r="O1275" i="99"/>
  <c r="O1276" i="99"/>
  <c r="O1277" i="99"/>
  <c r="O1278" i="99"/>
  <c r="O1279" i="99"/>
  <c r="O1280" i="99"/>
  <c r="O1281" i="99"/>
  <c r="O1282" i="99"/>
  <c r="O1283" i="99"/>
  <c r="O1284" i="99"/>
  <c r="O1285" i="99"/>
  <c r="O1286" i="99"/>
  <c r="O1287" i="99"/>
  <c r="O1288" i="99"/>
  <c r="O1289" i="99"/>
  <c r="O1290" i="99"/>
  <c r="O1291" i="99"/>
  <c r="O1292" i="99"/>
  <c r="O1293" i="99"/>
  <c r="O1294" i="99"/>
  <c r="O1295" i="99"/>
  <c r="O1296" i="99"/>
  <c r="O1297" i="99"/>
  <c r="O1298" i="99"/>
  <c r="O1299" i="99"/>
  <c r="O1300" i="99"/>
  <c r="O1301" i="99"/>
  <c r="O1302" i="99"/>
  <c r="O1303" i="99"/>
  <c r="O1304" i="99"/>
  <c r="O1305" i="99"/>
  <c r="O1306" i="99"/>
  <c r="O1307" i="99"/>
  <c r="O1308" i="99"/>
  <c r="O1309" i="99"/>
  <c r="O1310" i="99"/>
  <c r="O1311" i="99"/>
  <c r="O1312" i="99"/>
  <c r="O1313" i="99"/>
  <c r="O1314" i="99"/>
  <c r="O1315" i="99"/>
  <c r="O1316" i="99"/>
  <c r="O1317" i="99"/>
  <c r="O1318" i="99"/>
  <c r="O1319" i="99"/>
  <c r="O1320" i="99"/>
  <c r="O1321" i="99"/>
  <c r="O1322" i="99"/>
  <c r="O1323" i="99"/>
  <c r="O1324" i="99"/>
  <c r="O1325" i="99"/>
  <c r="O1326" i="99"/>
  <c r="O1327" i="99"/>
  <c r="O1328" i="99"/>
  <c r="O1329" i="99"/>
  <c r="O1330" i="99"/>
  <c r="O1331" i="99"/>
  <c r="O1332" i="99"/>
  <c r="O1333" i="99"/>
  <c r="O1334" i="99"/>
  <c r="O1335" i="99"/>
  <c r="O1336" i="99"/>
  <c r="O1337" i="99"/>
  <c r="O1338" i="99"/>
  <c r="O1339" i="99"/>
  <c r="O1340" i="99"/>
  <c r="O1341" i="99"/>
  <c r="O1342" i="99"/>
  <c r="O1343" i="99"/>
  <c r="O1344" i="99"/>
  <c r="O1345" i="99"/>
  <c r="O1346" i="99"/>
  <c r="O1347" i="99"/>
  <c r="O1348" i="99"/>
  <c r="O1349" i="99"/>
  <c r="O1350" i="99"/>
  <c r="O1351" i="99"/>
  <c r="O1352" i="99"/>
  <c r="O1353" i="99"/>
  <c r="O1354" i="99"/>
  <c r="O1355" i="99"/>
  <c r="O1356" i="99"/>
  <c r="O1357" i="99"/>
  <c r="O1358" i="99"/>
  <c r="O1359" i="99"/>
  <c r="O1360" i="99"/>
  <c r="O1361" i="99"/>
  <c r="O1362" i="99"/>
  <c r="O1363" i="99"/>
  <c r="O1364" i="99"/>
  <c r="O1365" i="99"/>
  <c r="O1366" i="99"/>
  <c r="O1367" i="99"/>
  <c r="O1368" i="99"/>
  <c r="O1369" i="99"/>
  <c r="O1370" i="99"/>
  <c r="O1371" i="99"/>
  <c r="O1372" i="99"/>
  <c r="O1373" i="99"/>
  <c r="O1374" i="99"/>
  <c r="O1375" i="99"/>
  <c r="O1376" i="99"/>
  <c r="O1377" i="99"/>
  <c r="O1378" i="99"/>
  <c r="O1379" i="99"/>
  <c r="O1380" i="99"/>
  <c r="O1381" i="99"/>
  <c r="O1382" i="99"/>
  <c r="O1383" i="99"/>
  <c r="O1384" i="99"/>
  <c r="O1385" i="99"/>
  <c r="O1386" i="99"/>
  <c r="O1387" i="99"/>
  <c r="O1388" i="99"/>
  <c r="O1389" i="99"/>
  <c r="O1390" i="99"/>
  <c r="O1391" i="99"/>
  <c r="O1392" i="99"/>
  <c r="O1393" i="99"/>
  <c r="O1394" i="99"/>
  <c r="O1395" i="99"/>
  <c r="O1396" i="99"/>
  <c r="O1397" i="99"/>
  <c r="O1398" i="99"/>
  <c r="O1399" i="99"/>
  <c r="O1400" i="99"/>
  <c r="O1401" i="99"/>
  <c r="O1402" i="99"/>
  <c r="O1403" i="99"/>
  <c r="O1404" i="99"/>
  <c r="O1405" i="99"/>
  <c r="O1406" i="99"/>
  <c r="O1407" i="99"/>
  <c r="O1408" i="99"/>
  <c r="O1409" i="99"/>
  <c r="O1410" i="99"/>
  <c r="O1411" i="99"/>
  <c r="O1412" i="99"/>
  <c r="O1413" i="99"/>
  <c r="O1414" i="99"/>
  <c r="O1415" i="99"/>
  <c r="O1416" i="99"/>
  <c r="O1417" i="99"/>
  <c r="O1418" i="99"/>
  <c r="O1419" i="99"/>
  <c r="O1420" i="99"/>
  <c r="O1421" i="99"/>
  <c r="O1422" i="99"/>
  <c r="O1423" i="99"/>
  <c r="O1424" i="99"/>
  <c r="O1425" i="99"/>
  <c r="O1426" i="99"/>
  <c r="O1427" i="99"/>
  <c r="O1428" i="99"/>
  <c r="O1429" i="99"/>
  <c r="O1430" i="99"/>
  <c r="O1431" i="99"/>
  <c r="O1432" i="99"/>
  <c r="O1433" i="99"/>
  <c r="O1434" i="99"/>
  <c r="O1435" i="99"/>
  <c r="O1436" i="99"/>
  <c r="O1437" i="99"/>
  <c r="O1438" i="99"/>
  <c r="O1439" i="99"/>
  <c r="O1440" i="99"/>
  <c r="O1441" i="99"/>
  <c r="O1442" i="99"/>
  <c r="O1443" i="99"/>
  <c r="O1444" i="99"/>
  <c r="O1445" i="99"/>
  <c r="O1446" i="99"/>
  <c r="O1447" i="99"/>
  <c r="O1448" i="99"/>
  <c r="O1449" i="99"/>
  <c r="O1450" i="99"/>
  <c r="O1451" i="99"/>
  <c r="O1452" i="99"/>
  <c r="O1453" i="99"/>
  <c r="O1454" i="99"/>
  <c r="O1455" i="99"/>
  <c r="O1456" i="99"/>
  <c r="O1457" i="99"/>
  <c r="O1458" i="99"/>
  <c r="O1459" i="99"/>
  <c r="O1460" i="99"/>
  <c r="O1461" i="99"/>
  <c r="O1462" i="99"/>
  <c r="O1463" i="99"/>
  <c r="O1464" i="99"/>
  <c r="O1465" i="99"/>
  <c r="O1466" i="99"/>
  <c r="O1467" i="99"/>
  <c r="O1468" i="99"/>
  <c r="O1469" i="99"/>
  <c r="O1470" i="99"/>
  <c r="O1471" i="99"/>
  <c r="O1472" i="99"/>
  <c r="O1473" i="99"/>
  <c r="O1474" i="99"/>
  <c r="O1475" i="99"/>
  <c r="O1476" i="99"/>
  <c r="O1477" i="99"/>
  <c r="O1478" i="99"/>
  <c r="O1479" i="99"/>
  <c r="O1480" i="99"/>
  <c r="O1481" i="99"/>
  <c r="O1482" i="99"/>
  <c r="O1483" i="99"/>
  <c r="O1484" i="99"/>
  <c r="O1485" i="99"/>
  <c r="O1486" i="99"/>
  <c r="O1487" i="99"/>
  <c r="O1488" i="99"/>
  <c r="O1489" i="99"/>
  <c r="O1490" i="99"/>
  <c r="O1491" i="99"/>
  <c r="O1492" i="99"/>
  <c r="O1493" i="99"/>
  <c r="O1494" i="99"/>
  <c r="O1495" i="99"/>
  <c r="O1496" i="99"/>
  <c r="O1497" i="99"/>
  <c r="O1498" i="99"/>
  <c r="O1499" i="99"/>
  <c r="O1500" i="99"/>
  <c r="O1501" i="99"/>
  <c r="O1502" i="99"/>
  <c r="O1503" i="99"/>
  <c r="O1504" i="99"/>
  <c r="O1505" i="99"/>
  <c r="O1506" i="99"/>
  <c r="O1507" i="99"/>
  <c r="O1508" i="99"/>
  <c r="O1509" i="99"/>
  <c r="O1510" i="99"/>
  <c r="O1511" i="99"/>
  <c r="O1512" i="99"/>
  <c r="O1513" i="99"/>
  <c r="O1514" i="99"/>
  <c r="O1515" i="99"/>
  <c r="O1516" i="99"/>
  <c r="O1517" i="99"/>
  <c r="O1518" i="99"/>
  <c r="O1519" i="99"/>
  <c r="O1520" i="99"/>
  <c r="O1521" i="99"/>
  <c r="O1522" i="99"/>
  <c r="O1523" i="99"/>
  <c r="O1524" i="99"/>
  <c r="O1525" i="99"/>
  <c r="O1526" i="99"/>
  <c r="O1527" i="99"/>
  <c r="O1528" i="99"/>
  <c r="O1529" i="99"/>
  <c r="O1530" i="99"/>
  <c r="O1531" i="99"/>
  <c r="O1532" i="99"/>
  <c r="O1533" i="99"/>
  <c r="O1534" i="99"/>
  <c r="O1535" i="99"/>
  <c r="O1536" i="99"/>
  <c r="O1537" i="99"/>
  <c r="O1538" i="99"/>
  <c r="O1539" i="99"/>
  <c r="O1540" i="99"/>
  <c r="O1541" i="99"/>
  <c r="O1542" i="99"/>
  <c r="O1543" i="99"/>
  <c r="O1544" i="99"/>
  <c r="O1545" i="99"/>
  <c r="O1546" i="99"/>
  <c r="O1547" i="99"/>
  <c r="O1548" i="99"/>
  <c r="O1549" i="99"/>
  <c r="O1550" i="99"/>
  <c r="O1551" i="99"/>
  <c r="O1552" i="99"/>
  <c r="O1553" i="99"/>
  <c r="O1554" i="99"/>
  <c r="O1555" i="99"/>
  <c r="O1556" i="99"/>
  <c r="O1557" i="99"/>
  <c r="O1558" i="99"/>
  <c r="O1559" i="99"/>
  <c r="O1560" i="99"/>
  <c r="O1561" i="99"/>
  <c r="O1562" i="99"/>
  <c r="O1563" i="99"/>
  <c r="O1564" i="99"/>
  <c r="O1565" i="99"/>
  <c r="O1566" i="99"/>
  <c r="O1567" i="99"/>
  <c r="O1568" i="99"/>
  <c r="O1569" i="99"/>
  <c r="O1570" i="99"/>
  <c r="O1571" i="99"/>
  <c r="O1572" i="99"/>
  <c r="O1573" i="99"/>
  <c r="O1574" i="99"/>
  <c r="O1575" i="99"/>
  <c r="O1576" i="99"/>
  <c r="O1577" i="99"/>
  <c r="O1578" i="99"/>
  <c r="O1579" i="99"/>
  <c r="O1580" i="99"/>
  <c r="O1581" i="99"/>
  <c r="O1582" i="99"/>
  <c r="O1583" i="99"/>
  <c r="O1584" i="99"/>
  <c r="O1585" i="99"/>
  <c r="O1586" i="99"/>
  <c r="O1587" i="99"/>
  <c r="O1588" i="99"/>
  <c r="O1589" i="99"/>
  <c r="O1590" i="99"/>
  <c r="O1591" i="99"/>
  <c r="O1592" i="99"/>
  <c r="O1593" i="99"/>
  <c r="O1594" i="99"/>
  <c r="O1595" i="99"/>
  <c r="O1596" i="99"/>
  <c r="O1597" i="99"/>
  <c r="O1598" i="99"/>
  <c r="O1599" i="99"/>
  <c r="O1600" i="99"/>
  <c r="O1601" i="99"/>
  <c r="O1602" i="99"/>
  <c r="O1603" i="99"/>
  <c r="O1604" i="99"/>
  <c r="O1605" i="99"/>
  <c r="O1606" i="99"/>
  <c r="O1607" i="99"/>
  <c r="O1608" i="99"/>
  <c r="O1609" i="99"/>
  <c r="O1610" i="99"/>
  <c r="O1611" i="99"/>
  <c r="O1612" i="99"/>
  <c r="O1613" i="99"/>
  <c r="O1614" i="99"/>
  <c r="O1615" i="99"/>
  <c r="O1616" i="99"/>
  <c r="O1617" i="99"/>
  <c r="O1618" i="99"/>
  <c r="O1619" i="99"/>
  <c r="O1620" i="99"/>
  <c r="O1621" i="99"/>
  <c r="O1622" i="99"/>
  <c r="O1623" i="99"/>
  <c r="O1624" i="99"/>
  <c r="O1625" i="99"/>
  <c r="O1626" i="99"/>
  <c r="O1627" i="99"/>
  <c r="O1628" i="99"/>
  <c r="O1629" i="99"/>
  <c r="O1630" i="99"/>
  <c r="O1631" i="99"/>
  <c r="O1632" i="99"/>
  <c r="O1633" i="99"/>
  <c r="O1634" i="99"/>
  <c r="O1635" i="99"/>
  <c r="O1636" i="99"/>
  <c r="O1637" i="99"/>
  <c r="O1638" i="99"/>
  <c r="O1639" i="99"/>
  <c r="O1640" i="99"/>
  <c r="O1641" i="99"/>
  <c r="O1642" i="99"/>
  <c r="O1643" i="99"/>
  <c r="O1644" i="99"/>
  <c r="O1645" i="99"/>
  <c r="O1646" i="99"/>
  <c r="O1647" i="99"/>
  <c r="O1648" i="99"/>
  <c r="O1649" i="99"/>
  <c r="O1650" i="99"/>
  <c r="O1651" i="99"/>
  <c r="O1652" i="99"/>
  <c r="O1653" i="99"/>
  <c r="O1654" i="99"/>
  <c r="O1655" i="99"/>
  <c r="O1656" i="99"/>
  <c r="O1657" i="99"/>
  <c r="O1658" i="99"/>
  <c r="O1659" i="99"/>
  <c r="O1660" i="99"/>
  <c r="O1661" i="99"/>
  <c r="O1662" i="99"/>
  <c r="O1663" i="99"/>
  <c r="O1664" i="99"/>
  <c r="O1665" i="99"/>
  <c r="O1666" i="99"/>
  <c r="O1667" i="99"/>
  <c r="O1668" i="99"/>
  <c r="O1669" i="99"/>
  <c r="O1670" i="99"/>
  <c r="O1671" i="99"/>
  <c r="O1672" i="99"/>
  <c r="O1673" i="99"/>
  <c r="O1674" i="99"/>
  <c r="O1675" i="99"/>
  <c r="O1676" i="99"/>
  <c r="O1677" i="99"/>
  <c r="O1678" i="99"/>
  <c r="O1679" i="99"/>
  <c r="O1680" i="99"/>
  <c r="O1681" i="99"/>
  <c r="O1682" i="99"/>
  <c r="O1683" i="99"/>
  <c r="O1684" i="99"/>
  <c r="O1685" i="99"/>
  <c r="O1686" i="99"/>
  <c r="O1687" i="99"/>
  <c r="O1688" i="99"/>
  <c r="O1689" i="99"/>
  <c r="O1690" i="99"/>
  <c r="O1691" i="99"/>
  <c r="O1692" i="99"/>
  <c r="O1693" i="99"/>
  <c r="O1694" i="99"/>
  <c r="O1695" i="99"/>
  <c r="O1696" i="99"/>
  <c r="O1697" i="99"/>
  <c r="O1698" i="99"/>
  <c r="O1699" i="99"/>
  <c r="O1700" i="99"/>
  <c r="O1701" i="99"/>
  <c r="O1702" i="99"/>
  <c r="O1703" i="99"/>
  <c r="O1704" i="99"/>
  <c r="O1705" i="99"/>
  <c r="O1706" i="99"/>
  <c r="O1707" i="99"/>
  <c r="O1708" i="99"/>
  <c r="O1709" i="99"/>
  <c r="O1710" i="99"/>
  <c r="O1711" i="99"/>
  <c r="O1712" i="99"/>
  <c r="O1713" i="99"/>
  <c r="O1714" i="99"/>
  <c r="O1715" i="99"/>
  <c r="O1716" i="99"/>
  <c r="O1717" i="99"/>
  <c r="O1718" i="99"/>
  <c r="O1719" i="99"/>
  <c r="O1720" i="99"/>
  <c r="O1721" i="99"/>
  <c r="O1722" i="99"/>
  <c r="O1723" i="99"/>
  <c r="O1724" i="99"/>
  <c r="O1725" i="99"/>
  <c r="O1726" i="99"/>
  <c r="O1727" i="99"/>
  <c r="O1728" i="99"/>
  <c r="O1729" i="99"/>
  <c r="O1730" i="99"/>
  <c r="O1731" i="99"/>
  <c r="O1732" i="99"/>
  <c r="O1733" i="99"/>
  <c r="O1734" i="99"/>
  <c r="O1735" i="99"/>
  <c r="O1736" i="99"/>
  <c r="O1737" i="99"/>
  <c r="O1738" i="99"/>
  <c r="O1739" i="99"/>
  <c r="O1740" i="99"/>
  <c r="O1741" i="99"/>
  <c r="O1742" i="99"/>
  <c r="O1743" i="99"/>
  <c r="O1744" i="99"/>
  <c r="O1745" i="99"/>
  <c r="O1746" i="99"/>
  <c r="O1747" i="99"/>
  <c r="O1748" i="99"/>
  <c r="O1749" i="99"/>
  <c r="O1750" i="99"/>
  <c r="O1751" i="99"/>
  <c r="O1752" i="99"/>
  <c r="O1753" i="99"/>
  <c r="O1754" i="99"/>
  <c r="O1755" i="99"/>
  <c r="O1756" i="99"/>
  <c r="O1757" i="99"/>
  <c r="O1758" i="99"/>
  <c r="O1759" i="99"/>
  <c r="O1760" i="99"/>
  <c r="O1761" i="99"/>
  <c r="O1762" i="99"/>
  <c r="O1763" i="99"/>
  <c r="O1764" i="99"/>
  <c r="O1765" i="99"/>
  <c r="O1766" i="99"/>
  <c r="O1767" i="99"/>
  <c r="O1768" i="99"/>
  <c r="O1769" i="99"/>
  <c r="O1770" i="99"/>
  <c r="O1771" i="99"/>
  <c r="O1772" i="99"/>
  <c r="O1773" i="99"/>
  <c r="O1774" i="99"/>
  <c r="O1775" i="99"/>
  <c r="O1776" i="99"/>
  <c r="O1777" i="99"/>
  <c r="O1778" i="99"/>
  <c r="O1779" i="99"/>
  <c r="O1780" i="99"/>
  <c r="O1781" i="99"/>
  <c r="O1782" i="99"/>
  <c r="O1783" i="99"/>
  <c r="O1784" i="99"/>
  <c r="O1785" i="99"/>
  <c r="O1786" i="99"/>
  <c r="O1787" i="99"/>
  <c r="O1788" i="99"/>
  <c r="O1789" i="99"/>
  <c r="O1790" i="99"/>
  <c r="O1791" i="99"/>
  <c r="O1792" i="99"/>
  <c r="O1793" i="99"/>
  <c r="O1794" i="99"/>
  <c r="O1795" i="99"/>
  <c r="O1796" i="99"/>
  <c r="O1797" i="99"/>
  <c r="O1798" i="99"/>
  <c r="O1799" i="99"/>
  <c r="O1800" i="99"/>
  <c r="O1801" i="99"/>
  <c r="O1802" i="99"/>
  <c r="O1803" i="99"/>
  <c r="O1804" i="99"/>
  <c r="O1805" i="99"/>
  <c r="O1806" i="99"/>
  <c r="O1807" i="99"/>
  <c r="O1808" i="99"/>
  <c r="O1809" i="99"/>
  <c r="O1810" i="99"/>
  <c r="O1811" i="99"/>
  <c r="O1812" i="99"/>
  <c r="O1813" i="99"/>
  <c r="O1814" i="99"/>
  <c r="O1815" i="99"/>
  <c r="O1816" i="99"/>
  <c r="O1817" i="99"/>
  <c r="O1818" i="99"/>
  <c r="O1819" i="99"/>
  <c r="O1820" i="99"/>
  <c r="O1821" i="99"/>
  <c r="O1822" i="99"/>
  <c r="O1823" i="99"/>
  <c r="O1824" i="99"/>
  <c r="O1825" i="99"/>
  <c r="O1826" i="99"/>
  <c r="O1827" i="99"/>
  <c r="O1828" i="99"/>
  <c r="O1829" i="99"/>
  <c r="O1830" i="99"/>
  <c r="O1831" i="99"/>
  <c r="O1832" i="99"/>
  <c r="O1833" i="99"/>
  <c r="O1834" i="99"/>
  <c r="O1835" i="99"/>
  <c r="O1836" i="99"/>
  <c r="O1837" i="99"/>
  <c r="O1838" i="99"/>
  <c r="O1839" i="99"/>
  <c r="O1840" i="99"/>
  <c r="O1841" i="99"/>
  <c r="O1842" i="99"/>
  <c r="O1843" i="99"/>
  <c r="O1844" i="99"/>
  <c r="O1845" i="99"/>
  <c r="O1846" i="99"/>
  <c r="O1847" i="99"/>
  <c r="O1848" i="99"/>
  <c r="O1849" i="99"/>
  <c r="O1850" i="99"/>
  <c r="O1851" i="99"/>
  <c r="O1852" i="99"/>
  <c r="O1853" i="99"/>
  <c r="O1854" i="99"/>
  <c r="O1855" i="99"/>
  <c r="O1856" i="99"/>
  <c r="O1857" i="99"/>
  <c r="O1858" i="99"/>
  <c r="O1859" i="99"/>
  <c r="O1860" i="99"/>
  <c r="O1861" i="99"/>
  <c r="O1862" i="99"/>
  <c r="O1863" i="99"/>
  <c r="O1864" i="99"/>
  <c r="O1865" i="99"/>
  <c r="O1866" i="99"/>
  <c r="O1867" i="99"/>
  <c r="O1868" i="99"/>
  <c r="O1869" i="99"/>
  <c r="O1870" i="99"/>
  <c r="O1871" i="99"/>
  <c r="O1872" i="99"/>
  <c r="O1873" i="99"/>
  <c r="O1874" i="99"/>
  <c r="O1875" i="99"/>
  <c r="O1876" i="99"/>
  <c r="O1877" i="99"/>
  <c r="O1878" i="99"/>
  <c r="O1879" i="99"/>
  <c r="O1880" i="99"/>
  <c r="O1881" i="99"/>
  <c r="O1882" i="99"/>
  <c r="O1883" i="99"/>
  <c r="O1884" i="99"/>
  <c r="O1885" i="99"/>
  <c r="O1886" i="99"/>
  <c r="O1887" i="99"/>
  <c r="O1888" i="99"/>
  <c r="O1889" i="99"/>
  <c r="O1890" i="99"/>
  <c r="O1891" i="99"/>
  <c r="O1892" i="99"/>
  <c r="O1893" i="99"/>
  <c r="O1894" i="99"/>
  <c r="O1895" i="99"/>
  <c r="O1896" i="99"/>
  <c r="O1897" i="99"/>
  <c r="O1898" i="99"/>
  <c r="O1899" i="99"/>
  <c r="O1900" i="99"/>
  <c r="O1901" i="99"/>
  <c r="O1902" i="99"/>
  <c r="O1903" i="99"/>
  <c r="O1904" i="99"/>
  <c r="O1905" i="99"/>
  <c r="O1906" i="99"/>
  <c r="O1907" i="99"/>
  <c r="O1908" i="99"/>
  <c r="O1909" i="99"/>
  <c r="O1910" i="99"/>
  <c r="O1911" i="99"/>
  <c r="O1912" i="99"/>
  <c r="O1913" i="99"/>
  <c r="O1914" i="99"/>
  <c r="O1915" i="99"/>
  <c r="O1916" i="99"/>
  <c r="O1917" i="99"/>
  <c r="O1918" i="99"/>
  <c r="O1919" i="99"/>
  <c r="O1920" i="99"/>
  <c r="O1921" i="99"/>
  <c r="O1922" i="99"/>
  <c r="O1923" i="99"/>
  <c r="O1924" i="99"/>
  <c r="O1925" i="99"/>
  <c r="O1926" i="99"/>
  <c r="O1927" i="99"/>
  <c r="O1928" i="99"/>
  <c r="O1929" i="99"/>
  <c r="O1930" i="99"/>
  <c r="O1931" i="99"/>
  <c r="O1932" i="99"/>
  <c r="O1933" i="99"/>
  <c r="O1934" i="99"/>
  <c r="O1935" i="99"/>
  <c r="O1936" i="99"/>
  <c r="O1937" i="99"/>
  <c r="O1938" i="99"/>
  <c r="O1939" i="99"/>
  <c r="O1940" i="99"/>
  <c r="O1941" i="99"/>
  <c r="O1942" i="99"/>
  <c r="O1943" i="99"/>
  <c r="O1944" i="99"/>
  <c r="O1945" i="99"/>
  <c r="O1946" i="99"/>
  <c r="O1947" i="99"/>
  <c r="O1948" i="99"/>
  <c r="O1949" i="99"/>
  <c r="O1950" i="99"/>
  <c r="O1951" i="99"/>
  <c r="O1952" i="99"/>
  <c r="O1953" i="99"/>
  <c r="O1954" i="99"/>
  <c r="O1955" i="99"/>
  <c r="O1956" i="99"/>
  <c r="O1957" i="99"/>
  <c r="O1958" i="99"/>
  <c r="O1959" i="99"/>
  <c r="O1960" i="99"/>
  <c r="O1961" i="99"/>
  <c r="O1962" i="99"/>
  <c r="O1963" i="99"/>
  <c r="O1964" i="99"/>
  <c r="O1965" i="99"/>
  <c r="O1966" i="99"/>
  <c r="O1967" i="99"/>
  <c r="O1968" i="99"/>
  <c r="O1969" i="99"/>
  <c r="O1970" i="99"/>
  <c r="O1971" i="99"/>
  <c r="O1972" i="99"/>
  <c r="O1973" i="99"/>
  <c r="O1974" i="99"/>
  <c r="O1975" i="99"/>
  <c r="O1976" i="99"/>
  <c r="O1977" i="99"/>
  <c r="O1978" i="99"/>
  <c r="O1979" i="99"/>
  <c r="O1980" i="99"/>
  <c r="O1981" i="99"/>
  <c r="O1982" i="99"/>
  <c r="O1983" i="99"/>
  <c r="O1984" i="99"/>
  <c r="O1985" i="99"/>
  <c r="O1986" i="99"/>
  <c r="O1987" i="99"/>
  <c r="O1988" i="99"/>
  <c r="O1989" i="99"/>
  <c r="O1990" i="99"/>
  <c r="O1991" i="99"/>
  <c r="O1992" i="99"/>
  <c r="O1993" i="99"/>
  <c r="O1994" i="99"/>
  <c r="O1995" i="99"/>
  <c r="O1996" i="99"/>
  <c r="O1997" i="99"/>
  <c r="O1998" i="99"/>
  <c r="O1999" i="99"/>
  <c r="O2000" i="99"/>
  <c r="O534" i="99"/>
  <c r="O8" i="99"/>
  <c r="O9" i="99"/>
  <c r="O10" i="99"/>
  <c r="O11" i="99"/>
  <c r="O12" i="99"/>
  <c r="O13" i="99"/>
  <c r="O14" i="99"/>
  <c r="O15" i="99"/>
  <c r="O16" i="99"/>
  <c r="O17" i="99"/>
  <c r="O18" i="99"/>
  <c r="O19" i="99"/>
  <c r="O20" i="99"/>
  <c r="O21" i="99"/>
  <c r="O22" i="99"/>
  <c r="O23" i="99"/>
  <c r="O24" i="99"/>
  <c r="O25" i="99"/>
  <c r="O26" i="99"/>
  <c r="O27" i="99"/>
  <c r="O28" i="99"/>
  <c r="O29" i="99"/>
  <c r="O30" i="99"/>
  <c r="O31" i="99"/>
  <c r="O32" i="99"/>
  <c r="O33" i="99"/>
  <c r="O34" i="99"/>
  <c r="O35" i="99"/>
  <c r="O36" i="99"/>
  <c r="O37" i="99"/>
  <c r="O38" i="99"/>
  <c r="O39" i="99"/>
  <c r="O40" i="99"/>
  <c r="O41" i="99"/>
  <c r="O42" i="99"/>
  <c r="O43" i="99"/>
  <c r="O44" i="99"/>
  <c r="O45" i="99"/>
  <c r="O46" i="99"/>
  <c r="O47" i="99"/>
  <c r="O48" i="99"/>
  <c r="O49" i="99"/>
  <c r="O50" i="99"/>
  <c r="O51" i="99"/>
  <c r="O52" i="99"/>
  <c r="O53" i="99"/>
  <c r="O54" i="99"/>
  <c r="O55" i="99"/>
  <c r="O56" i="99"/>
  <c r="O57" i="99"/>
  <c r="O58" i="99"/>
  <c r="O59" i="99"/>
  <c r="O60" i="99"/>
  <c r="O61" i="99"/>
  <c r="O62" i="99"/>
  <c r="O63" i="99"/>
  <c r="O64" i="99"/>
  <c r="O65" i="99"/>
  <c r="O66" i="99"/>
  <c r="O67" i="99"/>
  <c r="O68" i="99"/>
  <c r="O69" i="99"/>
  <c r="O70" i="99"/>
  <c r="O71" i="99"/>
  <c r="O72" i="99"/>
  <c r="O73" i="99"/>
  <c r="O74" i="99"/>
  <c r="O75" i="99"/>
  <c r="O76" i="99"/>
  <c r="O77" i="99"/>
  <c r="O78" i="99"/>
  <c r="O79" i="99"/>
  <c r="O80" i="99"/>
  <c r="O81" i="99"/>
  <c r="O82" i="99"/>
  <c r="O83" i="99"/>
  <c r="O84" i="99"/>
  <c r="O85" i="99"/>
  <c r="O86" i="99"/>
  <c r="O87" i="99"/>
  <c r="O88" i="99"/>
  <c r="O89" i="99"/>
  <c r="O90" i="99"/>
  <c r="O91" i="99"/>
  <c r="O92" i="99"/>
  <c r="O93" i="99"/>
  <c r="O94" i="99"/>
  <c r="O95" i="99"/>
  <c r="O96" i="99"/>
  <c r="O97" i="99"/>
  <c r="O98" i="99"/>
  <c r="O99" i="99"/>
  <c r="O100" i="99"/>
  <c r="O101" i="99"/>
  <c r="O102" i="99"/>
  <c r="O103" i="99"/>
  <c r="O104" i="99"/>
  <c r="O105" i="99"/>
  <c r="O106" i="99"/>
  <c r="O107" i="99"/>
  <c r="O108" i="99"/>
  <c r="O109" i="99"/>
  <c r="O110" i="99"/>
  <c r="O111" i="99"/>
  <c r="O112" i="99"/>
  <c r="O113" i="99"/>
  <c r="O114" i="99"/>
  <c r="O115" i="99"/>
  <c r="O116" i="99"/>
  <c r="O117" i="99"/>
  <c r="O118" i="99"/>
  <c r="O119" i="99"/>
  <c r="O120" i="99"/>
  <c r="O121" i="99"/>
  <c r="O122" i="99"/>
  <c r="O123" i="99"/>
  <c r="O124" i="99"/>
  <c r="O125" i="99"/>
  <c r="O126" i="99"/>
  <c r="O127" i="99"/>
  <c r="O128" i="99"/>
  <c r="O129" i="99"/>
  <c r="O130" i="99"/>
  <c r="O131" i="99"/>
  <c r="O132" i="99"/>
  <c r="O133" i="99"/>
  <c r="O134" i="99"/>
  <c r="O135" i="99"/>
  <c r="O136" i="99"/>
  <c r="O137" i="99"/>
  <c r="O138" i="99"/>
  <c r="O139" i="99"/>
  <c r="O140" i="99"/>
  <c r="O141" i="99"/>
  <c r="O142" i="99"/>
  <c r="O143" i="99"/>
  <c r="O144" i="99"/>
  <c r="O145" i="99"/>
  <c r="O146" i="99"/>
  <c r="O147" i="99"/>
  <c r="O148" i="99"/>
  <c r="O149" i="99"/>
  <c r="O150" i="99"/>
  <c r="O151" i="99"/>
  <c r="O152" i="99"/>
  <c r="O153" i="99"/>
  <c r="O154" i="99"/>
  <c r="O155" i="99"/>
  <c r="O156" i="99"/>
  <c r="O157" i="99"/>
  <c r="O158" i="99"/>
  <c r="O159" i="99"/>
  <c r="O160" i="99"/>
  <c r="O161" i="99"/>
  <c r="O162" i="99"/>
  <c r="O163" i="99"/>
  <c r="O164" i="99"/>
  <c r="O165" i="99"/>
  <c r="O166" i="99"/>
  <c r="O167" i="99"/>
  <c r="O168" i="99"/>
  <c r="O169" i="99"/>
  <c r="O170" i="99"/>
  <c r="O171" i="99"/>
  <c r="O172" i="99"/>
  <c r="O173" i="99"/>
  <c r="O174" i="99"/>
  <c r="O175" i="99"/>
  <c r="O176" i="99"/>
  <c r="O177" i="99"/>
  <c r="O178" i="99"/>
  <c r="O179" i="99"/>
  <c r="O180" i="99"/>
  <c r="O181" i="99"/>
  <c r="O182" i="99"/>
  <c r="O183" i="99"/>
  <c r="O184" i="99"/>
  <c r="O185" i="99"/>
  <c r="O186" i="99"/>
  <c r="O187" i="99"/>
  <c r="O188" i="99"/>
  <c r="O189" i="99"/>
  <c r="O190" i="99"/>
  <c r="O191" i="99"/>
  <c r="O192" i="99"/>
  <c r="O193" i="99"/>
  <c r="O194" i="99"/>
  <c r="O195" i="99"/>
  <c r="O196" i="99"/>
  <c r="O197" i="99"/>
  <c r="O198" i="99"/>
  <c r="O199" i="99"/>
  <c r="O200" i="99"/>
  <c r="O201" i="99"/>
  <c r="O202" i="99"/>
  <c r="O203" i="99"/>
  <c r="O204" i="99"/>
  <c r="O205" i="99"/>
  <c r="O206" i="99"/>
  <c r="O207" i="99"/>
  <c r="O208" i="99"/>
  <c r="O209" i="99"/>
  <c r="O210" i="99"/>
  <c r="O211" i="99"/>
  <c r="O212" i="99"/>
  <c r="O213" i="99"/>
  <c r="O214" i="99"/>
  <c r="O215" i="99"/>
  <c r="O216" i="99"/>
  <c r="O217" i="99"/>
  <c r="O218" i="99"/>
  <c r="O219" i="99"/>
  <c r="O220" i="99"/>
  <c r="O221" i="99"/>
  <c r="O222" i="99"/>
  <c r="O223" i="99"/>
  <c r="O224" i="99"/>
  <c r="O225" i="99"/>
  <c r="O226" i="99"/>
  <c r="O227" i="99"/>
  <c r="O228" i="99"/>
  <c r="O229" i="99"/>
  <c r="O230" i="99"/>
  <c r="O231" i="99"/>
  <c r="O232" i="99"/>
  <c r="O233" i="99"/>
  <c r="O234" i="99"/>
  <c r="O235" i="99"/>
  <c r="O236" i="99"/>
  <c r="O237" i="99"/>
  <c r="O238" i="99"/>
  <c r="O239" i="99"/>
  <c r="O240" i="99"/>
  <c r="O241" i="99"/>
  <c r="O242" i="99"/>
  <c r="O243" i="99"/>
  <c r="O244" i="99"/>
  <c r="O245" i="99"/>
  <c r="O246" i="99"/>
  <c r="O247" i="99"/>
  <c r="O248" i="99"/>
  <c r="O249" i="99"/>
  <c r="O250" i="99"/>
  <c r="O251" i="99"/>
  <c r="O252" i="99"/>
  <c r="O253" i="99"/>
  <c r="O254" i="99"/>
  <c r="O255" i="99"/>
  <c r="O256" i="99"/>
  <c r="O257" i="99"/>
  <c r="O258" i="99"/>
  <c r="O259" i="99"/>
  <c r="O260" i="99"/>
  <c r="O261" i="99"/>
  <c r="O262" i="99"/>
  <c r="O263" i="99"/>
  <c r="O264" i="99"/>
  <c r="O265" i="99"/>
  <c r="O266" i="99"/>
  <c r="O267" i="99"/>
  <c r="O268" i="99"/>
  <c r="O269" i="99"/>
  <c r="O270" i="99"/>
  <c r="O271" i="99"/>
  <c r="O272" i="99"/>
  <c r="O273" i="99"/>
  <c r="O274" i="99"/>
  <c r="O275" i="99"/>
  <c r="O276" i="99"/>
  <c r="O277" i="99"/>
  <c r="O278" i="99"/>
  <c r="O279" i="99"/>
  <c r="O280" i="99"/>
  <c r="O281" i="99"/>
  <c r="O282" i="99"/>
  <c r="O283" i="99"/>
  <c r="O284" i="99"/>
  <c r="O285" i="99"/>
  <c r="O286" i="99"/>
  <c r="O287" i="99"/>
  <c r="O288" i="99"/>
  <c r="O289" i="99"/>
  <c r="O290" i="99"/>
  <c r="O291" i="99"/>
  <c r="O292" i="99"/>
  <c r="O293" i="99"/>
  <c r="O294" i="99"/>
  <c r="O295" i="99"/>
  <c r="O296" i="99"/>
  <c r="O297" i="99"/>
  <c r="O298" i="99"/>
  <c r="O299" i="99"/>
  <c r="O300" i="99"/>
  <c r="O301" i="99"/>
  <c r="O302" i="99"/>
  <c r="O303" i="99"/>
  <c r="O304" i="99"/>
  <c r="O305" i="99"/>
  <c r="O306" i="99"/>
  <c r="O307" i="99"/>
  <c r="O308" i="99"/>
  <c r="O309" i="99"/>
  <c r="O310" i="99"/>
  <c r="O311" i="99"/>
  <c r="O312" i="99"/>
  <c r="O313" i="99"/>
  <c r="O314" i="99"/>
  <c r="O315" i="99"/>
  <c r="O316" i="99"/>
  <c r="O317" i="99"/>
  <c r="O318" i="99"/>
  <c r="O319" i="99"/>
  <c r="O320" i="99"/>
  <c r="O321" i="99"/>
  <c r="O322" i="99"/>
  <c r="O323" i="99"/>
  <c r="O324" i="99"/>
  <c r="O325" i="99"/>
  <c r="O326" i="99"/>
  <c r="O327" i="99"/>
  <c r="O328" i="99"/>
  <c r="O329" i="99"/>
  <c r="O330" i="99"/>
  <c r="O331" i="99"/>
  <c r="O332" i="99"/>
  <c r="O333" i="99"/>
  <c r="O334" i="99"/>
  <c r="O335" i="99"/>
  <c r="O336" i="99"/>
  <c r="O337" i="99"/>
  <c r="O338" i="99"/>
  <c r="O339" i="99"/>
  <c r="O340" i="99"/>
  <c r="O341" i="99"/>
  <c r="O342" i="99"/>
  <c r="O343" i="99"/>
  <c r="O344" i="99"/>
  <c r="O345" i="99"/>
  <c r="O346" i="99"/>
  <c r="O347" i="99"/>
  <c r="O348" i="99"/>
  <c r="O349" i="99"/>
  <c r="O350" i="99"/>
  <c r="O351" i="99"/>
  <c r="O352" i="99"/>
  <c r="O353" i="99"/>
  <c r="O354" i="99"/>
  <c r="O355" i="99"/>
  <c r="O356" i="99"/>
  <c r="O357" i="99"/>
  <c r="O358" i="99"/>
  <c r="O359" i="99"/>
  <c r="O360" i="99"/>
  <c r="O361" i="99"/>
  <c r="O362" i="99"/>
  <c r="O363" i="99"/>
  <c r="O364" i="99"/>
  <c r="O365" i="99"/>
  <c r="O366" i="99"/>
  <c r="O367" i="99"/>
  <c r="O368" i="99"/>
  <c r="O369" i="99"/>
  <c r="O370" i="99"/>
  <c r="O371" i="99"/>
  <c r="O372" i="99"/>
  <c r="O373" i="99"/>
  <c r="O374" i="99"/>
  <c r="O375" i="99"/>
  <c r="O376" i="99"/>
  <c r="O377" i="99"/>
  <c r="O378" i="99"/>
  <c r="O379" i="99"/>
  <c r="O380" i="99"/>
  <c r="O381" i="99"/>
  <c r="O382" i="99"/>
  <c r="O383" i="99"/>
  <c r="O384" i="99"/>
  <c r="O385" i="99"/>
  <c r="O386" i="99"/>
  <c r="O387" i="99"/>
  <c r="O388" i="99"/>
  <c r="O389" i="99"/>
  <c r="O390" i="99"/>
  <c r="O391" i="99"/>
  <c r="O392" i="99"/>
  <c r="O393" i="99"/>
  <c r="O394" i="99"/>
  <c r="O395" i="99"/>
  <c r="O396" i="99"/>
  <c r="O397" i="99"/>
  <c r="O398" i="99"/>
  <c r="O399" i="99"/>
  <c r="O400" i="99"/>
  <c r="O401" i="99"/>
  <c r="O402" i="99"/>
  <c r="O403" i="99"/>
  <c r="O404" i="99"/>
  <c r="O405" i="99"/>
  <c r="O406" i="99"/>
  <c r="O407" i="99"/>
  <c r="O408" i="99"/>
  <c r="O409" i="99"/>
  <c r="O410" i="99"/>
  <c r="O411" i="99"/>
  <c r="O412" i="99"/>
  <c r="O413" i="99"/>
  <c r="O414" i="99"/>
  <c r="O415" i="99"/>
  <c r="O416" i="99"/>
  <c r="O417" i="99"/>
  <c r="O418" i="99"/>
  <c r="O419" i="99"/>
  <c r="O420" i="99"/>
  <c r="O421" i="99"/>
  <c r="O422" i="99"/>
  <c r="O423" i="99"/>
  <c r="O424" i="99"/>
  <c r="O425" i="99"/>
  <c r="O426" i="99"/>
  <c r="O427" i="99"/>
  <c r="O428" i="99"/>
  <c r="O429" i="99"/>
  <c r="O430" i="99"/>
  <c r="O431" i="99"/>
  <c r="O432" i="99"/>
  <c r="O433" i="99"/>
  <c r="O434" i="99"/>
  <c r="O435" i="99"/>
  <c r="O436" i="99"/>
  <c r="O437" i="99"/>
  <c r="O438" i="99"/>
  <c r="O439" i="99"/>
  <c r="O440" i="99"/>
  <c r="O441" i="99"/>
  <c r="O442" i="99"/>
  <c r="O443" i="99"/>
  <c r="O444" i="99"/>
  <c r="O445" i="99"/>
  <c r="O446" i="99"/>
  <c r="O447" i="99"/>
  <c r="O448" i="99"/>
  <c r="O449" i="99"/>
  <c r="O450" i="99"/>
  <c r="O451" i="99"/>
  <c r="O452" i="99"/>
  <c r="O453" i="99"/>
  <c r="O454" i="99"/>
  <c r="O455" i="99"/>
  <c r="O456" i="99"/>
  <c r="O457" i="99"/>
  <c r="O458" i="99"/>
  <c r="O459" i="99"/>
  <c r="O460" i="99"/>
  <c r="O461" i="99"/>
  <c r="O462" i="99"/>
  <c r="O463" i="99"/>
  <c r="O464" i="99"/>
  <c r="O465" i="99"/>
  <c r="O466" i="99"/>
  <c r="O467" i="99"/>
  <c r="O468" i="99"/>
  <c r="O469" i="99"/>
  <c r="O470" i="99"/>
  <c r="O471" i="99"/>
  <c r="O472" i="99"/>
  <c r="O473" i="99"/>
  <c r="O474" i="99"/>
  <c r="O475" i="99"/>
  <c r="O476" i="99"/>
  <c r="O477" i="99"/>
  <c r="O478" i="99"/>
  <c r="O479" i="99"/>
  <c r="O480" i="99"/>
  <c r="O481" i="99"/>
  <c r="O482" i="99"/>
  <c r="O483" i="99"/>
  <c r="O484" i="99"/>
  <c r="O485" i="99"/>
  <c r="O486" i="99"/>
  <c r="O487" i="99"/>
  <c r="O488" i="99"/>
  <c r="O489" i="99"/>
  <c r="O490" i="99"/>
  <c r="O491" i="99"/>
  <c r="O492" i="99"/>
  <c r="O493" i="99"/>
  <c r="O494" i="99"/>
  <c r="O495" i="99"/>
  <c r="O496" i="99"/>
  <c r="O497" i="99"/>
  <c r="O498" i="99"/>
  <c r="O499" i="99"/>
  <c r="O500" i="99"/>
  <c r="O501" i="99"/>
  <c r="O502" i="99"/>
  <c r="O503" i="99"/>
  <c r="O504" i="99"/>
  <c r="O505" i="99"/>
  <c r="O506" i="99"/>
  <c r="O507" i="99"/>
  <c r="O508" i="99"/>
  <c r="O509" i="99"/>
  <c r="O510" i="99"/>
  <c r="O511" i="99"/>
  <c r="O512" i="99"/>
  <c r="O513" i="99"/>
  <c r="O514" i="99"/>
  <c r="O515" i="99"/>
  <c r="O516" i="99"/>
  <c r="O517" i="99"/>
  <c r="O518" i="99"/>
  <c r="O519" i="99"/>
  <c r="O520" i="99"/>
  <c r="O521" i="99"/>
  <c r="O522" i="99"/>
  <c r="O523" i="99"/>
  <c r="O524" i="99"/>
  <c r="O525" i="99"/>
  <c r="O526" i="99"/>
  <c r="O527" i="99"/>
  <c r="O528" i="99"/>
  <c r="O529" i="99"/>
  <c r="O530" i="99"/>
  <c r="O531" i="99"/>
  <c r="O532" i="99"/>
  <c r="O533" i="99"/>
  <c r="O6" i="99"/>
  <c r="O7" i="99"/>
  <c r="O5" i="99"/>
  <c r="G19" i="99" l="1"/>
  <c r="G10" i="99"/>
  <c r="AI8" i="99"/>
  <c r="AI9" i="99" s="1"/>
  <c r="AI10" i="99" s="1"/>
  <c r="AI11" i="99" s="1"/>
  <c r="AI12" i="99" s="1"/>
  <c r="AI13" i="99" s="1"/>
  <c r="AI14" i="99" s="1"/>
  <c r="AI15" i="99" s="1"/>
  <c r="AI16" i="99" s="1"/>
  <c r="AI17" i="99" s="1"/>
  <c r="AI18" i="99" s="1"/>
  <c r="AI19" i="99" s="1"/>
  <c r="AI20" i="99" s="1"/>
  <c r="AI21" i="99" s="1"/>
  <c r="AI22" i="99" s="1"/>
  <c r="AI23" i="99" s="1"/>
  <c r="AI24" i="99" s="1"/>
  <c r="AI25" i="99" s="1"/>
  <c r="AI26" i="99" s="1"/>
  <c r="AI27" i="99" s="1"/>
  <c r="AI28" i="99" s="1"/>
  <c r="AI29" i="99" s="1"/>
  <c r="AI30" i="99" s="1"/>
  <c r="AI31" i="99" s="1"/>
  <c r="AI32" i="99" s="1"/>
  <c r="AI33" i="99" s="1"/>
  <c r="AI34" i="99" s="1"/>
  <c r="AI35" i="99" s="1"/>
  <c r="AI36" i="99" s="1"/>
  <c r="AI37" i="99" s="1"/>
  <c r="AI38" i="99" s="1"/>
  <c r="AI39" i="99" s="1"/>
  <c r="AI40" i="99" s="1"/>
  <c r="AI41" i="99" s="1"/>
  <c r="AI42" i="99" s="1"/>
  <c r="AI43" i="99" s="1"/>
  <c r="AI44" i="99" s="1"/>
  <c r="AI45" i="99" s="1"/>
  <c r="AI46" i="99" s="1"/>
  <c r="AI47" i="99" s="1"/>
  <c r="AI48" i="99" s="1"/>
  <c r="AI49" i="99" s="1"/>
  <c r="AI50" i="99" s="1"/>
  <c r="AI51" i="99" s="1"/>
  <c r="AI52" i="99" s="1"/>
  <c r="AI53" i="99" s="1"/>
  <c r="AI54" i="99" s="1"/>
  <c r="AI55" i="99" s="1"/>
  <c r="AI56" i="99" s="1"/>
  <c r="AI57" i="99" s="1"/>
  <c r="AI58" i="99" s="1"/>
  <c r="AI59" i="99" s="1"/>
  <c r="AI60" i="99" s="1"/>
  <c r="AI61" i="99" s="1"/>
  <c r="AI62" i="99" s="1"/>
  <c r="AI63" i="99" s="1"/>
  <c r="AI64" i="99" s="1"/>
  <c r="AI65" i="99" s="1"/>
  <c r="AI66" i="99" s="1"/>
  <c r="AI67" i="99" s="1"/>
  <c r="AI68" i="99" s="1"/>
  <c r="AI69" i="99" s="1"/>
  <c r="AI70" i="99" s="1"/>
  <c r="AI71" i="99" s="1"/>
  <c r="AI72" i="99" s="1"/>
  <c r="AI73" i="99" s="1"/>
  <c r="AI74" i="99" s="1"/>
  <c r="AI75" i="99" s="1"/>
  <c r="AI76" i="99" s="1"/>
  <c r="AI77" i="99" s="1"/>
  <c r="AI78" i="99" s="1"/>
  <c r="AI79" i="99" s="1"/>
  <c r="AI80" i="99" s="1"/>
  <c r="AI81" i="99" s="1"/>
  <c r="AI82" i="99" s="1"/>
  <c r="AI83" i="99" s="1"/>
  <c r="AI84" i="99" s="1"/>
  <c r="AI85" i="99" s="1"/>
  <c r="AI86" i="99" s="1"/>
  <c r="AI87" i="99" s="1"/>
  <c r="AI88" i="99" s="1"/>
  <c r="AI89" i="99" s="1"/>
  <c r="AI90" i="99" s="1"/>
  <c r="AI91" i="99" s="1"/>
  <c r="AI92" i="99" s="1"/>
  <c r="AI93" i="99" s="1"/>
  <c r="AI94" i="99" s="1"/>
  <c r="AI95" i="99" s="1"/>
  <c r="AI96" i="99" s="1"/>
  <c r="AI97" i="99" s="1"/>
  <c r="AI98" i="99" s="1"/>
  <c r="AI99" i="99" s="1"/>
  <c r="AI100" i="99" s="1"/>
  <c r="AI101" i="99" s="1"/>
  <c r="AI102" i="99" s="1"/>
  <c r="AI103" i="99" s="1"/>
  <c r="AI104" i="99" s="1"/>
  <c r="AI105" i="99" s="1"/>
  <c r="AI106" i="99" s="1"/>
  <c r="AI107" i="99" s="1"/>
  <c r="AI108" i="99" s="1"/>
  <c r="AI109" i="99" s="1"/>
  <c r="AI110" i="99" s="1"/>
  <c r="AI111" i="99" s="1"/>
  <c r="AI112" i="99" s="1"/>
  <c r="AI113" i="99" s="1"/>
  <c r="AI114" i="99" s="1"/>
  <c r="AI115" i="99" s="1"/>
  <c r="AI116" i="99" s="1"/>
  <c r="AI117" i="99" s="1"/>
  <c r="AI118" i="99" s="1"/>
  <c r="AI119" i="99" s="1"/>
  <c r="AI120" i="99" s="1"/>
  <c r="AI121" i="99" s="1"/>
  <c r="AI122" i="99" s="1"/>
  <c r="AI123" i="99" s="1"/>
  <c r="AI124" i="99" s="1"/>
  <c r="AI125" i="99" s="1"/>
  <c r="AI126" i="99" s="1"/>
  <c r="AI127" i="99" s="1"/>
  <c r="AI128" i="99" s="1"/>
  <c r="AI129" i="99" s="1"/>
  <c r="AI130" i="99" s="1"/>
  <c r="AI131" i="99" s="1"/>
  <c r="AI132" i="99" s="1"/>
  <c r="AI133" i="99" s="1"/>
  <c r="AI134" i="99" s="1"/>
  <c r="AI135" i="99" s="1"/>
  <c r="AI136" i="99" s="1"/>
  <c r="AI137" i="99" s="1"/>
  <c r="AI138" i="99" s="1"/>
  <c r="AI139" i="99" s="1"/>
  <c r="AI140" i="99" s="1"/>
  <c r="AI141" i="99" s="1"/>
  <c r="AI142" i="99" s="1"/>
  <c r="AI143" i="99" s="1"/>
  <c r="AI144" i="99" s="1"/>
  <c r="AI145" i="99" s="1"/>
  <c r="AI146" i="99" s="1"/>
  <c r="AI147" i="99" s="1"/>
  <c r="AI148" i="99" s="1"/>
  <c r="AI149" i="99" s="1"/>
  <c r="AI150" i="99" s="1"/>
  <c r="AI151" i="99" s="1"/>
  <c r="AI152" i="99" s="1"/>
  <c r="AI153" i="99" s="1"/>
  <c r="AI154" i="99" s="1"/>
  <c r="AI155" i="99" s="1"/>
  <c r="AI156" i="99" s="1"/>
  <c r="AI157" i="99" s="1"/>
  <c r="AI158" i="99" s="1"/>
  <c r="AI159" i="99" s="1"/>
  <c r="AI160" i="99" s="1"/>
  <c r="AI161" i="99" s="1"/>
  <c r="AI162" i="99" s="1"/>
  <c r="AI163" i="99" s="1"/>
  <c r="AI164" i="99" s="1"/>
  <c r="AI165" i="99" s="1"/>
  <c r="AI166" i="99" s="1"/>
  <c r="AI167" i="99" s="1"/>
  <c r="AI168" i="99" s="1"/>
  <c r="AI169" i="99" s="1"/>
  <c r="AI170" i="99" s="1"/>
  <c r="AI171" i="99" s="1"/>
  <c r="AI172" i="99" s="1"/>
  <c r="AI173" i="99" s="1"/>
  <c r="AI174" i="99" s="1"/>
  <c r="AI175" i="99" s="1"/>
  <c r="AI176" i="99" s="1"/>
  <c r="AI177" i="99" s="1"/>
  <c r="AI178" i="99" s="1"/>
  <c r="AI179" i="99" s="1"/>
  <c r="AI180" i="99" s="1"/>
  <c r="AI181" i="99" s="1"/>
  <c r="AI182" i="99" s="1"/>
  <c r="AI183" i="99" s="1"/>
  <c r="AI184" i="99" s="1"/>
  <c r="AI185" i="99" s="1"/>
  <c r="AI186" i="99" s="1"/>
  <c r="AI187" i="99" s="1"/>
  <c r="AI188" i="99" s="1"/>
  <c r="AI189" i="99" s="1"/>
  <c r="AI190" i="99" s="1"/>
  <c r="AI191" i="99" s="1"/>
  <c r="AI192" i="99" s="1"/>
  <c r="AI193" i="99" s="1"/>
  <c r="AI194" i="99" s="1"/>
  <c r="AI195" i="99" s="1"/>
  <c r="AI196" i="99" s="1"/>
  <c r="AI197" i="99" s="1"/>
  <c r="AI198" i="99" s="1"/>
  <c r="AI199" i="99" s="1"/>
  <c r="AI200" i="99" s="1"/>
  <c r="AI201" i="99" s="1"/>
  <c r="AI202" i="99" s="1"/>
  <c r="AI203" i="99" s="1"/>
  <c r="AI204" i="99" s="1"/>
  <c r="AI205" i="99" s="1"/>
  <c r="AI206" i="99" s="1"/>
  <c r="AI207" i="99" s="1"/>
  <c r="AI208" i="99" s="1"/>
  <c r="AI209" i="99" s="1"/>
  <c r="AI210" i="99" s="1"/>
  <c r="AI211" i="99" s="1"/>
  <c r="AI212" i="99" s="1"/>
  <c r="AI213" i="99" s="1"/>
  <c r="AI214" i="99" s="1"/>
  <c r="AI215" i="99" s="1"/>
  <c r="AI216" i="99" s="1"/>
  <c r="AI217" i="99" s="1"/>
  <c r="AI218" i="99" s="1"/>
  <c r="AI219" i="99" s="1"/>
  <c r="AI220" i="99" s="1"/>
  <c r="AI221" i="99" s="1"/>
  <c r="AI222" i="99" s="1"/>
  <c r="AI223" i="99" s="1"/>
  <c r="AI224" i="99" s="1"/>
  <c r="AI225" i="99" s="1"/>
  <c r="AI226" i="99" s="1"/>
  <c r="AI227" i="99" s="1"/>
  <c r="AI228" i="99" s="1"/>
  <c r="AI229" i="99" s="1"/>
  <c r="AI230" i="99" s="1"/>
  <c r="AI231" i="99" s="1"/>
  <c r="AI232" i="99" s="1"/>
  <c r="AI233" i="99" s="1"/>
  <c r="AI234" i="99" s="1"/>
  <c r="AI235" i="99" s="1"/>
  <c r="AI236" i="99" s="1"/>
  <c r="AI237" i="99" s="1"/>
  <c r="AI238" i="99" s="1"/>
  <c r="AI239" i="99" s="1"/>
  <c r="AI240" i="99" s="1"/>
  <c r="AI241" i="99" s="1"/>
  <c r="AI242" i="99" s="1"/>
  <c r="AI243" i="99" s="1"/>
  <c r="AI244" i="99" s="1"/>
  <c r="AI245" i="99" s="1"/>
  <c r="AI246" i="99" s="1"/>
  <c r="AI247" i="99" s="1"/>
  <c r="AI248" i="99" s="1"/>
  <c r="AI249" i="99" s="1"/>
  <c r="AI250" i="99" s="1"/>
  <c r="AI251" i="99" s="1"/>
  <c r="AI252" i="99" s="1"/>
  <c r="AI253" i="99" s="1"/>
  <c r="AI254" i="99" s="1"/>
  <c r="AI255" i="99" s="1"/>
  <c r="AI256" i="99" s="1"/>
  <c r="AI257" i="99" s="1"/>
  <c r="AI258" i="99" s="1"/>
  <c r="AI259" i="99" s="1"/>
  <c r="AI260" i="99" s="1"/>
  <c r="AI261" i="99" s="1"/>
  <c r="AI262" i="99" s="1"/>
  <c r="AI263" i="99" s="1"/>
  <c r="AI264" i="99" s="1"/>
  <c r="AI265" i="99" s="1"/>
  <c r="AI266" i="99" s="1"/>
  <c r="AI267" i="99" s="1"/>
  <c r="AI268" i="99" s="1"/>
  <c r="AI269" i="99" s="1"/>
  <c r="AI270" i="99" s="1"/>
  <c r="AI271" i="99" s="1"/>
  <c r="AI272" i="99" s="1"/>
  <c r="AI273" i="99" s="1"/>
  <c r="AI274" i="99" s="1"/>
  <c r="AI275" i="99" s="1"/>
  <c r="AI276" i="99" s="1"/>
  <c r="AI277" i="99" s="1"/>
  <c r="AI278" i="99" s="1"/>
  <c r="AI279" i="99" s="1"/>
  <c r="AI280" i="99" s="1"/>
  <c r="AI281" i="99" s="1"/>
  <c r="AI282" i="99" s="1"/>
  <c r="AI283" i="99" s="1"/>
  <c r="AI284" i="99" s="1"/>
  <c r="AI285" i="99" s="1"/>
  <c r="AI286" i="99" s="1"/>
  <c r="AI287" i="99" s="1"/>
  <c r="AI288" i="99" s="1"/>
  <c r="AI289" i="99" s="1"/>
  <c r="AI290" i="99" s="1"/>
  <c r="AI291" i="99" s="1"/>
  <c r="AI292" i="99" s="1"/>
  <c r="AI293" i="99" s="1"/>
  <c r="AI294" i="99" s="1"/>
  <c r="AI295" i="99" s="1"/>
  <c r="AI296" i="99" s="1"/>
  <c r="AI297" i="99" s="1"/>
  <c r="AI298" i="99" s="1"/>
  <c r="AI299" i="99" s="1"/>
  <c r="AI300" i="99" s="1"/>
  <c r="AI301" i="99" s="1"/>
  <c r="AI302" i="99" s="1"/>
  <c r="AI303" i="99" s="1"/>
  <c r="AI304" i="99" s="1"/>
  <c r="AI305" i="99" s="1"/>
  <c r="AI306" i="99" s="1"/>
  <c r="AI307" i="99" s="1"/>
  <c r="AI308" i="99" s="1"/>
  <c r="AI309" i="99" s="1"/>
  <c r="AI310" i="99" s="1"/>
  <c r="AI311" i="99" s="1"/>
  <c r="AI312" i="99" s="1"/>
  <c r="AI313" i="99" s="1"/>
  <c r="AI314" i="99" s="1"/>
  <c r="AI315" i="99" s="1"/>
  <c r="AI316" i="99" s="1"/>
  <c r="AI317" i="99" s="1"/>
  <c r="AI318" i="99" s="1"/>
  <c r="AI319" i="99" s="1"/>
  <c r="AI320" i="99" s="1"/>
  <c r="AI321" i="99" s="1"/>
  <c r="AI322" i="99" s="1"/>
  <c r="AI323" i="99" s="1"/>
  <c r="AI324" i="99" s="1"/>
  <c r="AI325" i="99" s="1"/>
  <c r="AI326" i="99" s="1"/>
  <c r="AI327" i="99" s="1"/>
  <c r="AI328" i="99" s="1"/>
  <c r="AI329" i="99" s="1"/>
  <c r="AI330" i="99" s="1"/>
  <c r="AI331" i="99" s="1"/>
  <c r="AI332" i="99" s="1"/>
  <c r="AI333" i="99" s="1"/>
  <c r="AI334" i="99" s="1"/>
  <c r="AI335" i="99" s="1"/>
  <c r="AI336" i="99" s="1"/>
  <c r="AI337" i="99" s="1"/>
  <c r="AI338" i="99" s="1"/>
  <c r="AI339" i="99" s="1"/>
  <c r="AI340" i="99" s="1"/>
  <c r="AI341" i="99" s="1"/>
  <c r="AI342" i="99" s="1"/>
  <c r="AI343" i="99" s="1"/>
  <c r="AI344" i="99" s="1"/>
  <c r="AI345" i="99" s="1"/>
  <c r="AI346" i="99" s="1"/>
  <c r="AI347" i="99" s="1"/>
  <c r="AI348" i="99" s="1"/>
  <c r="AI349" i="99" s="1"/>
  <c r="AI350" i="99" s="1"/>
  <c r="AI351" i="99" s="1"/>
  <c r="AI352" i="99" s="1"/>
  <c r="AI353" i="99" s="1"/>
  <c r="AI354" i="99" s="1"/>
  <c r="AI355" i="99" s="1"/>
  <c r="AI356" i="99" s="1"/>
  <c r="AI357" i="99" s="1"/>
  <c r="AI358" i="99" s="1"/>
  <c r="AI359" i="99" s="1"/>
  <c r="AI360" i="99" s="1"/>
  <c r="AI361" i="99" s="1"/>
  <c r="AI362" i="99" s="1"/>
  <c r="AI363" i="99" s="1"/>
  <c r="AI364" i="99" s="1"/>
  <c r="AI365" i="99" s="1"/>
  <c r="AI366" i="99" s="1"/>
  <c r="AI367" i="99" s="1"/>
  <c r="AI368" i="99" s="1"/>
  <c r="AI369" i="99" s="1"/>
  <c r="AI370" i="99" s="1"/>
  <c r="AI371" i="99" s="1"/>
  <c r="AI372" i="99" s="1"/>
  <c r="AI373" i="99" s="1"/>
  <c r="AI374" i="99" s="1"/>
  <c r="AI375" i="99" s="1"/>
  <c r="AI376" i="99" s="1"/>
  <c r="AI377" i="99" s="1"/>
  <c r="AI378" i="99" s="1"/>
  <c r="AI379" i="99" s="1"/>
  <c r="AI380" i="99" s="1"/>
  <c r="AI381" i="99" s="1"/>
  <c r="AI382" i="99" s="1"/>
  <c r="AI383" i="99" s="1"/>
  <c r="AI384" i="99" s="1"/>
  <c r="AI385" i="99" s="1"/>
  <c r="AI386" i="99" s="1"/>
  <c r="AI387" i="99" s="1"/>
  <c r="AI388" i="99" s="1"/>
  <c r="AI389" i="99" s="1"/>
  <c r="AI390" i="99" s="1"/>
  <c r="AI391" i="99" s="1"/>
  <c r="AI392" i="99" s="1"/>
  <c r="AI393" i="99" s="1"/>
  <c r="AI394" i="99" s="1"/>
  <c r="AI395" i="99" s="1"/>
  <c r="AI396" i="99" s="1"/>
  <c r="AI397" i="99" s="1"/>
  <c r="AI398" i="99" s="1"/>
  <c r="AI399" i="99" s="1"/>
  <c r="AI400" i="99" s="1"/>
  <c r="AI401" i="99" s="1"/>
  <c r="AI402" i="99" s="1"/>
  <c r="AI403" i="99" s="1"/>
  <c r="AI404" i="99" s="1"/>
  <c r="AI405" i="99" s="1"/>
  <c r="AI406" i="99" s="1"/>
  <c r="AI407" i="99" s="1"/>
  <c r="AI408" i="99" s="1"/>
  <c r="AI409" i="99" s="1"/>
  <c r="AI410" i="99" s="1"/>
  <c r="AI411" i="99" s="1"/>
  <c r="AI412" i="99" s="1"/>
  <c r="AI413" i="99" s="1"/>
  <c r="AI414" i="99" s="1"/>
  <c r="AI415" i="99" s="1"/>
  <c r="AI416" i="99" s="1"/>
  <c r="AI417" i="99" s="1"/>
  <c r="AI418" i="99" s="1"/>
  <c r="AI419" i="99" s="1"/>
  <c r="AI420" i="99" s="1"/>
  <c r="AI421" i="99" s="1"/>
  <c r="AI422" i="99" s="1"/>
  <c r="AI423" i="99" s="1"/>
  <c r="AI424" i="99" s="1"/>
  <c r="AI425" i="99" s="1"/>
  <c r="AI426" i="99" s="1"/>
  <c r="AI427" i="99" s="1"/>
  <c r="AI428" i="99" s="1"/>
  <c r="AI429" i="99" s="1"/>
  <c r="AI430" i="99" s="1"/>
  <c r="AI431" i="99" s="1"/>
  <c r="AI432" i="99" s="1"/>
  <c r="AI433" i="99" s="1"/>
  <c r="AI434" i="99" s="1"/>
  <c r="AI435" i="99" s="1"/>
  <c r="AI436" i="99" s="1"/>
  <c r="AI437" i="99" s="1"/>
  <c r="AI438" i="99" s="1"/>
  <c r="AI439" i="99" s="1"/>
  <c r="AI440" i="99" s="1"/>
  <c r="AI441" i="99" s="1"/>
  <c r="AI442" i="99" s="1"/>
  <c r="AI443" i="99" s="1"/>
  <c r="AI444" i="99" s="1"/>
  <c r="AI445" i="99" s="1"/>
  <c r="AI446" i="99" s="1"/>
  <c r="AI447" i="99" s="1"/>
  <c r="AI448" i="99" s="1"/>
  <c r="AI449" i="99" s="1"/>
  <c r="AI450" i="99" s="1"/>
  <c r="AI451" i="99" s="1"/>
  <c r="AI452" i="99" s="1"/>
  <c r="AI453" i="99" s="1"/>
  <c r="AI454" i="99" s="1"/>
  <c r="AI455" i="99" s="1"/>
  <c r="AI456" i="99" s="1"/>
  <c r="AI457" i="99" s="1"/>
  <c r="AI458" i="99" s="1"/>
  <c r="AI459" i="99" s="1"/>
  <c r="AI460" i="99" s="1"/>
  <c r="AI461" i="99" s="1"/>
  <c r="AI462" i="99" s="1"/>
  <c r="AI463" i="99" s="1"/>
  <c r="AI464" i="99" s="1"/>
  <c r="AI465" i="99" s="1"/>
  <c r="AI466" i="99" s="1"/>
  <c r="AI467" i="99" s="1"/>
  <c r="AI468" i="99" s="1"/>
  <c r="AI469" i="99" s="1"/>
  <c r="AI470" i="99" s="1"/>
  <c r="AI471" i="99" s="1"/>
  <c r="AI472" i="99" s="1"/>
  <c r="AI473" i="99" s="1"/>
  <c r="AI474" i="99" s="1"/>
  <c r="AI475" i="99" s="1"/>
  <c r="AI476" i="99" s="1"/>
  <c r="AI477" i="99" s="1"/>
  <c r="AI478" i="99" s="1"/>
  <c r="AI479" i="99" s="1"/>
  <c r="AI480" i="99" s="1"/>
  <c r="AI481" i="99" s="1"/>
  <c r="AI482" i="99" s="1"/>
  <c r="AI483" i="99" s="1"/>
  <c r="AI484" i="99" s="1"/>
  <c r="AI485" i="99" s="1"/>
  <c r="AI486" i="99" s="1"/>
  <c r="AI487" i="99" s="1"/>
  <c r="AI488" i="99" s="1"/>
  <c r="AI489" i="99" s="1"/>
  <c r="AI490" i="99" s="1"/>
  <c r="AI491" i="99" s="1"/>
  <c r="AI492" i="99" s="1"/>
  <c r="AI493" i="99" s="1"/>
  <c r="AI494" i="99" s="1"/>
  <c r="AI495" i="99" s="1"/>
  <c r="AI496" i="99" s="1"/>
  <c r="AI497" i="99" s="1"/>
  <c r="AI498" i="99" s="1"/>
  <c r="AI499" i="99" s="1"/>
  <c r="AI500" i="99" s="1"/>
  <c r="AI501" i="99" s="1"/>
  <c r="AI502" i="99" s="1"/>
  <c r="AI503" i="99" s="1"/>
  <c r="AI504" i="99" s="1"/>
  <c r="AI505" i="99" s="1"/>
  <c r="AI506" i="99" s="1"/>
  <c r="AI507" i="99" s="1"/>
  <c r="AI508" i="99" s="1"/>
  <c r="AI509" i="99" s="1"/>
  <c r="AI510" i="99" s="1"/>
  <c r="AI511" i="99" s="1"/>
  <c r="AI512" i="99" s="1"/>
  <c r="AI513" i="99" s="1"/>
  <c r="AI514" i="99" s="1"/>
  <c r="AI515" i="99" s="1"/>
  <c r="AI516" i="99" s="1"/>
  <c r="AI517" i="99" s="1"/>
  <c r="AI518" i="99" s="1"/>
  <c r="AI519" i="99" s="1"/>
  <c r="AI520" i="99" s="1"/>
  <c r="AI521" i="99" s="1"/>
  <c r="AI522" i="99" s="1"/>
  <c r="AI523" i="99" s="1"/>
  <c r="AI524" i="99" s="1"/>
  <c r="AI525" i="99" s="1"/>
  <c r="AI526" i="99" s="1"/>
  <c r="AI527" i="99" s="1"/>
  <c r="AI528" i="99" s="1"/>
  <c r="AI529" i="99" s="1"/>
  <c r="AI530" i="99" s="1"/>
  <c r="AI531" i="99" s="1"/>
  <c r="AI532" i="99" s="1"/>
  <c r="AI533" i="99" s="1"/>
  <c r="AI534" i="99" s="1"/>
  <c r="AI535" i="99" s="1"/>
  <c r="AI536" i="99" s="1"/>
  <c r="AI537" i="99" s="1"/>
  <c r="AI538" i="99" s="1"/>
  <c r="AI539" i="99" s="1"/>
  <c r="AI540" i="99" s="1"/>
  <c r="AI541" i="99" s="1"/>
  <c r="AI542" i="99" s="1"/>
  <c r="AI543" i="99" s="1"/>
  <c r="AI544" i="99" s="1"/>
  <c r="AI545" i="99" s="1"/>
  <c r="AI546" i="99" s="1"/>
  <c r="AI547" i="99" s="1"/>
  <c r="AI548" i="99" s="1"/>
  <c r="AI549" i="99" s="1"/>
  <c r="AI550" i="99" s="1"/>
  <c r="AI551" i="99" s="1"/>
  <c r="AI552" i="99" s="1"/>
  <c r="AI553" i="99" s="1"/>
  <c r="AI554" i="99" s="1"/>
  <c r="AI555" i="99" s="1"/>
  <c r="AI556" i="99" s="1"/>
  <c r="AI557" i="99" s="1"/>
  <c r="AI558" i="99" s="1"/>
  <c r="AI559" i="99" s="1"/>
  <c r="AI560" i="99" s="1"/>
  <c r="AI561" i="99" s="1"/>
  <c r="AI562" i="99" s="1"/>
  <c r="AI563" i="99" s="1"/>
  <c r="AI564" i="99" s="1"/>
  <c r="AI565" i="99" s="1"/>
  <c r="AI566" i="99" s="1"/>
  <c r="AI567" i="99" s="1"/>
  <c r="AI568" i="99" s="1"/>
  <c r="AI569" i="99" s="1"/>
  <c r="AI570" i="99" s="1"/>
  <c r="AI571" i="99" s="1"/>
  <c r="AI572" i="99" s="1"/>
  <c r="AI573" i="99" s="1"/>
  <c r="AI574" i="99" s="1"/>
  <c r="AI575" i="99" s="1"/>
  <c r="AI576" i="99" s="1"/>
  <c r="AI577" i="99" s="1"/>
  <c r="AI578" i="99" s="1"/>
  <c r="AI579" i="99" s="1"/>
  <c r="AI580" i="99" s="1"/>
  <c r="AI581" i="99" s="1"/>
  <c r="AH8" i="99"/>
  <c r="AH9" i="99" s="1"/>
  <c r="AH10" i="99" s="1"/>
  <c r="AH11" i="99" s="1"/>
  <c r="AH12" i="99" s="1"/>
  <c r="AH13" i="99" s="1"/>
  <c r="AH14" i="99" s="1"/>
  <c r="AH15" i="99" s="1"/>
  <c r="AH16" i="99" s="1"/>
  <c r="AH17" i="99" s="1"/>
  <c r="AH18" i="99" s="1"/>
  <c r="AH19" i="99" s="1"/>
  <c r="AH20" i="99" s="1"/>
  <c r="AH21" i="99" s="1"/>
  <c r="AH22" i="99" s="1"/>
  <c r="AH23" i="99" s="1"/>
  <c r="AH24" i="99" s="1"/>
  <c r="AH25" i="99" s="1"/>
  <c r="AH26" i="99" s="1"/>
  <c r="AH27" i="99" s="1"/>
  <c r="AH28" i="99" s="1"/>
  <c r="AH29" i="99" s="1"/>
  <c r="AH30" i="99" s="1"/>
  <c r="AH31" i="99" s="1"/>
  <c r="AH32" i="99" s="1"/>
  <c r="AH33" i="99" s="1"/>
  <c r="AH34" i="99" s="1"/>
  <c r="AH35" i="99" s="1"/>
  <c r="AH36" i="99" s="1"/>
  <c r="AH37" i="99" s="1"/>
  <c r="AH38" i="99" s="1"/>
  <c r="AH39" i="99" s="1"/>
  <c r="AH40" i="99" s="1"/>
  <c r="AH41" i="99" s="1"/>
  <c r="AH42" i="99" s="1"/>
  <c r="AH43" i="99" s="1"/>
  <c r="AH44" i="99" s="1"/>
  <c r="AH45" i="99" s="1"/>
  <c r="AH46" i="99" s="1"/>
  <c r="AH47" i="99" s="1"/>
  <c r="AH48" i="99" s="1"/>
  <c r="AH49" i="99" s="1"/>
  <c r="AH50" i="99" s="1"/>
  <c r="AH51" i="99" s="1"/>
  <c r="AH52" i="99" s="1"/>
  <c r="AH53" i="99" s="1"/>
  <c r="AH54" i="99" s="1"/>
  <c r="AH55" i="99" s="1"/>
  <c r="AH56" i="99" s="1"/>
  <c r="AH57" i="99" s="1"/>
  <c r="AH58" i="99" s="1"/>
  <c r="AH59" i="99" s="1"/>
  <c r="AH60" i="99" s="1"/>
  <c r="AH61" i="99" s="1"/>
  <c r="AH62" i="99" s="1"/>
  <c r="AH63" i="99" s="1"/>
  <c r="AH64" i="99" s="1"/>
  <c r="AH65" i="99" s="1"/>
  <c r="AH66" i="99" s="1"/>
  <c r="AH67" i="99" s="1"/>
  <c r="AH68" i="99" s="1"/>
  <c r="AH69" i="99" s="1"/>
  <c r="AH70" i="99" s="1"/>
  <c r="AH71" i="99" s="1"/>
  <c r="AH72" i="99" s="1"/>
  <c r="AH73" i="99" s="1"/>
  <c r="AH74" i="99" s="1"/>
  <c r="AH75" i="99" s="1"/>
  <c r="AH76" i="99" s="1"/>
  <c r="AH77" i="99" s="1"/>
  <c r="AH78" i="99" s="1"/>
  <c r="AH79" i="99" s="1"/>
  <c r="AH80" i="99" s="1"/>
  <c r="AH81" i="99" s="1"/>
  <c r="AH82" i="99" s="1"/>
  <c r="AH83" i="99" s="1"/>
  <c r="AH84" i="99" s="1"/>
  <c r="AH85" i="99" s="1"/>
  <c r="AH86" i="99" s="1"/>
  <c r="AH87" i="99" s="1"/>
  <c r="AH88" i="99" s="1"/>
  <c r="AH89" i="99" s="1"/>
  <c r="AH90" i="99" s="1"/>
  <c r="AH91" i="99" s="1"/>
  <c r="AH92" i="99" s="1"/>
  <c r="AH93" i="99" s="1"/>
  <c r="AH94" i="99" s="1"/>
  <c r="AH95" i="99" s="1"/>
  <c r="AH96" i="99" s="1"/>
  <c r="AH97" i="99" s="1"/>
  <c r="AH98" i="99" s="1"/>
  <c r="AH99" i="99" s="1"/>
  <c r="AH100" i="99" s="1"/>
  <c r="AH101" i="99" s="1"/>
  <c r="AH102" i="99" s="1"/>
  <c r="AH103" i="99" s="1"/>
  <c r="AH104" i="99" s="1"/>
  <c r="AH105" i="99" s="1"/>
  <c r="AH106" i="99" s="1"/>
  <c r="AH107" i="99" s="1"/>
  <c r="AH108" i="99" s="1"/>
  <c r="AH109" i="99" s="1"/>
  <c r="AH110" i="99" s="1"/>
  <c r="AH111" i="99" s="1"/>
  <c r="AH112" i="99" s="1"/>
  <c r="AH113" i="99" s="1"/>
  <c r="AH114" i="99" s="1"/>
  <c r="AH115" i="99" s="1"/>
  <c r="AH116" i="99" s="1"/>
  <c r="AH117" i="99" s="1"/>
  <c r="AH118" i="99" s="1"/>
  <c r="AH119" i="99" s="1"/>
  <c r="AH120" i="99" s="1"/>
  <c r="AH121" i="99" s="1"/>
  <c r="AH122" i="99" s="1"/>
  <c r="AH123" i="99" s="1"/>
  <c r="AH124" i="99" s="1"/>
  <c r="AH125" i="99" s="1"/>
  <c r="AH126" i="99" s="1"/>
  <c r="AH127" i="99" s="1"/>
  <c r="AH128" i="99" s="1"/>
  <c r="AH129" i="99" s="1"/>
  <c r="AH130" i="99" s="1"/>
  <c r="AH131" i="99" s="1"/>
  <c r="AH132" i="99" s="1"/>
  <c r="AH133" i="99" s="1"/>
  <c r="AH134" i="99" s="1"/>
  <c r="AH135" i="99" s="1"/>
  <c r="AH136" i="99" s="1"/>
  <c r="AH137" i="99" s="1"/>
  <c r="AH138" i="99" s="1"/>
  <c r="AH139" i="99" s="1"/>
  <c r="AH140" i="99" s="1"/>
  <c r="AH141" i="99" s="1"/>
  <c r="AH142" i="99" s="1"/>
  <c r="AH143" i="99" s="1"/>
  <c r="AH144" i="99" s="1"/>
  <c r="AH145" i="99" s="1"/>
  <c r="AH146" i="99" s="1"/>
  <c r="AH147" i="99" s="1"/>
  <c r="AH148" i="99" s="1"/>
  <c r="AH149" i="99" s="1"/>
  <c r="AH150" i="99" s="1"/>
  <c r="AH151" i="99" s="1"/>
  <c r="AH152" i="99" s="1"/>
  <c r="AH153" i="99" s="1"/>
  <c r="AH154" i="99" s="1"/>
  <c r="AH155" i="99" s="1"/>
  <c r="AH156" i="99" s="1"/>
  <c r="AH157" i="99" s="1"/>
  <c r="AH158" i="99" s="1"/>
  <c r="AH159" i="99" s="1"/>
  <c r="AH160" i="99" s="1"/>
  <c r="AH161" i="99" s="1"/>
  <c r="AH162" i="99" s="1"/>
  <c r="AH163" i="99" s="1"/>
  <c r="AH164" i="99" s="1"/>
  <c r="AH165" i="99" s="1"/>
  <c r="AH166" i="99" s="1"/>
  <c r="AH167" i="99" s="1"/>
  <c r="AH168" i="99" s="1"/>
  <c r="AH169" i="99" s="1"/>
  <c r="AH170" i="99" s="1"/>
  <c r="AH171" i="99" s="1"/>
  <c r="AH172" i="99" s="1"/>
  <c r="AH173" i="99" s="1"/>
  <c r="AH174" i="99" s="1"/>
  <c r="AH175" i="99" s="1"/>
  <c r="AH176" i="99" s="1"/>
  <c r="AH177" i="99" s="1"/>
  <c r="AH178" i="99" s="1"/>
  <c r="AH179" i="99" s="1"/>
  <c r="AH180" i="99" s="1"/>
  <c r="AH181" i="99" s="1"/>
  <c r="AH182" i="99" s="1"/>
  <c r="AH183" i="99" s="1"/>
  <c r="AH184" i="99" s="1"/>
  <c r="AH185" i="99" s="1"/>
  <c r="AH186" i="99" s="1"/>
  <c r="AH187" i="99" s="1"/>
  <c r="AH188" i="99" s="1"/>
  <c r="AH189" i="99" s="1"/>
  <c r="AH190" i="99" s="1"/>
  <c r="AH191" i="99" s="1"/>
  <c r="AH192" i="99" s="1"/>
  <c r="AH193" i="99" s="1"/>
  <c r="AH194" i="99" s="1"/>
  <c r="AH195" i="99" s="1"/>
  <c r="AH196" i="99" s="1"/>
  <c r="AH197" i="99" s="1"/>
  <c r="AH198" i="99" s="1"/>
  <c r="AH199" i="99" s="1"/>
  <c r="AH200" i="99" s="1"/>
  <c r="AH201" i="99" s="1"/>
  <c r="AH202" i="99" s="1"/>
  <c r="AH203" i="99" s="1"/>
  <c r="AH204" i="99" s="1"/>
  <c r="AH205" i="99" s="1"/>
  <c r="AH206" i="99" s="1"/>
  <c r="AH207" i="99" s="1"/>
  <c r="AH208" i="99" s="1"/>
  <c r="AH209" i="99" s="1"/>
  <c r="AH210" i="99" s="1"/>
  <c r="AH211" i="99" s="1"/>
  <c r="AH212" i="99" s="1"/>
  <c r="AH213" i="99" s="1"/>
  <c r="AH214" i="99" s="1"/>
  <c r="AH215" i="99" s="1"/>
  <c r="AH216" i="99" s="1"/>
  <c r="AH217" i="99" s="1"/>
  <c r="AH218" i="99" s="1"/>
  <c r="AH219" i="99" s="1"/>
  <c r="AH220" i="99" s="1"/>
  <c r="AH221" i="99" s="1"/>
  <c r="AH222" i="99" s="1"/>
  <c r="AH223" i="99" s="1"/>
  <c r="AH224" i="99" s="1"/>
  <c r="AH225" i="99" s="1"/>
  <c r="AH226" i="99" s="1"/>
  <c r="AH227" i="99" s="1"/>
  <c r="AH228" i="99" s="1"/>
  <c r="AH229" i="99" s="1"/>
  <c r="AH230" i="99" s="1"/>
  <c r="AH231" i="99" s="1"/>
  <c r="AH232" i="99" s="1"/>
  <c r="AH233" i="99" s="1"/>
  <c r="AH234" i="99" s="1"/>
  <c r="AH235" i="99" s="1"/>
  <c r="AH236" i="99" s="1"/>
  <c r="AH237" i="99" s="1"/>
  <c r="AH238" i="99" s="1"/>
  <c r="AH239" i="99" s="1"/>
  <c r="AH240" i="99" s="1"/>
  <c r="AH241" i="99" s="1"/>
  <c r="AH242" i="99" s="1"/>
  <c r="AH243" i="99" s="1"/>
  <c r="AH244" i="99" s="1"/>
  <c r="AH245" i="99" s="1"/>
  <c r="AH246" i="99" s="1"/>
  <c r="AH247" i="99" s="1"/>
  <c r="AH248" i="99" s="1"/>
  <c r="AH249" i="99" s="1"/>
  <c r="AH250" i="99" s="1"/>
  <c r="AH251" i="99" s="1"/>
  <c r="AH252" i="99" s="1"/>
  <c r="AH253" i="99" s="1"/>
  <c r="AH254" i="99" s="1"/>
  <c r="AH255" i="99" s="1"/>
  <c r="AH256" i="99" s="1"/>
  <c r="AH257" i="99" s="1"/>
  <c r="AH258" i="99" s="1"/>
  <c r="AH259" i="99" s="1"/>
  <c r="AH260" i="99" s="1"/>
  <c r="AH261" i="99" s="1"/>
  <c r="AH262" i="99" s="1"/>
  <c r="AH263" i="99" s="1"/>
  <c r="AH264" i="99" s="1"/>
  <c r="AH265" i="99" s="1"/>
  <c r="AH266" i="99" s="1"/>
  <c r="AH267" i="99" s="1"/>
  <c r="AH268" i="99" s="1"/>
  <c r="AH269" i="99" s="1"/>
  <c r="AH270" i="99" s="1"/>
  <c r="AH271" i="99" s="1"/>
  <c r="AH272" i="99" s="1"/>
  <c r="AH273" i="99" s="1"/>
  <c r="AH274" i="99" s="1"/>
  <c r="AH275" i="99" s="1"/>
  <c r="AH276" i="99" s="1"/>
  <c r="AH277" i="99" s="1"/>
  <c r="AH278" i="99" s="1"/>
  <c r="AH279" i="99" s="1"/>
  <c r="AH280" i="99" s="1"/>
  <c r="AH281" i="99" s="1"/>
  <c r="AH282" i="99" s="1"/>
  <c r="AH283" i="99" s="1"/>
  <c r="AH284" i="99" s="1"/>
  <c r="AH285" i="99" s="1"/>
  <c r="AH286" i="99" s="1"/>
  <c r="AH287" i="99" s="1"/>
  <c r="AH288" i="99" s="1"/>
  <c r="AH289" i="99" s="1"/>
  <c r="AH290" i="99" s="1"/>
  <c r="AH291" i="99" s="1"/>
  <c r="AH292" i="99" s="1"/>
  <c r="AH293" i="99" s="1"/>
  <c r="AH294" i="99" s="1"/>
  <c r="AH295" i="99" s="1"/>
  <c r="AH296" i="99" s="1"/>
  <c r="AH297" i="99" s="1"/>
  <c r="AH298" i="99" s="1"/>
  <c r="AH299" i="99" s="1"/>
  <c r="AH300" i="99" s="1"/>
  <c r="AH301" i="99" s="1"/>
  <c r="AH302" i="99" s="1"/>
  <c r="AH303" i="99" s="1"/>
  <c r="AH304" i="99" s="1"/>
  <c r="AH305" i="99" s="1"/>
  <c r="AH306" i="99" s="1"/>
  <c r="AH307" i="99" s="1"/>
  <c r="AH308" i="99" s="1"/>
  <c r="AH309" i="99" s="1"/>
  <c r="AH310" i="99" s="1"/>
  <c r="AH311" i="99" s="1"/>
  <c r="AH312" i="99" s="1"/>
  <c r="AH313" i="99" s="1"/>
  <c r="AH314" i="99" s="1"/>
  <c r="AH315" i="99" s="1"/>
  <c r="AH316" i="99" s="1"/>
  <c r="AH317" i="99" s="1"/>
  <c r="AH318" i="99" s="1"/>
  <c r="AH319" i="99" s="1"/>
  <c r="AH320" i="99" s="1"/>
  <c r="AH321" i="99" s="1"/>
  <c r="AH322" i="99" s="1"/>
  <c r="AH323" i="99" s="1"/>
  <c r="AH324" i="99" s="1"/>
  <c r="AH325" i="99" s="1"/>
  <c r="AH326" i="99" s="1"/>
  <c r="AH327" i="99" s="1"/>
  <c r="AH328" i="99" s="1"/>
  <c r="AH329" i="99" s="1"/>
  <c r="AH330" i="99" s="1"/>
  <c r="AH331" i="99" s="1"/>
  <c r="AH332" i="99" s="1"/>
  <c r="AH333" i="99" s="1"/>
  <c r="AH334" i="99" s="1"/>
  <c r="AH335" i="99" s="1"/>
  <c r="AH336" i="99" s="1"/>
  <c r="AH337" i="99" s="1"/>
  <c r="AH338" i="99" s="1"/>
  <c r="AH339" i="99" s="1"/>
  <c r="AH340" i="99" s="1"/>
  <c r="AH341" i="99" s="1"/>
  <c r="AH342" i="99" s="1"/>
  <c r="AH343" i="99" s="1"/>
  <c r="AH344" i="99" s="1"/>
  <c r="AH345" i="99" s="1"/>
  <c r="AH346" i="99" s="1"/>
  <c r="AH347" i="99" s="1"/>
  <c r="AH348" i="99" s="1"/>
  <c r="AH349" i="99" s="1"/>
  <c r="AH350" i="99" s="1"/>
  <c r="AH351" i="99" s="1"/>
  <c r="AH352" i="99" s="1"/>
  <c r="AH353" i="99" s="1"/>
  <c r="AH354" i="99" s="1"/>
  <c r="AH355" i="99" s="1"/>
  <c r="AH356" i="99" s="1"/>
  <c r="AH357" i="99" s="1"/>
  <c r="AH358" i="99" s="1"/>
  <c r="AH359" i="99" s="1"/>
  <c r="AH360" i="99" s="1"/>
  <c r="AH361" i="99" s="1"/>
  <c r="AH362" i="99" s="1"/>
  <c r="AH363" i="99" s="1"/>
  <c r="AH364" i="99" s="1"/>
  <c r="AH365" i="99" s="1"/>
  <c r="AH366" i="99" s="1"/>
  <c r="AH367" i="99" s="1"/>
  <c r="AH368" i="99" s="1"/>
  <c r="AH369" i="99" s="1"/>
  <c r="AH370" i="99" s="1"/>
  <c r="AH371" i="99" s="1"/>
  <c r="AH372" i="99" s="1"/>
  <c r="AH373" i="99" s="1"/>
  <c r="AH374" i="99" s="1"/>
  <c r="AH375" i="99" s="1"/>
  <c r="AH376" i="99" s="1"/>
  <c r="AH377" i="99" s="1"/>
  <c r="AH378" i="99" s="1"/>
  <c r="AH379" i="99" s="1"/>
  <c r="AH380" i="99" s="1"/>
  <c r="AH381" i="99" s="1"/>
  <c r="AH382" i="99" s="1"/>
  <c r="AH383" i="99" s="1"/>
  <c r="AH384" i="99" s="1"/>
  <c r="AH385" i="99" s="1"/>
  <c r="AH386" i="99" s="1"/>
  <c r="AH387" i="99" s="1"/>
  <c r="AH388" i="99" s="1"/>
  <c r="AH389" i="99" s="1"/>
  <c r="AH390" i="99" s="1"/>
  <c r="AH391" i="99" s="1"/>
  <c r="AH392" i="99" s="1"/>
  <c r="AH393" i="99" s="1"/>
  <c r="AH394" i="99" s="1"/>
  <c r="AH395" i="99" s="1"/>
  <c r="AH396" i="99" s="1"/>
  <c r="AH397" i="99" s="1"/>
  <c r="AH398" i="99" s="1"/>
  <c r="AH399" i="99" s="1"/>
  <c r="AH400" i="99" s="1"/>
  <c r="AH401" i="99" s="1"/>
  <c r="AH402" i="99" s="1"/>
  <c r="AH403" i="99" s="1"/>
  <c r="AH404" i="99" s="1"/>
  <c r="AH405" i="99" s="1"/>
  <c r="AH406" i="99" s="1"/>
  <c r="AH407" i="99" s="1"/>
  <c r="AH408" i="99" s="1"/>
  <c r="AH409" i="99" s="1"/>
  <c r="AH410" i="99" s="1"/>
  <c r="AH411" i="99" s="1"/>
  <c r="AH412" i="99" s="1"/>
  <c r="AH413" i="99" s="1"/>
  <c r="AH414" i="99" s="1"/>
  <c r="AH415" i="99" s="1"/>
  <c r="AH416" i="99" s="1"/>
  <c r="AH417" i="99" s="1"/>
  <c r="AH418" i="99" s="1"/>
  <c r="AH419" i="99" s="1"/>
  <c r="AH420" i="99" s="1"/>
  <c r="AH421" i="99" s="1"/>
  <c r="AH422" i="99" s="1"/>
  <c r="AH423" i="99" s="1"/>
  <c r="AH424" i="99" s="1"/>
  <c r="AH425" i="99" s="1"/>
  <c r="AH426" i="99" s="1"/>
  <c r="AH427" i="99" s="1"/>
  <c r="AH428" i="99" s="1"/>
  <c r="AH429" i="99" s="1"/>
  <c r="AH430" i="99" s="1"/>
  <c r="AH431" i="99" s="1"/>
  <c r="AH432" i="99" s="1"/>
  <c r="AH433" i="99" s="1"/>
  <c r="AH434" i="99" s="1"/>
  <c r="AH435" i="99" s="1"/>
  <c r="AH436" i="99" s="1"/>
  <c r="AH437" i="99" s="1"/>
  <c r="AH438" i="99" s="1"/>
  <c r="AH439" i="99" s="1"/>
  <c r="AH440" i="99" s="1"/>
  <c r="AH441" i="99" s="1"/>
  <c r="AH442" i="99" s="1"/>
  <c r="AH443" i="99" s="1"/>
  <c r="AH444" i="99" s="1"/>
  <c r="AH445" i="99" s="1"/>
  <c r="AH446" i="99" s="1"/>
  <c r="AH447" i="99" s="1"/>
  <c r="AH448" i="99" s="1"/>
  <c r="AH449" i="99" s="1"/>
  <c r="AH450" i="99" s="1"/>
  <c r="AH451" i="99" s="1"/>
  <c r="AH452" i="99" s="1"/>
  <c r="AH453" i="99" s="1"/>
  <c r="AH454" i="99" s="1"/>
  <c r="AH455" i="99" s="1"/>
  <c r="AH456" i="99" s="1"/>
  <c r="AH457" i="99" s="1"/>
  <c r="AH458" i="99" s="1"/>
  <c r="AH459" i="99" s="1"/>
  <c r="AH460" i="99" s="1"/>
  <c r="AH461" i="99" s="1"/>
  <c r="AH462" i="99" s="1"/>
  <c r="AH463" i="99" s="1"/>
  <c r="AH464" i="99" s="1"/>
  <c r="AH465" i="99" s="1"/>
  <c r="AH466" i="99" s="1"/>
  <c r="AH467" i="99" s="1"/>
  <c r="AH468" i="99" s="1"/>
  <c r="AH469" i="99" s="1"/>
  <c r="AH470" i="99" s="1"/>
  <c r="AH471" i="99" s="1"/>
  <c r="AH472" i="99" s="1"/>
  <c r="AH473" i="99" s="1"/>
  <c r="AH474" i="99" s="1"/>
  <c r="AH475" i="99" s="1"/>
  <c r="AH476" i="99" s="1"/>
  <c r="AH477" i="99" s="1"/>
  <c r="AH478" i="99" s="1"/>
  <c r="AH479" i="99" s="1"/>
  <c r="AH480" i="99" s="1"/>
  <c r="AH481" i="99" s="1"/>
  <c r="AH482" i="99" s="1"/>
  <c r="AH483" i="99" s="1"/>
  <c r="AH484" i="99" s="1"/>
  <c r="AH485" i="99" s="1"/>
  <c r="AH486" i="99" s="1"/>
  <c r="AH487" i="99" s="1"/>
  <c r="AH488" i="99" s="1"/>
  <c r="AH489" i="99" s="1"/>
  <c r="AH490" i="99" s="1"/>
  <c r="AH491" i="99" s="1"/>
  <c r="AH492" i="99" s="1"/>
  <c r="AH493" i="99" s="1"/>
  <c r="AH494" i="99" s="1"/>
  <c r="AH495" i="99" s="1"/>
  <c r="AH496" i="99" s="1"/>
  <c r="AH497" i="99" s="1"/>
  <c r="AH498" i="99" s="1"/>
  <c r="AH499" i="99" s="1"/>
  <c r="AH500" i="99" s="1"/>
  <c r="AH501" i="99" s="1"/>
  <c r="AH502" i="99" s="1"/>
  <c r="AH503" i="99" s="1"/>
  <c r="AH504" i="99" s="1"/>
  <c r="AH505" i="99" s="1"/>
  <c r="AH506" i="99" s="1"/>
  <c r="AH507" i="99" s="1"/>
  <c r="AH508" i="99" s="1"/>
  <c r="AH509" i="99" s="1"/>
  <c r="AH510" i="99" s="1"/>
  <c r="AH511" i="99" s="1"/>
  <c r="AH512" i="99" s="1"/>
  <c r="AH513" i="99" s="1"/>
  <c r="AH514" i="99" s="1"/>
  <c r="AH515" i="99" s="1"/>
  <c r="AH516" i="99" s="1"/>
  <c r="AH517" i="99" s="1"/>
  <c r="AH518" i="99" s="1"/>
  <c r="AH519" i="99" s="1"/>
  <c r="AH520" i="99" s="1"/>
  <c r="AH521" i="99" s="1"/>
  <c r="AH522" i="99" s="1"/>
  <c r="AH523" i="99" s="1"/>
  <c r="AH524" i="99" s="1"/>
  <c r="AH525" i="99" s="1"/>
  <c r="AH526" i="99" s="1"/>
  <c r="AH527" i="99" s="1"/>
  <c r="AH528" i="99" s="1"/>
  <c r="AH529" i="99" s="1"/>
  <c r="AH530" i="99" s="1"/>
  <c r="AH531" i="99" s="1"/>
  <c r="AH532" i="99" s="1"/>
  <c r="AH533" i="99" s="1"/>
  <c r="AH534" i="99" s="1"/>
  <c r="AH535" i="99" s="1"/>
  <c r="AH536" i="99" s="1"/>
  <c r="AH537" i="99" s="1"/>
  <c r="AH538" i="99" s="1"/>
  <c r="AH539" i="99" s="1"/>
  <c r="AH540" i="99" s="1"/>
  <c r="AH541" i="99" s="1"/>
  <c r="AH542" i="99" s="1"/>
  <c r="AH543" i="99" s="1"/>
  <c r="AH544" i="99" s="1"/>
  <c r="AH545" i="99" s="1"/>
  <c r="AH546" i="99" s="1"/>
  <c r="AH547" i="99" s="1"/>
  <c r="AH548" i="99" s="1"/>
  <c r="AH549" i="99" s="1"/>
  <c r="AH550" i="99" s="1"/>
  <c r="AH551" i="99" s="1"/>
  <c r="AH552" i="99" s="1"/>
  <c r="AH553" i="99" s="1"/>
  <c r="AH554" i="99" s="1"/>
  <c r="AH555" i="99" s="1"/>
  <c r="AH556" i="99" s="1"/>
  <c r="AH557" i="99" s="1"/>
  <c r="AH558" i="99" s="1"/>
  <c r="AH559" i="99" s="1"/>
  <c r="AH560" i="99" s="1"/>
  <c r="AH561" i="99" s="1"/>
  <c r="AH562" i="99" s="1"/>
  <c r="AH563" i="99" s="1"/>
  <c r="AH564" i="99" s="1"/>
  <c r="AH565" i="99" s="1"/>
  <c r="AH566" i="99" s="1"/>
  <c r="AH567" i="99" s="1"/>
  <c r="AH568" i="99" s="1"/>
  <c r="AH569" i="99" s="1"/>
  <c r="AH570" i="99" s="1"/>
  <c r="AH571" i="99" s="1"/>
  <c r="AH572" i="99" s="1"/>
  <c r="AH573" i="99" s="1"/>
  <c r="AH574" i="99" s="1"/>
  <c r="AH575" i="99" s="1"/>
  <c r="AH576" i="99" s="1"/>
  <c r="AH577" i="99" s="1"/>
  <c r="AH578" i="99" s="1"/>
  <c r="AH579" i="99" s="1"/>
  <c r="AH580" i="99" s="1"/>
  <c r="AH581" i="99" s="1"/>
  <c r="AK6" i="99"/>
  <c r="AK5" i="99"/>
  <c r="AJ5" i="99"/>
  <c r="AJ6" i="99" s="1"/>
  <c r="AJ7" i="99" s="1"/>
  <c r="AJ8" i="99" s="1"/>
  <c r="AJ9" i="99" s="1"/>
  <c r="AJ10" i="99" s="1"/>
  <c r="AJ11" i="99" s="1"/>
  <c r="AJ12" i="99" s="1"/>
  <c r="AJ13" i="99" s="1"/>
  <c r="AJ14" i="99" s="1"/>
  <c r="AJ15" i="99" s="1"/>
  <c r="AJ16" i="99" s="1"/>
  <c r="AJ17" i="99" s="1"/>
  <c r="AJ18" i="99" s="1"/>
  <c r="AJ19" i="99" s="1"/>
  <c r="AJ20" i="99" s="1"/>
  <c r="AJ21" i="99" s="1"/>
  <c r="AJ22" i="99" s="1"/>
  <c r="AJ23" i="99" s="1"/>
  <c r="AJ24" i="99" s="1"/>
  <c r="AJ25" i="99" s="1"/>
  <c r="AJ26" i="99" s="1"/>
  <c r="AJ27" i="99" s="1"/>
  <c r="AJ28" i="99" s="1"/>
  <c r="AJ29" i="99" s="1"/>
  <c r="AJ30" i="99" s="1"/>
  <c r="AJ31" i="99" s="1"/>
  <c r="AJ32" i="99" s="1"/>
  <c r="AJ33" i="99" s="1"/>
  <c r="AJ34" i="99" s="1"/>
  <c r="AJ35" i="99" s="1"/>
  <c r="AJ36" i="99" s="1"/>
  <c r="AJ37" i="99" s="1"/>
  <c r="AJ38" i="99" s="1"/>
  <c r="AJ39" i="99" s="1"/>
  <c r="AJ40" i="99" s="1"/>
  <c r="AJ41" i="99" s="1"/>
  <c r="AJ42" i="99" s="1"/>
  <c r="AJ43" i="99" s="1"/>
  <c r="AJ44" i="99" s="1"/>
  <c r="AJ45" i="99" s="1"/>
  <c r="AJ46" i="99" s="1"/>
  <c r="AJ47" i="99" s="1"/>
  <c r="AJ48" i="99" s="1"/>
  <c r="AJ49" i="99" s="1"/>
  <c r="AJ50" i="99" s="1"/>
  <c r="AJ51" i="99" s="1"/>
  <c r="AJ52" i="99" s="1"/>
  <c r="AJ53" i="99" s="1"/>
  <c r="AJ54" i="99" s="1"/>
  <c r="AJ55" i="99" s="1"/>
  <c r="AJ56" i="99" s="1"/>
  <c r="AJ57" i="99" s="1"/>
  <c r="AJ58" i="99" s="1"/>
  <c r="AJ59" i="99" s="1"/>
  <c r="AJ60" i="99" s="1"/>
  <c r="AJ61" i="99" s="1"/>
  <c r="AJ62" i="99" s="1"/>
  <c r="AJ63" i="99" s="1"/>
  <c r="AJ64" i="99" s="1"/>
  <c r="AJ65" i="99" s="1"/>
  <c r="AJ66" i="99" s="1"/>
  <c r="AJ67" i="99" s="1"/>
  <c r="AJ68" i="99" s="1"/>
  <c r="AJ69" i="99" s="1"/>
  <c r="AJ70" i="99" s="1"/>
  <c r="AJ71" i="99" s="1"/>
  <c r="AJ72" i="99" s="1"/>
  <c r="AJ73" i="99" s="1"/>
  <c r="AJ74" i="99" s="1"/>
  <c r="AJ75" i="99" s="1"/>
  <c r="AJ76" i="99" s="1"/>
  <c r="AJ77" i="99" s="1"/>
  <c r="AJ78" i="99" s="1"/>
  <c r="AJ79" i="99" s="1"/>
  <c r="AJ80" i="99" s="1"/>
  <c r="AJ81" i="99" s="1"/>
  <c r="AJ82" i="99" s="1"/>
  <c r="AJ83" i="99" s="1"/>
  <c r="AJ84" i="99" s="1"/>
  <c r="AJ85" i="99" s="1"/>
  <c r="AJ86" i="99" s="1"/>
  <c r="AJ87" i="99" s="1"/>
  <c r="AJ88" i="99" s="1"/>
  <c r="AJ89" i="99" s="1"/>
  <c r="AJ90" i="99" s="1"/>
  <c r="AJ91" i="99" s="1"/>
  <c r="AJ92" i="99" s="1"/>
  <c r="AJ93" i="99" s="1"/>
  <c r="AJ94" i="99" s="1"/>
  <c r="AJ95" i="99" s="1"/>
  <c r="AJ96" i="99" s="1"/>
  <c r="AJ97" i="99" s="1"/>
  <c r="AJ98" i="99" s="1"/>
  <c r="AJ99" i="99" s="1"/>
  <c r="AJ100" i="99" s="1"/>
  <c r="AJ101" i="99" s="1"/>
  <c r="AJ102" i="99" s="1"/>
  <c r="AJ103" i="99" s="1"/>
  <c r="AJ104" i="99" s="1"/>
  <c r="AJ105" i="99" s="1"/>
  <c r="AJ106" i="99" s="1"/>
  <c r="AJ107" i="99" s="1"/>
  <c r="AJ108" i="99" s="1"/>
  <c r="AJ109" i="99" s="1"/>
  <c r="AJ110" i="99" s="1"/>
  <c r="AJ111" i="99" s="1"/>
  <c r="AJ112" i="99" s="1"/>
  <c r="AJ113" i="99" s="1"/>
  <c r="AJ114" i="99" s="1"/>
  <c r="AJ115" i="99" s="1"/>
  <c r="AJ116" i="99" s="1"/>
  <c r="AJ117" i="99" s="1"/>
  <c r="AJ118" i="99" s="1"/>
  <c r="AJ119" i="99" s="1"/>
  <c r="AJ120" i="99" s="1"/>
  <c r="AJ121" i="99" s="1"/>
  <c r="AJ122" i="99" s="1"/>
  <c r="AJ123" i="99" s="1"/>
  <c r="AJ124" i="99" s="1"/>
  <c r="AJ125" i="99" s="1"/>
  <c r="AJ126" i="99" s="1"/>
  <c r="AJ127" i="99" s="1"/>
  <c r="AJ128" i="99" s="1"/>
  <c r="AJ129" i="99" s="1"/>
  <c r="AJ130" i="99" s="1"/>
  <c r="AJ131" i="99" s="1"/>
  <c r="AJ132" i="99" s="1"/>
  <c r="AJ133" i="99" s="1"/>
  <c r="AJ134" i="99" s="1"/>
  <c r="AJ135" i="99" s="1"/>
  <c r="AJ136" i="99" s="1"/>
  <c r="AJ137" i="99" s="1"/>
  <c r="AJ138" i="99" s="1"/>
  <c r="AJ139" i="99" s="1"/>
  <c r="AJ140" i="99" s="1"/>
  <c r="AJ141" i="99" s="1"/>
  <c r="AJ142" i="99" s="1"/>
  <c r="AJ143" i="99" s="1"/>
  <c r="AJ144" i="99" s="1"/>
  <c r="AJ145" i="99" s="1"/>
  <c r="AJ146" i="99" s="1"/>
  <c r="AJ147" i="99" s="1"/>
  <c r="AJ148" i="99" s="1"/>
  <c r="AJ149" i="99" s="1"/>
  <c r="AJ150" i="99" s="1"/>
  <c r="AJ151" i="99" s="1"/>
  <c r="AJ152" i="99" s="1"/>
  <c r="AJ153" i="99" s="1"/>
  <c r="AJ154" i="99" s="1"/>
  <c r="AJ155" i="99" s="1"/>
  <c r="AJ156" i="99" s="1"/>
  <c r="AJ157" i="99" s="1"/>
  <c r="AJ158" i="99" s="1"/>
  <c r="AJ159" i="99" s="1"/>
  <c r="AJ160" i="99" s="1"/>
  <c r="AJ161" i="99" s="1"/>
  <c r="AJ162" i="99" s="1"/>
  <c r="AJ163" i="99" s="1"/>
  <c r="AJ164" i="99" s="1"/>
  <c r="AJ165" i="99" s="1"/>
  <c r="AJ166" i="99" s="1"/>
  <c r="AJ167" i="99" s="1"/>
  <c r="AJ168" i="99" s="1"/>
  <c r="AJ169" i="99" s="1"/>
  <c r="AJ170" i="99" s="1"/>
  <c r="AJ171" i="99" s="1"/>
  <c r="AJ172" i="99" s="1"/>
  <c r="AJ173" i="99" s="1"/>
  <c r="AJ174" i="99" s="1"/>
  <c r="AJ175" i="99" s="1"/>
  <c r="AJ176" i="99" s="1"/>
  <c r="AJ177" i="99" s="1"/>
  <c r="AJ178" i="99" s="1"/>
  <c r="AJ179" i="99" s="1"/>
  <c r="AJ180" i="99" s="1"/>
  <c r="AJ181" i="99" s="1"/>
  <c r="AJ182" i="99" s="1"/>
  <c r="AJ183" i="99" s="1"/>
  <c r="AJ184" i="99" s="1"/>
  <c r="AJ185" i="99" s="1"/>
  <c r="AJ186" i="99" s="1"/>
  <c r="AJ187" i="99" s="1"/>
  <c r="AJ188" i="99" s="1"/>
  <c r="AJ189" i="99" s="1"/>
  <c r="AJ190" i="99" s="1"/>
  <c r="AJ191" i="99" s="1"/>
  <c r="AJ192" i="99" s="1"/>
  <c r="AJ193" i="99" s="1"/>
  <c r="AJ194" i="99" s="1"/>
  <c r="AJ195" i="99" s="1"/>
  <c r="AJ196" i="99" s="1"/>
  <c r="AJ197" i="99" s="1"/>
  <c r="AJ198" i="99" s="1"/>
  <c r="AJ199" i="99" s="1"/>
  <c r="AJ200" i="99" s="1"/>
  <c r="AJ201" i="99" s="1"/>
  <c r="AJ202" i="99" s="1"/>
  <c r="AJ203" i="99" s="1"/>
  <c r="AJ204" i="99" s="1"/>
  <c r="AJ205" i="99" s="1"/>
  <c r="AJ206" i="99" s="1"/>
  <c r="AJ207" i="99" s="1"/>
  <c r="AJ208" i="99" s="1"/>
  <c r="AJ209" i="99" s="1"/>
  <c r="AJ210" i="99" s="1"/>
  <c r="AJ211" i="99" s="1"/>
  <c r="AJ212" i="99" s="1"/>
  <c r="AJ213" i="99" s="1"/>
  <c r="AJ214" i="99" s="1"/>
  <c r="AJ215" i="99" s="1"/>
  <c r="AJ216" i="99" s="1"/>
  <c r="AJ217" i="99" s="1"/>
  <c r="AJ218" i="99" s="1"/>
  <c r="AJ219" i="99" s="1"/>
  <c r="AJ220" i="99" s="1"/>
  <c r="AJ221" i="99" s="1"/>
  <c r="AJ222" i="99" s="1"/>
  <c r="AJ223" i="99" s="1"/>
  <c r="AJ224" i="99" s="1"/>
  <c r="AJ225" i="99" s="1"/>
  <c r="AJ226" i="99" s="1"/>
  <c r="AJ227" i="99" s="1"/>
  <c r="AJ228" i="99" s="1"/>
  <c r="AJ229" i="99" s="1"/>
  <c r="AJ230" i="99" s="1"/>
  <c r="AJ231" i="99" s="1"/>
  <c r="AJ232" i="99" s="1"/>
  <c r="AJ233" i="99" s="1"/>
  <c r="AJ234" i="99" s="1"/>
  <c r="AJ235" i="99" s="1"/>
  <c r="AJ236" i="99" s="1"/>
  <c r="AJ237" i="99" s="1"/>
  <c r="AJ238" i="99" s="1"/>
  <c r="AJ239" i="99" s="1"/>
  <c r="AJ240" i="99" s="1"/>
  <c r="AJ241" i="99" s="1"/>
  <c r="AJ242" i="99" s="1"/>
  <c r="AJ243" i="99" s="1"/>
  <c r="AJ244" i="99" s="1"/>
  <c r="AJ245" i="99" s="1"/>
  <c r="AJ246" i="99" s="1"/>
  <c r="AJ247" i="99" s="1"/>
  <c r="AJ248" i="99" s="1"/>
  <c r="AJ249" i="99" s="1"/>
  <c r="AJ250" i="99" s="1"/>
  <c r="AJ251" i="99" s="1"/>
  <c r="AJ252" i="99" s="1"/>
  <c r="AJ253" i="99" s="1"/>
  <c r="AJ254" i="99" s="1"/>
  <c r="AJ255" i="99" s="1"/>
  <c r="AJ256" i="99" s="1"/>
  <c r="AJ257" i="99" s="1"/>
  <c r="AJ258" i="99" s="1"/>
  <c r="AJ259" i="99" s="1"/>
  <c r="AJ260" i="99" s="1"/>
  <c r="AJ261" i="99" s="1"/>
  <c r="AJ262" i="99" s="1"/>
  <c r="AJ263" i="99" s="1"/>
  <c r="AJ264" i="99" s="1"/>
  <c r="AJ265" i="99" s="1"/>
  <c r="AJ266" i="99" s="1"/>
  <c r="AJ267" i="99" s="1"/>
  <c r="AJ268" i="99" s="1"/>
  <c r="AJ269" i="99" s="1"/>
  <c r="AJ270" i="99" s="1"/>
  <c r="AJ271" i="99" s="1"/>
  <c r="AJ272" i="99" s="1"/>
  <c r="AJ273" i="99" s="1"/>
  <c r="AJ274" i="99" s="1"/>
  <c r="AJ275" i="99" s="1"/>
  <c r="AJ276" i="99" s="1"/>
  <c r="AJ277" i="99" s="1"/>
  <c r="AJ278" i="99" s="1"/>
  <c r="AJ279" i="99" s="1"/>
  <c r="AJ280" i="99" s="1"/>
  <c r="AJ281" i="99" s="1"/>
  <c r="AJ282" i="99" s="1"/>
  <c r="AJ283" i="99" s="1"/>
  <c r="AJ284" i="99" s="1"/>
  <c r="AJ285" i="99" s="1"/>
  <c r="AJ286" i="99" s="1"/>
  <c r="AJ287" i="99" s="1"/>
  <c r="AJ288" i="99" s="1"/>
  <c r="AJ289" i="99" s="1"/>
  <c r="AJ290" i="99" s="1"/>
  <c r="AJ291" i="99" s="1"/>
  <c r="AJ292" i="99" s="1"/>
  <c r="AJ293" i="99" s="1"/>
  <c r="AJ294" i="99" s="1"/>
  <c r="AJ295" i="99" s="1"/>
  <c r="AJ296" i="99" s="1"/>
  <c r="AJ297" i="99" s="1"/>
  <c r="AJ298" i="99" s="1"/>
  <c r="AJ299" i="99" s="1"/>
  <c r="AJ300" i="99" s="1"/>
  <c r="AJ301" i="99" s="1"/>
  <c r="AJ302" i="99" s="1"/>
  <c r="AJ303" i="99" s="1"/>
  <c r="AJ304" i="99" s="1"/>
  <c r="AJ305" i="99" s="1"/>
  <c r="AJ306" i="99" s="1"/>
  <c r="AJ307" i="99" s="1"/>
  <c r="AJ308" i="99" s="1"/>
  <c r="AJ309" i="99" s="1"/>
  <c r="AJ310" i="99" s="1"/>
  <c r="AJ311" i="99" s="1"/>
  <c r="AJ312" i="99" s="1"/>
  <c r="AJ313" i="99" s="1"/>
  <c r="AJ314" i="99" s="1"/>
  <c r="AJ315" i="99" s="1"/>
  <c r="AJ316" i="99" s="1"/>
  <c r="AJ317" i="99" s="1"/>
  <c r="AJ318" i="99" s="1"/>
  <c r="AJ319" i="99" s="1"/>
  <c r="AJ320" i="99" s="1"/>
  <c r="AJ321" i="99" s="1"/>
  <c r="AJ322" i="99" s="1"/>
  <c r="AJ323" i="99" s="1"/>
  <c r="AJ324" i="99" s="1"/>
  <c r="AJ325" i="99" s="1"/>
  <c r="AJ326" i="99" s="1"/>
  <c r="AJ327" i="99" s="1"/>
  <c r="AJ328" i="99" s="1"/>
  <c r="AJ329" i="99" s="1"/>
  <c r="AJ330" i="99" s="1"/>
  <c r="AJ331" i="99" s="1"/>
  <c r="AJ332" i="99" s="1"/>
  <c r="AJ333" i="99" s="1"/>
  <c r="AJ334" i="99" s="1"/>
  <c r="AJ335" i="99" s="1"/>
  <c r="AJ336" i="99" s="1"/>
  <c r="AJ337" i="99" s="1"/>
  <c r="AJ338" i="99" s="1"/>
  <c r="AJ339" i="99" s="1"/>
  <c r="AJ340" i="99" s="1"/>
  <c r="AJ341" i="99" s="1"/>
  <c r="AJ342" i="99" s="1"/>
  <c r="AJ343" i="99" s="1"/>
  <c r="AJ344" i="99" s="1"/>
  <c r="AJ345" i="99" s="1"/>
  <c r="AJ346" i="99" s="1"/>
  <c r="AJ347" i="99" s="1"/>
  <c r="AJ348" i="99" s="1"/>
  <c r="AJ349" i="99" s="1"/>
  <c r="AJ350" i="99" s="1"/>
  <c r="AJ351" i="99" s="1"/>
  <c r="AJ352" i="99" s="1"/>
  <c r="AJ353" i="99" s="1"/>
  <c r="AJ354" i="99" s="1"/>
  <c r="AJ355" i="99" s="1"/>
  <c r="AJ356" i="99" s="1"/>
  <c r="AJ357" i="99" s="1"/>
  <c r="AJ358" i="99" s="1"/>
  <c r="AJ359" i="99" s="1"/>
  <c r="AJ360" i="99" s="1"/>
  <c r="AJ361" i="99" s="1"/>
  <c r="AJ362" i="99" s="1"/>
  <c r="AJ363" i="99" s="1"/>
  <c r="AJ364" i="99" s="1"/>
  <c r="AJ365" i="99" s="1"/>
  <c r="AJ366" i="99" s="1"/>
  <c r="AJ367" i="99" s="1"/>
  <c r="AJ368" i="99" s="1"/>
  <c r="AJ369" i="99" s="1"/>
  <c r="AJ370" i="99" s="1"/>
  <c r="AJ371" i="99" s="1"/>
  <c r="AJ372" i="99" s="1"/>
  <c r="AJ373" i="99" s="1"/>
  <c r="AJ374" i="99" s="1"/>
  <c r="AJ375" i="99" s="1"/>
  <c r="AJ376" i="99" s="1"/>
  <c r="AJ377" i="99" s="1"/>
  <c r="AJ378" i="99" s="1"/>
  <c r="AJ379" i="99" s="1"/>
  <c r="AJ380" i="99" s="1"/>
  <c r="AJ381" i="99" s="1"/>
  <c r="AJ382" i="99" s="1"/>
  <c r="AJ383" i="99" s="1"/>
  <c r="AJ384" i="99" s="1"/>
  <c r="AJ385" i="99" s="1"/>
  <c r="AJ386" i="99" s="1"/>
  <c r="AJ387" i="99" s="1"/>
  <c r="AJ388" i="99" s="1"/>
  <c r="AJ389" i="99" s="1"/>
  <c r="AJ390" i="99" s="1"/>
  <c r="AJ391" i="99" s="1"/>
  <c r="AJ392" i="99" s="1"/>
  <c r="AJ393" i="99" s="1"/>
  <c r="AJ394" i="99" s="1"/>
  <c r="AJ395" i="99" s="1"/>
  <c r="AJ396" i="99" s="1"/>
  <c r="AJ397" i="99" s="1"/>
  <c r="AJ398" i="99" s="1"/>
  <c r="AJ399" i="99" s="1"/>
  <c r="AJ400" i="99" s="1"/>
  <c r="AJ401" i="99" s="1"/>
  <c r="AJ402" i="99" s="1"/>
  <c r="AJ403" i="99" s="1"/>
  <c r="AJ404" i="99" s="1"/>
  <c r="AJ405" i="99" s="1"/>
  <c r="AJ406" i="99" s="1"/>
  <c r="AJ407" i="99" s="1"/>
  <c r="AJ408" i="99" s="1"/>
  <c r="AJ409" i="99" s="1"/>
  <c r="AJ410" i="99" s="1"/>
  <c r="AJ411" i="99" s="1"/>
  <c r="AJ412" i="99" s="1"/>
  <c r="AJ413" i="99" s="1"/>
  <c r="AJ414" i="99" s="1"/>
  <c r="AJ415" i="99" s="1"/>
  <c r="AJ416" i="99" s="1"/>
  <c r="AJ417" i="99" s="1"/>
  <c r="AJ418" i="99" s="1"/>
  <c r="AJ419" i="99" s="1"/>
  <c r="AJ420" i="99" s="1"/>
  <c r="AJ421" i="99" s="1"/>
  <c r="AJ422" i="99" s="1"/>
  <c r="AJ423" i="99" s="1"/>
  <c r="AJ424" i="99" s="1"/>
  <c r="AJ425" i="99" s="1"/>
  <c r="AJ426" i="99" s="1"/>
  <c r="AJ427" i="99" s="1"/>
  <c r="AJ428" i="99" s="1"/>
  <c r="AJ429" i="99" s="1"/>
  <c r="AJ430" i="99" s="1"/>
  <c r="AJ431" i="99" s="1"/>
  <c r="AJ432" i="99" s="1"/>
  <c r="AJ433" i="99" s="1"/>
  <c r="AJ434" i="99" s="1"/>
  <c r="AJ435" i="99" s="1"/>
  <c r="AJ436" i="99" s="1"/>
  <c r="AJ437" i="99" s="1"/>
  <c r="AJ438" i="99" s="1"/>
  <c r="AJ439" i="99" s="1"/>
  <c r="AJ440" i="99" s="1"/>
  <c r="AJ441" i="99" s="1"/>
  <c r="AJ442" i="99" s="1"/>
  <c r="AJ443" i="99" s="1"/>
  <c r="AJ444" i="99" s="1"/>
  <c r="AJ445" i="99" s="1"/>
  <c r="AJ446" i="99" s="1"/>
  <c r="AJ447" i="99" s="1"/>
  <c r="AJ448" i="99" s="1"/>
  <c r="AJ449" i="99" s="1"/>
  <c r="AJ450" i="99" s="1"/>
  <c r="AJ451" i="99" s="1"/>
  <c r="AJ452" i="99" s="1"/>
  <c r="AJ453" i="99" s="1"/>
  <c r="AJ454" i="99" s="1"/>
  <c r="AJ455" i="99" s="1"/>
  <c r="AJ456" i="99" s="1"/>
  <c r="AJ457" i="99" s="1"/>
  <c r="AJ458" i="99" s="1"/>
  <c r="AJ459" i="99" s="1"/>
  <c r="AJ460" i="99" s="1"/>
  <c r="AJ461" i="99" s="1"/>
  <c r="AJ462" i="99" s="1"/>
  <c r="AJ463" i="99" s="1"/>
  <c r="AJ464" i="99" s="1"/>
  <c r="AJ465" i="99" s="1"/>
  <c r="AJ466" i="99" s="1"/>
  <c r="AJ467" i="99" s="1"/>
  <c r="AJ468" i="99" s="1"/>
  <c r="AJ469" i="99" s="1"/>
  <c r="AJ470" i="99" s="1"/>
  <c r="AJ471" i="99" s="1"/>
  <c r="AJ472" i="99" s="1"/>
  <c r="AJ473" i="99" s="1"/>
  <c r="AJ474" i="99" s="1"/>
  <c r="AJ475" i="99" s="1"/>
  <c r="AJ476" i="99" s="1"/>
  <c r="AJ477" i="99" s="1"/>
  <c r="AJ478" i="99" s="1"/>
  <c r="AJ479" i="99" s="1"/>
  <c r="AJ480" i="99" s="1"/>
  <c r="AJ481" i="99" s="1"/>
  <c r="AJ482" i="99" s="1"/>
  <c r="AJ483" i="99" s="1"/>
  <c r="AJ484" i="99" s="1"/>
  <c r="AJ485" i="99" s="1"/>
  <c r="AJ486" i="99" s="1"/>
  <c r="AJ487" i="99" s="1"/>
  <c r="AJ488" i="99" s="1"/>
  <c r="AJ489" i="99" s="1"/>
  <c r="AJ490" i="99" s="1"/>
  <c r="AJ491" i="99" s="1"/>
  <c r="AJ492" i="99" s="1"/>
  <c r="AJ493" i="99" s="1"/>
  <c r="AJ494" i="99" s="1"/>
  <c r="AJ495" i="99" s="1"/>
  <c r="AJ496" i="99" s="1"/>
  <c r="AJ497" i="99" s="1"/>
  <c r="AJ498" i="99" s="1"/>
  <c r="AJ499" i="99" s="1"/>
  <c r="AJ500" i="99" s="1"/>
  <c r="AJ501" i="99" s="1"/>
  <c r="AJ502" i="99" s="1"/>
  <c r="AJ503" i="99" s="1"/>
  <c r="AJ504" i="99" s="1"/>
  <c r="AJ505" i="99" s="1"/>
  <c r="AJ506" i="99" s="1"/>
  <c r="AJ507" i="99" s="1"/>
  <c r="AJ508" i="99" s="1"/>
  <c r="AJ509" i="99" s="1"/>
  <c r="AJ510" i="99" s="1"/>
  <c r="AJ511" i="99" s="1"/>
  <c r="AJ512" i="99" s="1"/>
  <c r="AJ513" i="99" s="1"/>
  <c r="AJ514" i="99" s="1"/>
  <c r="AJ515" i="99" s="1"/>
  <c r="AJ516" i="99" s="1"/>
  <c r="AJ517" i="99" s="1"/>
  <c r="AJ518" i="99" s="1"/>
  <c r="AJ519" i="99" s="1"/>
  <c r="AJ520" i="99" s="1"/>
  <c r="AJ521" i="99" s="1"/>
  <c r="AJ522" i="99" s="1"/>
  <c r="AJ523" i="99" s="1"/>
  <c r="AJ524" i="99" s="1"/>
  <c r="AJ525" i="99" s="1"/>
  <c r="AJ526" i="99" s="1"/>
  <c r="AJ527" i="99" s="1"/>
  <c r="AJ528" i="99" s="1"/>
  <c r="AJ529" i="99" s="1"/>
  <c r="AJ530" i="99" s="1"/>
  <c r="AJ531" i="99" s="1"/>
  <c r="AJ532" i="99" s="1"/>
  <c r="AJ533" i="99" s="1"/>
  <c r="AJ534" i="99" s="1"/>
  <c r="AJ535" i="99" s="1"/>
  <c r="AJ536" i="99" s="1"/>
  <c r="AJ537" i="99" s="1"/>
  <c r="AJ538" i="99" s="1"/>
  <c r="AJ539" i="99" s="1"/>
  <c r="AJ540" i="99" s="1"/>
  <c r="AJ541" i="99" s="1"/>
  <c r="AJ542" i="99" s="1"/>
  <c r="AJ543" i="99" s="1"/>
  <c r="AJ544" i="99" s="1"/>
  <c r="AJ545" i="99" s="1"/>
  <c r="AJ546" i="99" s="1"/>
  <c r="AJ547" i="99" s="1"/>
  <c r="AJ548" i="99" s="1"/>
  <c r="AJ549" i="99" s="1"/>
  <c r="AJ550" i="99" s="1"/>
  <c r="AJ551" i="99" s="1"/>
  <c r="AJ552" i="99" s="1"/>
  <c r="AJ553" i="99" s="1"/>
  <c r="AJ554" i="99" s="1"/>
  <c r="AJ555" i="99" s="1"/>
  <c r="AJ556" i="99" s="1"/>
  <c r="AJ557" i="99" s="1"/>
  <c r="AJ558" i="99" s="1"/>
  <c r="AJ559" i="99" s="1"/>
  <c r="AJ560" i="99" s="1"/>
  <c r="AJ561" i="99" s="1"/>
  <c r="AJ562" i="99" s="1"/>
  <c r="AJ563" i="99" s="1"/>
  <c r="AJ564" i="99" s="1"/>
  <c r="AJ565" i="99" s="1"/>
  <c r="AJ566" i="99" s="1"/>
  <c r="AJ567" i="99" s="1"/>
  <c r="AJ568" i="99" s="1"/>
  <c r="AJ569" i="99" s="1"/>
  <c r="AJ570" i="99" s="1"/>
  <c r="AJ571" i="99" s="1"/>
  <c r="AJ572" i="99" s="1"/>
  <c r="AJ573" i="99" s="1"/>
  <c r="AJ574" i="99" s="1"/>
  <c r="AJ575" i="99" s="1"/>
  <c r="AJ576" i="99" s="1"/>
  <c r="AJ577" i="99" s="1"/>
  <c r="AJ578" i="99" s="1"/>
  <c r="AJ579" i="99" s="1"/>
  <c r="AJ580" i="99" s="1"/>
  <c r="AJ581" i="99" s="1"/>
  <c r="AI5" i="99"/>
  <c r="AI6" i="99" s="1"/>
  <c r="AI7" i="99" s="1"/>
  <c r="AH5" i="99"/>
  <c r="AH6" i="99" s="1"/>
  <c r="AH7" i="99" s="1"/>
  <c r="AG5" i="99"/>
  <c r="AG6" i="99" s="1"/>
  <c r="AG7" i="99" s="1"/>
  <c r="AG8" i="99" s="1"/>
  <c r="AG9" i="99" s="1"/>
  <c r="AG10" i="99" s="1"/>
  <c r="AG11" i="99" s="1"/>
  <c r="AG12" i="99" s="1"/>
  <c r="AG13" i="99" s="1"/>
  <c r="AG14" i="99" s="1"/>
  <c r="AG15" i="99" s="1"/>
  <c r="AG16" i="99" s="1"/>
  <c r="AG17" i="99" s="1"/>
  <c r="AG18" i="99" s="1"/>
  <c r="AG19" i="99" s="1"/>
  <c r="AG20" i="99" s="1"/>
  <c r="AG21" i="99" s="1"/>
  <c r="AG22" i="99" s="1"/>
  <c r="AG23" i="99" s="1"/>
  <c r="AG24" i="99" s="1"/>
  <c r="AG25" i="99" s="1"/>
  <c r="AG26" i="99" s="1"/>
  <c r="AG27" i="99" s="1"/>
  <c r="AG28" i="99" s="1"/>
  <c r="AG29" i="99" s="1"/>
  <c r="AG30" i="99" s="1"/>
  <c r="AG31" i="99" s="1"/>
  <c r="AG32" i="99" s="1"/>
  <c r="AG33" i="99" s="1"/>
  <c r="AG34" i="99" s="1"/>
  <c r="AG35" i="99" s="1"/>
  <c r="AG36" i="99" s="1"/>
  <c r="AG37" i="99" s="1"/>
  <c r="AG38" i="99" s="1"/>
  <c r="AG39" i="99" s="1"/>
  <c r="AG40" i="99" s="1"/>
  <c r="AG41" i="99" s="1"/>
  <c r="AG42" i="99" s="1"/>
  <c r="AG43" i="99" s="1"/>
  <c r="AG44" i="99" s="1"/>
  <c r="AG45" i="99" s="1"/>
  <c r="AG46" i="99" s="1"/>
  <c r="AG47" i="99" s="1"/>
  <c r="AG48" i="99" s="1"/>
  <c r="AG49" i="99" s="1"/>
  <c r="AG50" i="99" s="1"/>
  <c r="AG51" i="99" s="1"/>
  <c r="AG52" i="99" s="1"/>
  <c r="AG53" i="99" s="1"/>
  <c r="AG54" i="99" s="1"/>
  <c r="AG55" i="99" s="1"/>
  <c r="AG56" i="99" s="1"/>
  <c r="AG57" i="99" s="1"/>
  <c r="AG58" i="99" s="1"/>
  <c r="AG59" i="99" s="1"/>
  <c r="AG60" i="99" s="1"/>
  <c r="AG61" i="99" s="1"/>
  <c r="AG62" i="99" s="1"/>
  <c r="AG63" i="99" s="1"/>
  <c r="AG64" i="99" s="1"/>
  <c r="AG65" i="99" s="1"/>
  <c r="AG66" i="99" s="1"/>
  <c r="AG67" i="99" s="1"/>
  <c r="AG68" i="99" s="1"/>
  <c r="AG69" i="99" s="1"/>
  <c r="AG70" i="99" s="1"/>
  <c r="AG71" i="99" s="1"/>
  <c r="AG72" i="99" s="1"/>
  <c r="AG73" i="99" s="1"/>
  <c r="AG74" i="99" s="1"/>
  <c r="AG75" i="99" s="1"/>
  <c r="AG76" i="99" s="1"/>
  <c r="AG77" i="99" s="1"/>
  <c r="AG78" i="99" s="1"/>
  <c r="AG79" i="99" s="1"/>
  <c r="AG80" i="99" s="1"/>
  <c r="AG81" i="99" s="1"/>
  <c r="AG82" i="99" s="1"/>
  <c r="AG83" i="99" s="1"/>
  <c r="AG84" i="99" s="1"/>
  <c r="AG85" i="99" s="1"/>
  <c r="AG86" i="99" s="1"/>
  <c r="AG87" i="99" s="1"/>
  <c r="AG88" i="99" s="1"/>
  <c r="AG89" i="99" s="1"/>
  <c r="AG90" i="99" s="1"/>
  <c r="AG91" i="99" s="1"/>
  <c r="AG92" i="99" s="1"/>
  <c r="AG93" i="99" s="1"/>
  <c r="AG94" i="99" s="1"/>
  <c r="AG95" i="99" s="1"/>
  <c r="AG96" i="99" s="1"/>
  <c r="AG97" i="99" s="1"/>
  <c r="AG98" i="99" s="1"/>
  <c r="AG99" i="99" s="1"/>
  <c r="AG100" i="99" s="1"/>
  <c r="AG101" i="99" s="1"/>
  <c r="AG102" i="99" s="1"/>
  <c r="AG103" i="99" s="1"/>
  <c r="AG104" i="99" s="1"/>
  <c r="AG105" i="99" s="1"/>
  <c r="AG106" i="99" s="1"/>
  <c r="AG107" i="99" s="1"/>
  <c r="AG108" i="99" s="1"/>
  <c r="AG109" i="99" s="1"/>
  <c r="AG110" i="99" s="1"/>
  <c r="AG111" i="99" s="1"/>
  <c r="AG112" i="99" s="1"/>
  <c r="AG113" i="99" s="1"/>
  <c r="AG114" i="99" s="1"/>
  <c r="AG115" i="99" s="1"/>
  <c r="AG116" i="99" s="1"/>
  <c r="AG117" i="99" s="1"/>
  <c r="AG118" i="99" s="1"/>
  <c r="AG119" i="99" s="1"/>
  <c r="AG120" i="99" s="1"/>
  <c r="AG121" i="99" s="1"/>
  <c r="AG122" i="99" s="1"/>
  <c r="AG123" i="99" s="1"/>
  <c r="AG124" i="99" s="1"/>
  <c r="AG125" i="99" s="1"/>
  <c r="AG126" i="99" s="1"/>
  <c r="AG127" i="99" s="1"/>
  <c r="AG128" i="99" s="1"/>
  <c r="AG129" i="99" s="1"/>
  <c r="AG130" i="99" s="1"/>
  <c r="AG131" i="99" s="1"/>
  <c r="AG132" i="99" s="1"/>
  <c r="AG133" i="99" s="1"/>
  <c r="AG134" i="99" s="1"/>
  <c r="AG135" i="99" s="1"/>
  <c r="AG136" i="99" s="1"/>
  <c r="AG137" i="99" s="1"/>
  <c r="AG138" i="99" s="1"/>
  <c r="AG139" i="99" s="1"/>
  <c r="AG140" i="99" s="1"/>
  <c r="AG141" i="99" s="1"/>
  <c r="AG142" i="99" s="1"/>
  <c r="AG143" i="99" s="1"/>
  <c r="AG144" i="99" s="1"/>
  <c r="AG145" i="99" s="1"/>
  <c r="AG146" i="99" s="1"/>
  <c r="AG147" i="99" s="1"/>
  <c r="AG148" i="99" s="1"/>
  <c r="AG149" i="99" s="1"/>
  <c r="AG150" i="99" s="1"/>
  <c r="AG151" i="99" s="1"/>
  <c r="AG152" i="99" s="1"/>
  <c r="AG153" i="99" s="1"/>
  <c r="AG154" i="99" s="1"/>
  <c r="AG155" i="99" s="1"/>
  <c r="AG156" i="99" s="1"/>
  <c r="AG157" i="99" s="1"/>
  <c r="AG158" i="99" s="1"/>
  <c r="AG159" i="99" s="1"/>
  <c r="AG160" i="99" s="1"/>
  <c r="AG161" i="99" s="1"/>
  <c r="AG162" i="99" s="1"/>
  <c r="AG163" i="99" s="1"/>
  <c r="AG164" i="99" s="1"/>
  <c r="AG165" i="99" s="1"/>
  <c r="AG166" i="99" s="1"/>
  <c r="AG167" i="99" s="1"/>
  <c r="AG168" i="99" s="1"/>
  <c r="AG169" i="99" s="1"/>
  <c r="AG170" i="99" s="1"/>
  <c r="AG171" i="99" s="1"/>
  <c r="AG172" i="99" s="1"/>
  <c r="AG173" i="99" s="1"/>
  <c r="AG174" i="99" s="1"/>
  <c r="AG175" i="99" s="1"/>
  <c r="AG176" i="99" s="1"/>
  <c r="AG177" i="99" s="1"/>
  <c r="AG178" i="99" s="1"/>
  <c r="AG179" i="99" s="1"/>
  <c r="AG180" i="99" s="1"/>
  <c r="AG181" i="99" s="1"/>
  <c r="AG182" i="99" s="1"/>
  <c r="AG183" i="99" s="1"/>
  <c r="AG184" i="99" s="1"/>
  <c r="AG185" i="99" s="1"/>
  <c r="AG186" i="99" s="1"/>
  <c r="AG187" i="99" s="1"/>
  <c r="AG188" i="99" s="1"/>
  <c r="AG189" i="99" s="1"/>
  <c r="AG190" i="99" s="1"/>
  <c r="AG191" i="99" s="1"/>
  <c r="AG192" i="99" s="1"/>
  <c r="AG193" i="99" s="1"/>
  <c r="AG194" i="99" s="1"/>
  <c r="AG195" i="99" s="1"/>
  <c r="AG196" i="99" s="1"/>
  <c r="AG197" i="99" s="1"/>
  <c r="AG198" i="99" s="1"/>
  <c r="AG199" i="99" s="1"/>
  <c r="AG200" i="99" s="1"/>
  <c r="AG201" i="99" s="1"/>
  <c r="AG202" i="99" s="1"/>
  <c r="AG203" i="99" s="1"/>
  <c r="AG204" i="99" s="1"/>
  <c r="AG205" i="99" s="1"/>
  <c r="AG206" i="99" s="1"/>
  <c r="AG207" i="99" s="1"/>
  <c r="AG208" i="99" s="1"/>
  <c r="AG209" i="99" s="1"/>
  <c r="AG210" i="99" s="1"/>
  <c r="AG211" i="99" s="1"/>
  <c r="AG212" i="99" s="1"/>
  <c r="AG213" i="99" s="1"/>
  <c r="AG214" i="99" s="1"/>
  <c r="AG215" i="99" s="1"/>
  <c r="AG216" i="99" s="1"/>
  <c r="AG217" i="99" s="1"/>
  <c r="AG218" i="99" s="1"/>
  <c r="AG219" i="99" s="1"/>
  <c r="AG220" i="99" s="1"/>
  <c r="AG221" i="99" s="1"/>
  <c r="AG222" i="99" s="1"/>
  <c r="AG223" i="99" s="1"/>
  <c r="AG224" i="99" s="1"/>
  <c r="AG225" i="99" s="1"/>
  <c r="AG226" i="99" s="1"/>
  <c r="AG227" i="99" s="1"/>
  <c r="AG228" i="99" s="1"/>
  <c r="AG229" i="99" s="1"/>
  <c r="AG230" i="99" s="1"/>
  <c r="AG231" i="99" s="1"/>
  <c r="AG232" i="99" s="1"/>
  <c r="AG233" i="99" s="1"/>
  <c r="AG234" i="99" s="1"/>
  <c r="AG235" i="99" s="1"/>
  <c r="AG236" i="99" s="1"/>
  <c r="AG237" i="99" s="1"/>
  <c r="AG238" i="99" s="1"/>
  <c r="AG239" i="99" s="1"/>
  <c r="AG240" i="99" s="1"/>
  <c r="AG241" i="99" s="1"/>
  <c r="AG242" i="99" s="1"/>
  <c r="AG243" i="99" s="1"/>
  <c r="AG244" i="99" s="1"/>
  <c r="AG245" i="99" s="1"/>
  <c r="AG246" i="99" s="1"/>
  <c r="AG247" i="99" s="1"/>
  <c r="AG248" i="99" s="1"/>
  <c r="AG249" i="99" s="1"/>
  <c r="AG250" i="99" s="1"/>
  <c r="AG251" i="99" s="1"/>
  <c r="AG252" i="99" s="1"/>
  <c r="AG253" i="99" s="1"/>
  <c r="AG254" i="99" s="1"/>
  <c r="AG255" i="99" s="1"/>
  <c r="AG256" i="99" s="1"/>
  <c r="AG257" i="99" s="1"/>
  <c r="AG258" i="99" s="1"/>
  <c r="AG259" i="99" s="1"/>
  <c r="AG260" i="99" s="1"/>
  <c r="AG261" i="99" s="1"/>
  <c r="AG262" i="99" s="1"/>
  <c r="AG263" i="99" s="1"/>
  <c r="AG264" i="99" s="1"/>
  <c r="AG265" i="99" s="1"/>
  <c r="AG266" i="99" s="1"/>
  <c r="AG267" i="99" s="1"/>
  <c r="AG268" i="99" s="1"/>
  <c r="AG269" i="99" s="1"/>
  <c r="AG270" i="99" s="1"/>
  <c r="AG271" i="99" s="1"/>
  <c r="AG272" i="99" s="1"/>
  <c r="AG273" i="99" s="1"/>
  <c r="AG274" i="99" s="1"/>
  <c r="AG275" i="99" s="1"/>
  <c r="AG276" i="99" s="1"/>
  <c r="AG277" i="99" s="1"/>
  <c r="AG278" i="99" s="1"/>
  <c r="AG279" i="99" s="1"/>
  <c r="AG280" i="99" s="1"/>
  <c r="AG281" i="99" s="1"/>
  <c r="AG282" i="99" s="1"/>
  <c r="AG283" i="99" s="1"/>
  <c r="AG284" i="99" s="1"/>
  <c r="AG285" i="99" s="1"/>
  <c r="AG286" i="99" s="1"/>
  <c r="AG287" i="99" s="1"/>
  <c r="AG288" i="99" s="1"/>
  <c r="AG289" i="99" s="1"/>
  <c r="AG290" i="99" s="1"/>
  <c r="AG291" i="99" s="1"/>
  <c r="AG292" i="99" s="1"/>
  <c r="AG293" i="99" s="1"/>
  <c r="AG294" i="99" s="1"/>
  <c r="AG295" i="99" s="1"/>
  <c r="AG296" i="99" s="1"/>
  <c r="AG297" i="99" s="1"/>
  <c r="AG298" i="99" s="1"/>
  <c r="AG299" i="99" s="1"/>
  <c r="AG300" i="99" s="1"/>
  <c r="AG301" i="99" s="1"/>
  <c r="AG302" i="99" s="1"/>
  <c r="AG303" i="99" s="1"/>
  <c r="AG304" i="99" s="1"/>
  <c r="AG305" i="99" s="1"/>
  <c r="AG306" i="99" s="1"/>
  <c r="AG307" i="99" s="1"/>
  <c r="AG308" i="99" s="1"/>
  <c r="AG309" i="99" s="1"/>
  <c r="AG310" i="99" s="1"/>
  <c r="AG311" i="99" s="1"/>
  <c r="AG312" i="99" s="1"/>
  <c r="AG313" i="99" s="1"/>
  <c r="AG314" i="99" s="1"/>
  <c r="AG315" i="99" s="1"/>
  <c r="AG316" i="99" s="1"/>
  <c r="AG317" i="99" s="1"/>
  <c r="AG318" i="99" s="1"/>
  <c r="AG319" i="99" s="1"/>
  <c r="AG320" i="99" s="1"/>
  <c r="AG321" i="99" s="1"/>
  <c r="AG322" i="99" s="1"/>
  <c r="AG323" i="99" s="1"/>
  <c r="AG324" i="99" s="1"/>
  <c r="AG325" i="99" s="1"/>
  <c r="AG326" i="99" s="1"/>
  <c r="AG327" i="99" s="1"/>
  <c r="AG328" i="99" s="1"/>
  <c r="AG329" i="99" s="1"/>
  <c r="AG330" i="99" s="1"/>
  <c r="AG331" i="99" s="1"/>
  <c r="AG332" i="99" s="1"/>
  <c r="AG333" i="99" s="1"/>
  <c r="AG334" i="99" s="1"/>
  <c r="AG335" i="99" s="1"/>
  <c r="AG336" i="99" s="1"/>
  <c r="AG337" i="99" s="1"/>
  <c r="AG338" i="99" s="1"/>
  <c r="AG339" i="99" s="1"/>
  <c r="AG340" i="99" s="1"/>
  <c r="AG341" i="99" s="1"/>
  <c r="AG342" i="99" s="1"/>
  <c r="AG343" i="99" s="1"/>
  <c r="AG344" i="99" s="1"/>
  <c r="AG345" i="99" s="1"/>
  <c r="AG346" i="99" s="1"/>
  <c r="AG347" i="99" s="1"/>
  <c r="AG348" i="99" s="1"/>
  <c r="AG349" i="99" s="1"/>
  <c r="AG350" i="99" s="1"/>
  <c r="AG351" i="99" s="1"/>
  <c r="AG352" i="99" s="1"/>
  <c r="AG353" i="99" s="1"/>
  <c r="AG354" i="99" s="1"/>
  <c r="AG355" i="99" s="1"/>
  <c r="AG356" i="99" s="1"/>
  <c r="AG357" i="99" s="1"/>
  <c r="AG358" i="99" s="1"/>
  <c r="AG359" i="99" s="1"/>
  <c r="AG360" i="99" s="1"/>
  <c r="AG361" i="99" s="1"/>
  <c r="AG362" i="99" s="1"/>
  <c r="AG363" i="99" s="1"/>
  <c r="AG364" i="99" s="1"/>
  <c r="AG365" i="99" s="1"/>
  <c r="AG366" i="99" s="1"/>
  <c r="AG367" i="99" s="1"/>
  <c r="AG368" i="99" s="1"/>
  <c r="AG369" i="99" s="1"/>
  <c r="AG370" i="99" s="1"/>
  <c r="AG371" i="99" s="1"/>
  <c r="AG372" i="99" s="1"/>
  <c r="AG373" i="99" s="1"/>
  <c r="AG374" i="99" s="1"/>
  <c r="AG375" i="99" s="1"/>
  <c r="AG376" i="99" s="1"/>
  <c r="AG377" i="99" s="1"/>
  <c r="AG378" i="99" s="1"/>
  <c r="AG379" i="99" s="1"/>
  <c r="AG380" i="99" s="1"/>
  <c r="AG381" i="99" s="1"/>
  <c r="AG382" i="99" s="1"/>
  <c r="AG383" i="99" s="1"/>
  <c r="AG384" i="99" s="1"/>
  <c r="AG385" i="99" s="1"/>
  <c r="AG386" i="99" s="1"/>
  <c r="AG387" i="99" s="1"/>
  <c r="AG388" i="99" s="1"/>
  <c r="AG389" i="99" s="1"/>
  <c r="AG390" i="99" s="1"/>
  <c r="AG391" i="99" s="1"/>
  <c r="AG392" i="99" s="1"/>
  <c r="AG393" i="99" s="1"/>
  <c r="AG394" i="99" s="1"/>
  <c r="AG395" i="99" s="1"/>
  <c r="AG396" i="99" s="1"/>
  <c r="AG397" i="99" s="1"/>
  <c r="AG398" i="99" s="1"/>
  <c r="AG399" i="99" s="1"/>
  <c r="AG400" i="99" s="1"/>
  <c r="AG401" i="99" s="1"/>
  <c r="AG402" i="99" s="1"/>
  <c r="AG403" i="99" s="1"/>
  <c r="AG404" i="99" s="1"/>
  <c r="AG405" i="99" s="1"/>
  <c r="AG406" i="99" s="1"/>
  <c r="AG407" i="99" s="1"/>
  <c r="AG408" i="99" s="1"/>
  <c r="AG409" i="99" s="1"/>
  <c r="AG410" i="99" s="1"/>
  <c r="AG411" i="99" s="1"/>
  <c r="AG412" i="99" s="1"/>
  <c r="AG413" i="99" s="1"/>
  <c r="AG414" i="99" s="1"/>
  <c r="AG415" i="99" s="1"/>
  <c r="AG416" i="99" s="1"/>
  <c r="AG417" i="99" s="1"/>
  <c r="AG418" i="99" s="1"/>
  <c r="AG419" i="99" s="1"/>
  <c r="AG420" i="99" s="1"/>
  <c r="AG421" i="99" s="1"/>
  <c r="AG422" i="99" s="1"/>
  <c r="AG423" i="99" s="1"/>
  <c r="AG424" i="99" s="1"/>
  <c r="AG425" i="99" s="1"/>
  <c r="AG426" i="99" s="1"/>
  <c r="AG427" i="99" s="1"/>
  <c r="AG428" i="99" s="1"/>
  <c r="AG429" i="99" s="1"/>
  <c r="AG430" i="99" s="1"/>
  <c r="AG431" i="99" s="1"/>
  <c r="AG432" i="99" s="1"/>
  <c r="AG433" i="99" s="1"/>
  <c r="AG434" i="99" s="1"/>
  <c r="AG435" i="99" s="1"/>
  <c r="AG436" i="99" s="1"/>
  <c r="AG437" i="99" s="1"/>
  <c r="AG438" i="99" s="1"/>
  <c r="AG439" i="99" s="1"/>
  <c r="AG440" i="99" s="1"/>
  <c r="AG441" i="99" s="1"/>
  <c r="AG442" i="99" s="1"/>
  <c r="AG443" i="99" s="1"/>
  <c r="AG444" i="99" s="1"/>
  <c r="AG445" i="99" s="1"/>
  <c r="AG446" i="99" s="1"/>
  <c r="AG447" i="99" s="1"/>
  <c r="AG448" i="99" s="1"/>
  <c r="AG449" i="99" s="1"/>
  <c r="AG450" i="99" s="1"/>
  <c r="AG451" i="99" s="1"/>
  <c r="AG452" i="99" s="1"/>
  <c r="AG453" i="99" s="1"/>
  <c r="AG454" i="99" s="1"/>
  <c r="AG455" i="99" s="1"/>
  <c r="AG456" i="99" s="1"/>
  <c r="AG457" i="99" s="1"/>
  <c r="AG458" i="99" s="1"/>
  <c r="AG459" i="99" s="1"/>
  <c r="AG460" i="99" s="1"/>
  <c r="AG461" i="99" s="1"/>
  <c r="AG462" i="99" s="1"/>
  <c r="AG463" i="99" s="1"/>
  <c r="AG464" i="99" s="1"/>
  <c r="AG465" i="99" s="1"/>
  <c r="AG466" i="99" s="1"/>
  <c r="AG467" i="99" s="1"/>
  <c r="AG468" i="99" s="1"/>
  <c r="AG469" i="99" s="1"/>
  <c r="AG470" i="99" s="1"/>
  <c r="AG471" i="99" s="1"/>
  <c r="AG472" i="99" s="1"/>
  <c r="AG473" i="99" s="1"/>
  <c r="AG474" i="99" s="1"/>
  <c r="AG475" i="99" s="1"/>
  <c r="AG476" i="99" s="1"/>
  <c r="AG477" i="99" s="1"/>
  <c r="AG478" i="99" s="1"/>
  <c r="AG479" i="99" s="1"/>
  <c r="AG480" i="99" s="1"/>
  <c r="AG481" i="99" s="1"/>
  <c r="AG482" i="99" s="1"/>
  <c r="AG483" i="99" s="1"/>
  <c r="AG484" i="99" s="1"/>
  <c r="AG485" i="99" s="1"/>
  <c r="AG486" i="99" s="1"/>
  <c r="AG487" i="99" s="1"/>
  <c r="AG488" i="99" s="1"/>
  <c r="AG489" i="99" s="1"/>
  <c r="AG490" i="99" s="1"/>
  <c r="AG491" i="99" s="1"/>
  <c r="AG492" i="99" s="1"/>
  <c r="AG493" i="99" s="1"/>
  <c r="AG494" i="99" s="1"/>
  <c r="AG495" i="99" s="1"/>
  <c r="AG496" i="99" s="1"/>
  <c r="AG497" i="99" s="1"/>
  <c r="AG498" i="99" s="1"/>
  <c r="AG499" i="99" s="1"/>
  <c r="AG500" i="99" s="1"/>
  <c r="AG501" i="99" s="1"/>
  <c r="AG502" i="99" s="1"/>
  <c r="AG503" i="99" s="1"/>
  <c r="AG504" i="99" s="1"/>
  <c r="AG505" i="99" s="1"/>
  <c r="AG506" i="99" s="1"/>
  <c r="AG507" i="99" s="1"/>
  <c r="AG508" i="99" s="1"/>
  <c r="AG509" i="99" s="1"/>
  <c r="AG510" i="99" s="1"/>
  <c r="AG511" i="99" s="1"/>
  <c r="AG512" i="99" s="1"/>
  <c r="AG513" i="99" s="1"/>
  <c r="AG514" i="99" s="1"/>
  <c r="AG515" i="99" s="1"/>
  <c r="AG516" i="99" s="1"/>
  <c r="AG517" i="99" s="1"/>
  <c r="AG518" i="99" s="1"/>
  <c r="AG519" i="99" s="1"/>
  <c r="AG520" i="99" s="1"/>
  <c r="AG521" i="99" s="1"/>
  <c r="AG522" i="99" s="1"/>
  <c r="AG523" i="99" s="1"/>
  <c r="AG524" i="99" s="1"/>
  <c r="AG525" i="99" s="1"/>
  <c r="AG526" i="99" s="1"/>
  <c r="AG527" i="99" s="1"/>
  <c r="AG528" i="99" s="1"/>
  <c r="AG529" i="99" s="1"/>
  <c r="AG530" i="99" s="1"/>
  <c r="AG531" i="99" s="1"/>
  <c r="AG532" i="99" s="1"/>
  <c r="AG533" i="99" s="1"/>
  <c r="AG534" i="99" s="1"/>
  <c r="AG535" i="99" s="1"/>
  <c r="AG536" i="99" s="1"/>
  <c r="AG537" i="99" s="1"/>
  <c r="AG538" i="99" s="1"/>
  <c r="AG539" i="99" s="1"/>
  <c r="AG540" i="99" s="1"/>
  <c r="AG541" i="99" s="1"/>
  <c r="AG542" i="99" s="1"/>
  <c r="AG543" i="99" s="1"/>
  <c r="AG544" i="99" s="1"/>
  <c r="AG545" i="99" s="1"/>
  <c r="AG546" i="99" s="1"/>
  <c r="AG547" i="99" s="1"/>
  <c r="AG548" i="99" s="1"/>
  <c r="AG549" i="99" s="1"/>
  <c r="AG550" i="99" s="1"/>
  <c r="AG551" i="99" s="1"/>
  <c r="AG552" i="99" s="1"/>
  <c r="AG553" i="99" s="1"/>
  <c r="AG554" i="99" s="1"/>
  <c r="AG555" i="99" s="1"/>
  <c r="AG556" i="99" s="1"/>
  <c r="AG557" i="99" s="1"/>
  <c r="AG558" i="99" s="1"/>
  <c r="AG559" i="99" s="1"/>
  <c r="AG560" i="99" s="1"/>
  <c r="AG561" i="99" s="1"/>
  <c r="AG562" i="99" s="1"/>
  <c r="AG563" i="99" s="1"/>
  <c r="AG564" i="99" s="1"/>
  <c r="AG565" i="99" s="1"/>
  <c r="AG566" i="99" s="1"/>
  <c r="AG567" i="99" s="1"/>
  <c r="AG568" i="99" s="1"/>
  <c r="AG569" i="99" s="1"/>
  <c r="AG570" i="99" s="1"/>
  <c r="AG571" i="99" s="1"/>
  <c r="AG572" i="99" s="1"/>
  <c r="AG573" i="99" s="1"/>
  <c r="AG574" i="99" s="1"/>
  <c r="AG575" i="99" s="1"/>
  <c r="AG576" i="99" s="1"/>
  <c r="AG577" i="99" s="1"/>
  <c r="AG578" i="99" s="1"/>
  <c r="AG579" i="99" s="1"/>
  <c r="AG580" i="99" s="1"/>
  <c r="AG581" i="99" s="1"/>
  <c r="AF5" i="99"/>
  <c r="AF6" i="99" s="1"/>
  <c r="AF7" i="99" s="1"/>
  <c r="AE5" i="99"/>
  <c r="AE6" i="99" s="1"/>
  <c r="AE7" i="99" s="1"/>
  <c r="AE8" i="99" s="1"/>
  <c r="AE9" i="99" s="1"/>
  <c r="AE10" i="99" s="1"/>
  <c r="AE11" i="99" s="1"/>
  <c r="AE12" i="99" s="1"/>
  <c r="AE13" i="99" s="1"/>
  <c r="AE14" i="99" s="1"/>
  <c r="AE15" i="99" s="1"/>
  <c r="AE16" i="99" s="1"/>
  <c r="AE17" i="99" s="1"/>
  <c r="AE18" i="99" s="1"/>
  <c r="AE19" i="99" s="1"/>
  <c r="AE20" i="99" s="1"/>
  <c r="AE21" i="99" s="1"/>
  <c r="AE22" i="99" s="1"/>
  <c r="AE23" i="99" s="1"/>
  <c r="AE24" i="99" s="1"/>
  <c r="AE25" i="99" s="1"/>
  <c r="AE26" i="99" s="1"/>
  <c r="AE27" i="99" s="1"/>
  <c r="AE28" i="99" s="1"/>
  <c r="AE29" i="99" s="1"/>
  <c r="AE30" i="99" s="1"/>
  <c r="AE31" i="99" s="1"/>
  <c r="AE32" i="99" s="1"/>
  <c r="AE33" i="99" s="1"/>
  <c r="AE34" i="99" s="1"/>
  <c r="AE35" i="99" s="1"/>
  <c r="AE36" i="99" s="1"/>
  <c r="AE37" i="99" s="1"/>
  <c r="AE38" i="99" s="1"/>
  <c r="AE39" i="99" s="1"/>
  <c r="AE40" i="99" s="1"/>
  <c r="AE41" i="99" s="1"/>
  <c r="AE42" i="99" s="1"/>
  <c r="AE43" i="99" s="1"/>
  <c r="AE44" i="99" s="1"/>
  <c r="AE45" i="99" s="1"/>
  <c r="AE46" i="99" s="1"/>
  <c r="AE47" i="99" s="1"/>
  <c r="AE48" i="99" s="1"/>
  <c r="AE49" i="99" s="1"/>
  <c r="AE50" i="99" s="1"/>
  <c r="AE51" i="99" s="1"/>
  <c r="AE52" i="99" s="1"/>
  <c r="AE53" i="99" s="1"/>
  <c r="AE54" i="99" s="1"/>
  <c r="AE55" i="99" s="1"/>
  <c r="AE56" i="99" s="1"/>
  <c r="AE57" i="99" s="1"/>
  <c r="AE58" i="99" s="1"/>
  <c r="AE59" i="99" s="1"/>
  <c r="AE60" i="99" s="1"/>
  <c r="AE61" i="99" s="1"/>
  <c r="AE62" i="99" s="1"/>
  <c r="AE63" i="99" s="1"/>
  <c r="AE64" i="99" s="1"/>
  <c r="AE65" i="99" s="1"/>
  <c r="AE66" i="99" s="1"/>
  <c r="AE67" i="99" s="1"/>
  <c r="AE68" i="99" s="1"/>
  <c r="AE69" i="99" s="1"/>
  <c r="AE70" i="99" s="1"/>
  <c r="AE71" i="99" s="1"/>
  <c r="AE72" i="99" s="1"/>
  <c r="AE73" i="99" s="1"/>
  <c r="AE74" i="99" s="1"/>
  <c r="AE75" i="99" s="1"/>
  <c r="AE76" i="99" s="1"/>
  <c r="AE77" i="99" s="1"/>
  <c r="AE78" i="99" s="1"/>
  <c r="AE79" i="99" s="1"/>
  <c r="AE80" i="99" s="1"/>
  <c r="AE81" i="99" s="1"/>
  <c r="AE82" i="99" s="1"/>
  <c r="AE83" i="99" s="1"/>
  <c r="AE84" i="99" s="1"/>
  <c r="AE85" i="99" s="1"/>
  <c r="AE86" i="99" s="1"/>
  <c r="AE87" i="99" s="1"/>
  <c r="AE88" i="99" s="1"/>
  <c r="AE89" i="99" s="1"/>
  <c r="AE90" i="99" s="1"/>
  <c r="AE91" i="99" s="1"/>
  <c r="AE92" i="99" s="1"/>
  <c r="AE93" i="99" s="1"/>
  <c r="AE94" i="99" s="1"/>
  <c r="AE95" i="99" s="1"/>
  <c r="AE96" i="99" s="1"/>
  <c r="AE97" i="99" s="1"/>
  <c r="AE98" i="99" s="1"/>
  <c r="AE99" i="99" s="1"/>
  <c r="AE100" i="99" s="1"/>
  <c r="AE101" i="99" s="1"/>
  <c r="AE102" i="99" s="1"/>
  <c r="AE103" i="99" s="1"/>
  <c r="AE104" i="99" s="1"/>
  <c r="AE105" i="99" s="1"/>
  <c r="AE106" i="99" s="1"/>
  <c r="AE107" i="99" s="1"/>
  <c r="AE108" i="99" s="1"/>
  <c r="AE109" i="99" s="1"/>
  <c r="AE110" i="99" s="1"/>
  <c r="AE111" i="99" s="1"/>
  <c r="AE112" i="99" s="1"/>
  <c r="AE113" i="99" s="1"/>
  <c r="AE114" i="99" s="1"/>
  <c r="AE115" i="99" s="1"/>
  <c r="AE116" i="99" s="1"/>
  <c r="AE117" i="99" s="1"/>
  <c r="AE118" i="99" s="1"/>
  <c r="AE119" i="99" s="1"/>
  <c r="AE120" i="99" s="1"/>
  <c r="AE121" i="99" s="1"/>
  <c r="AE122" i="99" s="1"/>
  <c r="AE123" i="99" s="1"/>
  <c r="AE124" i="99" s="1"/>
  <c r="AE125" i="99" s="1"/>
  <c r="AE126" i="99" s="1"/>
  <c r="AE127" i="99" s="1"/>
  <c r="AE128" i="99" s="1"/>
  <c r="AE129" i="99" s="1"/>
  <c r="AE130" i="99" s="1"/>
  <c r="AE131" i="99" s="1"/>
  <c r="AE132" i="99" s="1"/>
  <c r="AE133" i="99" s="1"/>
  <c r="AE134" i="99" s="1"/>
  <c r="AE135" i="99" s="1"/>
  <c r="AE136" i="99" s="1"/>
  <c r="AE137" i="99" s="1"/>
  <c r="AE138" i="99" s="1"/>
  <c r="AE139" i="99" s="1"/>
  <c r="AE140" i="99" s="1"/>
  <c r="AE141" i="99" s="1"/>
  <c r="AE142" i="99" s="1"/>
  <c r="AE143" i="99" s="1"/>
  <c r="AE144" i="99" s="1"/>
  <c r="AE145" i="99" s="1"/>
  <c r="AE146" i="99" s="1"/>
  <c r="AE147" i="99" s="1"/>
  <c r="AE148" i="99" s="1"/>
  <c r="AE149" i="99" s="1"/>
  <c r="AE150" i="99" s="1"/>
  <c r="AE151" i="99" s="1"/>
  <c r="AE152" i="99" s="1"/>
  <c r="AE153" i="99" s="1"/>
  <c r="AE154" i="99" s="1"/>
  <c r="AE155" i="99" s="1"/>
  <c r="AE156" i="99" s="1"/>
  <c r="AE157" i="99" s="1"/>
  <c r="AE158" i="99" s="1"/>
  <c r="AE159" i="99" s="1"/>
  <c r="AE160" i="99" s="1"/>
  <c r="AE161" i="99" s="1"/>
  <c r="AE162" i="99" s="1"/>
  <c r="AE163" i="99" s="1"/>
  <c r="AE164" i="99" s="1"/>
  <c r="AE165" i="99" s="1"/>
  <c r="AE166" i="99" s="1"/>
  <c r="AE167" i="99" s="1"/>
  <c r="AE168" i="99" s="1"/>
  <c r="AE169" i="99" s="1"/>
  <c r="AE170" i="99" s="1"/>
  <c r="AE171" i="99" s="1"/>
  <c r="AE172" i="99" s="1"/>
  <c r="AE173" i="99" s="1"/>
  <c r="AE174" i="99" s="1"/>
  <c r="AE175" i="99" s="1"/>
  <c r="AE176" i="99" s="1"/>
  <c r="AE177" i="99" s="1"/>
  <c r="AE178" i="99" s="1"/>
  <c r="AE179" i="99" s="1"/>
  <c r="AE180" i="99" s="1"/>
  <c r="AE181" i="99" s="1"/>
  <c r="AE182" i="99" s="1"/>
  <c r="AE183" i="99" s="1"/>
  <c r="AE184" i="99" s="1"/>
  <c r="AE185" i="99" s="1"/>
  <c r="AE186" i="99" s="1"/>
  <c r="AE187" i="99" s="1"/>
  <c r="AE188" i="99" s="1"/>
  <c r="AE189" i="99" s="1"/>
  <c r="AE190" i="99" s="1"/>
  <c r="AE191" i="99" s="1"/>
  <c r="AE192" i="99" s="1"/>
  <c r="AE193" i="99" s="1"/>
  <c r="AE194" i="99" s="1"/>
  <c r="AE195" i="99" s="1"/>
  <c r="AE196" i="99" s="1"/>
  <c r="AE197" i="99" s="1"/>
  <c r="AE198" i="99" s="1"/>
  <c r="AE199" i="99" s="1"/>
  <c r="AE200" i="99" s="1"/>
  <c r="AE201" i="99" s="1"/>
  <c r="AE202" i="99" s="1"/>
  <c r="AE203" i="99" s="1"/>
  <c r="AE204" i="99" s="1"/>
  <c r="AE205" i="99" s="1"/>
  <c r="AE206" i="99" s="1"/>
  <c r="AE207" i="99" s="1"/>
  <c r="AE208" i="99" s="1"/>
  <c r="AE209" i="99" s="1"/>
  <c r="AE210" i="99" s="1"/>
  <c r="AE211" i="99" s="1"/>
  <c r="AE212" i="99" s="1"/>
  <c r="AE213" i="99" s="1"/>
  <c r="AE214" i="99" s="1"/>
  <c r="AE215" i="99" s="1"/>
  <c r="AE216" i="99" s="1"/>
  <c r="AE217" i="99" s="1"/>
  <c r="AE218" i="99" s="1"/>
  <c r="AE219" i="99" s="1"/>
  <c r="AE220" i="99" s="1"/>
  <c r="AE221" i="99" s="1"/>
  <c r="AE222" i="99" s="1"/>
  <c r="AE223" i="99" s="1"/>
  <c r="AE224" i="99" s="1"/>
  <c r="AE225" i="99" s="1"/>
  <c r="AE226" i="99" s="1"/>
  <c r="AE227" i="99" s="1"/>
  <c r="AE228" i="99" s="1"/>
  <c r="AE229" i="99" s="1"/>
  <c r="AE230" i="99" s="1"/>
  <c r="AE231" i="99" s="1"/>
  <c r="AE232" i="99" s="1"/>
  <c r="AE233" i="99" s="1"/>
  <c r="AE234" i="99" s="1"/>
  <c r="AE235" i="99" s="1"/>
  <c r="AE236" i="99" s="1"/>
  <c r="AE237" i="99" s="1"/>
  <c r="AE238" i="99" s="1"/>
  <c r="AE239" i="99" s="1"/>
  <c r="AE240" i="99" s="1"/>
  <c r="AE241" i="99" s="1"/>
  <c r="AE242" i="99" s="1"/>
  <c r="AE243" i="99" s="1"/>
  <c r="AE244" i="99" s="1"/>
  <c r="AE245" i="99" s="1"/>
  <c r="AE246" i="99" s="1"/>
  <c r="AE247" i="99" s="1"/>
  <c r="AE248" i="99" s="1"/>
  <c r="AE249" i="99" s="1"/>
  <c r="AE250" i="99" s="1"/>
  <c r="AE251" i="99" s="1"/>
  <c r="AE252" i="99" s="1"/>
  <c r="AE253" i="99" s="1"/>
  <c r="AE254" i="99" s="1"/>
  <c r="AE255" i="99" s="1"/>
  <c r="AE256" i="99" s="1"/>
  <c r="AE257" i="99" s="1"/>
  <c r="AE258" i="99" s="1"/>
  <c r="AE259" i="99" s="1"/>
  <c r="AE260" i="99" s="1"/>
  <c r="AE261" i="99" s="1"/>
  <c r="AE262" i="99" s="1"/>
  <c r="AE263" i="99" s="1"/>
  <c r="AE264" i="99" s="1"/>
  <c r="AE265" i="99" s="1"/>
  <c r="AE266" i="99" s="1"/>
  <c r="AE267" i="99" s="1"/>
  <c r="AE268" i="99" s="1"/>
  <c r="AE269" i="99" s="1"/>
  <c r="AE270" i="99" s="1"/>
  <c r="AE271" i="99" s="1"/>
  <c r="AE272" i="99" s="1"/>
  <c r="AE273" i="99" s="1"/>
  <c r="AE274" i="99" s="1"/>
  <c r="AE275" i="99" s="1"/>
  <c r="AE276" i="99" s="1"/>
  <c r="AE277" i="99" s="1"/>
  <c r="AE278" i="99" s="1"/>
  <c r="AE279" i="99" s="1"/>
  <c r="AE280" i="99" s="1"/>
  <c r="AE281" i="99" s="1"/>
  <c r="AE282" i="99" s="1"/>
  <c r="AE283" i="99" s="1"/>
  <c r="AE284" i="99" s="1"/>
  <c r="AE285" i="99" s="1"/>
  <c r="AE286" i="99" s="1"/>
  <c r="AE287" i="99" s="1"/>
  <c r="AE288" i="99" s="1"/>
  <c r="AE289" i="99" s="1"/>
  <c r="AE290" i="99" s="1"/>
  <c r="AE291" i="99" s="1"/>
  <c r="AE292" i="99" s="1"/>
  <c r="AE293" i="99" s="1"/>
  <c r="AE294" i="99" s="1"/>
  <c r="AE295" i="99" s="1"/>
  <c r="AE296" i="99" s="1"/>
  <c r="AE297" i="99" s="1"/>
  <c r="AE298" i="99" s="1"/>
  <c r="AE299" i="99" s="1"/>
  <c r="AE300" i="99" s="1"/>
  <c r="AE301" i="99" s="1"/>
  <c r="AE302" i="99" s="1"/>
  <c r="AE303" i="99" s="1"/>
  <c r="AE304" i="99" s="1"/>
  <c r="AE305" i="99" s="1"/>
  <c r="AE306" i="99" s="1"/>
  <c r="AE307" i="99" s="1"/>
  <c r="AE308" i="99" s="1"/>
  <c r="AE309" i="99" s="1"/>
  <c r="AE310" i="99" s="1"/>
  <c r="AE311" i="99" s="1"/>
  <c r="AE312" i="99" s="1"/>
  <c r="AE313" i="99" s="1"/>
  <c r="AE314" i="99" s="1"/>
  <c r="AE315" i="99" s="1"/>
  <c r="AE316" i="99" s="1"/>
  <c r="AE317" i="99" s="1"/>
  <c r="AE318" i="99" s="1"/>
  <c r="AE319" i="99" s="1"/>
  <c r="AE320" i="99" s="1"/>
  <c r="AE321" i="99" s="1"/>
  <c r="AE322" i="99" s="1"/>
  <c r="AE323" i="99" s="1"/>
  <c r="AE324" i="99" s="1"/>
  <c r="AE325" i="99" s="1"/>
  <c r="AE326" i="99" s="1"/>
  <c r="AE327" i="99" s="1"/>
  <c r="AE328" i="99" s="1"/>
  <c r="AE329" i="99" s="1"/>
  <c r="AE330" i="99" s="1"/>
  <c r="AE331" i="99" s="1"/>
  <c r="AE332" i="99" s="1"/>
  <c r="AE333" i="99" s="1"/>
  <c r="AE334" i="99" s="1"/>
  <c r="AE335" i="99" s="1"/>
  <c r="AE336" i="99" s="1"/>
  <c r="AE337" i="99" s="1"/>
  <c r="AE338" i="99" s="1"/>
  <c r="AE339" i="99" s="1"/>
  <c r="AE340" i="99" s="1"/>
  <c r="AE341" i="99" s="1"/>
  <c r="AE342" i="99" s="1"/>
  <c r="AE343" i="99" s="1"/>
  <c r="AE344" i="99" s="1"/>
  <c r="AE345" i="99" s="1"/>
  <c r="AE346" i="99" s="1"/>
  <c r="AE347" i="99" s="1"/>
  <c r="AE348" i="99" s="1"/>
  <c r="AE349" i="99" s="1"/>
  <c r="AE350" i="99" s="1"/>
  <c r="AE351" i="99" s="1"/>
  <c r="AE352" i="99" s="1"/>
  <c r="AE353" i="99" s="1"/>
  <c r="AE354" i="99" s="1"/>
  <c r="AE355" i="99" s="1"/>
  <c r="AE356" i="99" s="1"/>
  <c r="AE357" i="99" s="1"/>
  <c r="AE358" i="99" s="1"/>
  <c r="AE359" i="99" s="1"/>
  <c r="AE360" i="99" s="1"/>
  <c r="AE361" i="99" s="1"/>
  <c r="AE362" i="99" s="1"/>
  <c r="AE363" i="99" s="1"/>
  <c r="AE364" i="99" s="1"/>
  <c r="AE365" i="99" s="1"/>
  <c r="AE366" i="99" s="1"/>
  <c r="AE367" i="99" s="1"/>
  <c r="AE368" i="99" s="1"/>
  <c r="AE369" i="99" s="1"/>
  <c r="AE370" i="99" s="1"/>
  <c r="AE371" i="99" s="1"/>
  <c r="AE372" i="99" s="1"/>
  <c r="AE373" i="99" s="1"/>
  <c r="AE374" i="99" s="1"/>
  <c r="AE375" i="99" s="1"/>
  <c r="AE376" i="99" s="1"/>
  <c r="AE377" i="99" s="1"/>
  <c r="AE378" i="99" s="1"/>
  <c r="AE379" i="99" s="1"/>
  <c r="AE380" i="99" s="1"/>
  <c r="AE381" i="99" s="1"/>
  <c r="AE382" i="99" s="1"/>
  <c r="AE383" i="99" s="1"/>
  <c r="AE384" i="99" s="1"/>
  <c r="AE385" i="99" s="1"/>
  <c r="AE386" i="99" s="1"/>
  <c r="AE387" i="99" s="1"/>
  <c r="AE388" i="99" s="1"/>
  <c r="AE389" i="99" s="1"/>
  <c r="AE390" i="99" s="1"/>
  <c r="AE391" i="99" s="1"/>
  <c r="AE392" i="99" s="1"/>
  <c r="AE393" i="99" s="1"/>
  <c r="AE394" i="99" s="1"/>
  <c r="AE395" i="99" s="1"/>
  <c r="AE396" i="99" s="1"/>
  <c r="AE397" i="99" s="1"/>
  <c r="AE398" i="99" s="1"/>
  <c r="AE399" i="99" s="1"/>
  <c r="AE400" i="99" s="1"/>
  <c r="AE401" i="99" s="1"/>
  <c r="AE402" i="99" s="1"/>
  <c r="AE403" i="99" s="1"/>
  <c r="AE404" i="99" s="1"/>
  <c r="AE405" i="99" s="1"/>
  <c r="AE406" i="99" s="1"/>
  <c r="AE407" i="99" s="1"/>
  <c r="AE408" i="99" s="1"/>
  <c r="AE409" i="99" s="1"/>
  <c r="AE410" i="99" s="1"/>
  <c r="AE411" i="99" s="1"/>
  <c r="AE412" i="99" s="1"/>
  <c r="AE413" i="99" s="1"/>
  <c r="AE414" i="99" s="1"/>
  <c r="AE415" i="99" s="1"/>
  <c r="AE416" i="99" s="1"/>
  <c r="AE417" i="99" s="1"/>
  <c r="AE418" i="99" s="1"/>
  <c r="AE419" i="99" s="1"/>
  <c r="AE420" i="99" s="1"/>
  <c r="AE421" i="99" s="1"/>
  <c r="AE422" i="99" s="1"/>
  <c r="AE423" i="99" s="1"/>
  <c r="AE424" i="99" s="1"/>
  <c r="AE425" i="99" s="1"/>
  <c r="AE426" i="99" s="1"/>
  <c r="AE427" i="99" s="1"/>
  <c r="AE428" i="99" s="1"/>
  <c r="AE429" i="99" s="1"/>
  <c r="AE430" i="99" s="1"/>
  <c r="AE431" i="99" s="1"/>
  <c r="AE432" i="99" s="1"/>
  <c r="AE433" i="99" s="1"/>
  <c r="AE434" i="99" s="1"/>
  <c r="AE435" i="99" s="1"/>
  <c r="AE436" i="99" s="1"/>
  <c r="AE437" i="99" s="1"/>
  <c r="AE438" i="99" s="1"/>
  <c r="AE439" i="99" s="1"/>
  <c r="AE440" i="99" s="1"/>
  <c r="AE441" i="99" s="1"/>
  <c r="AE442" i="99" s="1"/>
  <c r="AE443" i="99" s="1"/>
  <c r="AE444" i="99" s="1"/>
  <c r="AE445" i="99" s="1"/>
  <c r="AE446" i="99" s="1"/>
  <c r="AE447" i="99" s="1"/>
  <c r="AE448" i="99" s="1"/>
  <c r="AE449" i="99" s="1"/>
  <c r="AE450" i="99" s="1"/>
  <c r="AE451" i="99" s="1"/>
  <c r="AE452" i="99" s="1"/>
  <c r="AE453" i="99" s="1"/>
  <c r="AE454" i="99" s="1"/>
  <c r="AE455" i="99" s="1"/>
  <c r="AE456" i="99" s="1"/>
  <c r="AE457" i="99" s="1"/>
  <c r="AE458" i="99" s="1"/>
  <c r="AE459" i="99" s="1"/>
  <c r="AE460" i="99" s="1"/>
  <c r="AE461" i="99" s="1"/>
  <c r="AE462" i="99" s="1"/>
  <c r="AE463" i="99" s="1"/>
  <c r="AE464" i="99" s="1"/>
  <c r="AE465" i="99" s="1"/>
  <c r="AE466" i="99" s="1"/>
  <c r="AE467" i="99" s="1"/>
  <c r="AE468" i="99" s="1"/>
  <c r="AE469" i="99" s="1"/>
  <c r="AE470" i="99" s="1"/>
  <c r="AE471" i="99" s="1"/>
  <c r="AE472" i="99" s="1"/>
  <c r="AE473" i="99" s="1"/>
  <c r="AE474" i="99" s="1"/>
  <c r="AE475" i="99" s="1"/>
  <c r="AE476" i="99" s="1"/>
  <c r="AE477" i="99" s="1"/>
  <c r="AE478" i="99" s="1"/>
  <c r="AE479" i="99" s="1"/>
  <c r="AE480" i="99" s="1"/>
  <c r="AE481" i="99" s="1"/>
  <c r="AE482" i="99" s="1"/>
  <c r="AE483" i="99" s="1"/>
  <c r="AE484" i="99" s="1"/>
  <c r="AE485" i="99" s="1"/>
  <c r="AE486" i="99" s="1"/>
  <c r="AE487" i="99" s="1"/>
  <c r="AE488" i="99" s="1"/>
  <c r="AE489" i="99" s="1"/>
  <c r="AE490" i="99" s="1"/>
  <c r="AE491" i="99" s="1"/>
  <c r="AE492" i="99" s="1"/>
  <c r="AE493" i="99" s="1"/>
  <c r="AE494" i="99" s="1"/>
  <c r="AE495" i="99" s="1"/>
  <c r="AE496" i="99" s="1"/>
  <c r="AE497" i="99" s="1"/>
  <c r="AE498" i="99" s="1"/>
  <c r="AE499" i="99" s="1"/>
  <c r="AE500" i="99" s="1"/>
  <c r="AE501" i="99" s="1"/>
  <c r="AE502" i="99" s="1"/>
  <c r="AE503" i="99" s="1"/>
  <c r="AE504" i="99" s="1"/>
  <c r="AE505" i="99" s="1"/>
  <c r="AE506" i="99" s="1"/>
  <c r="AE507" i="99" s="1"/>
  <c r="AE508" i="99" s="1"/>
  <c r="AE509" i="99" s="1"/>
  <c r="AE510" i="99" s="1"/>
  <c r="AE511" i="99" s="1"/>
  <c r="AE512" i="99" s="1"/>
  <c r="AE513" i="99" s="1"/>
  <c r="AE514" i="99" s="1"/>
  <c r="AE515" i="99" s="1"/>
  <c r="AE516" i="99" s="1"/>
  <c r="AE517" i="99" s="1"/>
  <c r="AE518" i="99" s="1"/>
  <c r="AE519" i="99" s="1"/>
  <c r="AE520" i="99" s="1"/>
  <c r="AE521" i="99" s="1"/>
  <c r="AE522" i="99" s="1"/>
  <c r="AE523" i="99" s="1"/>
  <c r="AE524" i="99" s="1"/>
  <c r="AE525" i="99" s="1"/>
  <c r="AE526" i="99" s="1"/>
  <c r="AE527" i="99" s="1"/>
  <c r="AE528" i="99" s="1"/>
  <c r="AE529" i="99" s="1"/>
  <c r="AE530" i="99" s="1"/>
  <c r="AE531" i="99" s="1"/>
  <c r="AE532" i="99" s="1"/>
  <c r="AE533" i="99" s="1"/>
  <c r="AE534" i="99" s="1"/>
  <c r="AE535" i="99" s="1"/>
  <c r="AE536" i="99" s="1"/>
  <c r="AE537" i="99" s="1"/>
  <c r="AE538" i="99" s="1"/>
  <c r="AE539" i="99" s="1"/>
  <c r="AE540" i="99" s="1"/>
  <c r="AE541" i="99" s="1"/>
  <c r="AE542" i="99" s="1"/>
  <c r="AE543" i="99" s="1"/>
  <c r="AE544" i="99" s="1"/>
  <c r="AE545" i="99" s="1"/>
  <c r="AE546" i="99" s="1"/>
  <c r="AE547" i="99" s="1"/>
  <c r="AE548" i="99" s="1"/>
  <c r="AE549" i="99" s="1"/>
  <c r="AE550" i="99" s="1"/>
  <c r="AE551" i="99" s="1"/>
  <c r="AE552" i="99" s="1"/>
  <c r="AE553" i="99" s="1"/>
  <c r="AE554" i="99" s="1"/>
  <c r="AE555" i="99" s="1"/>
  <c r="AE556" i="99" s="1"/>
  <c r="AE557" i="99" s="1"/>
  <c r="AE558" i="99" s="1"/>
  <c r="AE559" i="99" s="1"/>
  <c r="AE560" i="99" s="1"/>
  <c r="AE561" i="99" s="1"/>
  <c r="AE562" i="99" s="1"/>
  <c r="AE563" i="99" s="1"/>
  <c r="AE564" i="99" s="1"/>
  <c r="AE565" i="99" s="1"/>
  <c r="AE566" i="99" s="1"/>
  <c r="AE567" i="99" s="1"/>
  <c r="AE568" i="99" s="1"/>
  <c r="AE569" i="99" s="1"/>
  <c r="AE570" i="99" s="1"/>
  <c r="AE571" i="99" s="1"/>
  <c r="AE572" i="99" s="1"/>
  <c r="AE573" i="99" s="1"/>
  <c r="AE574" i="99" s="1"/>
  <c r="AE575" i="99" s="1"/>
  <c r="AE576" i="99" s="1"/>
  <c r="AE577" i="99" s="1"/>
  <c r="AE578" i="99" s="1"/>
  <c r="AE579" i="99" s="1"/>
  <c r="AE580" i="99" s="1"/>
  <c r="AE581" i="99" s="1"/>
  <c r="E31" i="99" a="1"/>
  <c r="H3" i="96" a="1"/>
  <c r="D27" i="99"/>
  <c r="B3" i="96" a="1"/>
  <c r="AS5" i="99" a="1"/>
  <c r="AT5" i="99" a="1"/>
  <c r="F31" i="99" a="1"/>
  <c r="G31" i="99"/>
  <c r="D31" i="99"/>
  <c r="F27" i="99" a="1"/>
  <c r="D3" i="96" a="1"/>
  <c r="H27" i="99"/>
  <c r="AR5" i="99" a="1"/>
  <c r="G27" i="99" a="1"/>
  <c r="AP5" i="99" a="1"/>
  <c r="E27" i="99" a="1"/>
  <c r="AQ5" i="99" a="1"/>
  <c r="AO5" i="99" a="1"/>
  <c r="F19" i="99" l="1"/>
  <c r="F10" i="99"/>
  <c r="H3" i="96"/>
  <c r="D3" i="96"/>
  <c r="AS5" i="99"/>
  <c r="E31" i="99"/>
  <c r="AO5" i="99"/>
  <c r="E27" i="99"/>
  <c r="AP5" i="99"/>
  <c r="F27" i="99"/>
  <c r="AQ5" i="99"/>
  <c r="G27" i="99"/>
  <c r="AR5" i="99"/>
  <c r="AT5" i="99"/>
  <c r="F31" i="99"/>
  <c r="AK7" i="99"/>
  <c r="AK8" i="99" s="1"/>
  <c r="AK9" i="99" s="1"/>
  <c r="AK10" i="99" s="1"/>
  <c r="AK11" i="99" s="1"/>
  <c r="AK12" i="99" s="1"/>
  <c r="AK13" i="99" s="1"/>
  <c r="AK14" i="99" s="1"/>
  <c r="AK15" i="99" s="1"/>
  <c r="AK16" i="99" s="1"/>
  <c r="AK17" i="99" s="1"/>
  <c r="AK18" i="99" s="1"/>
  <c r="AK19" i="99" s="1"/>
  <c r="AK20" i="99" s="1"/>
  <c r="AK21" i="99" s="1"/>
  <c r="AK22" i="99" s="1"/>
  <c r="AK23" i="99" s="1"/>
  <c r="AK24" i="99" s="1"/>
  <c r="AK25" i="99" s="1"/>
  <c r="AK26" i="99" s="1"/>
  <c r="AK27" i="99" s="1"/>
  <c r="AK28" i="99" s="1"/>
  <c r="AK29" i="99" s="1"/>
  <c r="AK30" i="99" s="1"/>
  <c r="AK31" i="99" s="1"/>
  <c r="AK32" i="99" s="1"/>
  <c r="AK33" i="99" s="1"/>
  <c r="AK34" i="99" s="1"/>
  <c r="AK35" i="99" s="1"/>
  <c r="AK36" i="99" s="1"/>
  <c r="AK37" i="99" s="1"/>
  <c r="AK38" i="99" s="1"/>
  <c r="AK39" i="99" s="1"/>
  <c r="AK40" i="99" s="1"/>
  <c r="AK41" i="99" s="1"/>
  <c r="AK42" i="99" s="1"/>
  <c r="AK43" i="99" s="1"/>
  <c r="AK44" i="99" s="1"/>
  <c r="AK45" i="99" s="1"/>
  <c r="AK46" i="99" s="1"/>
  <c r="AK47" i="99" s="1"/>
  <c r="AK48" i="99" s="1"/>
  <c r="AK49" i="99" s="1"/>
  <c r="AK50" i="99" s="1"/>
  <c r="AK51" i="99" s="1"/>
  <c r="AK52" i="99" s="1"/>
  <c r="AK53" i="99" s="1"/>
  <c r="AK54" i="99" s="1"/>
  <c r="AK55" i="99" s="1"/>
  <c r="AK56" i="99" s="1"/>
  <c r="AK57" i="99" s="1"/>
  <c r="AK58" i="99" s="1"/>
  <c r="AK59" i="99" s="1"/>
  <c r="AK60" i="99" s="1"/>
  <c r="AK61" i="99" s="1"/>
  <c r="AK62" i="99" s="1"/>
  <c r="AK63" i="99" s="1"/>
  <c r="AK64" i="99" s="1"/>
  <c r="AK65" i="99" s="1"/>
  <c r="AK66" i="99" s="1"/>
  <c r="AK67" i="99" s="1"/>
  <c r="AK68" i="99" s="1"/>
  <c r="AK69" i="99" s="1"/>
  <c r="AK70" i="99" s="1"/>
  <c r="AK71" i="99" s="1"/>
  <c r="AK72" i="99" s="1"/>
  <c r="AK73" i="99" s="1"/>
  <c r="AK74" i="99" s="1"/>
  <c r="AK75" i="99" s="1"/>
  <c r="AK76" i="99" s="1"/>
  <c r="AK77" i="99" s="1"/>
  <c r="AK78" i="99" s="1"/>
  <c r="AK79" i="99" s="1"/>
  <c r="AK80" i="99" s="1"/>
  <c r="AK81" i="99" s="1"/>
  <c r="AK82" i="99" s="1"/>
  <c r="AK83" i="99" s="1"/>
  <c r="AK84" i="99" s="1"/>
  <c r="AK85" i="99" s="1"/>
  <c r="AK86" i="99" s="1"/>
  <c r="AK87" i="99" s="1"/>
  <c r="AK88" i="99" s="1"/>
  <c r="AK89" i="99" s="1"/>
  <c r="AK90" i="99" s="1"/>
  <c r="AK91" i="99" s="1"/>
  <c r="AK92" i="99" s="1"/>
  <c r="AK93" i="99" s="1"/>
  <c r="AK94" i="99" s="1"/>
  <c r="AK95" i="99" s="1"/>
  <c r="AK96" i="99" s="1"/>
  <c r="AK97" i="99" s="1"/>
  <c r="AK98" i="99" s="1"/>
  <c r="AK99" i="99" s="1"/>
  <c r="AK100" i="99" s="1"/>
  <c r="AK101" i="99" s="1"/>
  <c r="AK102" i="99" s="1"/>
  <c r="AK103" i="99" s="1"/>
  <c r="AK104" i="99" s="1"/>
  <c r="AK105" i="99" s="1"/>
  <c r="AK106" i="99" s="1"/>
  <c r="AK107" i="99" s="1"/>
  <c r="AK108" i="99" s="1"/>
  <c r="AK109" i="99" s="1"/>
  <c r="AK110" i="99" s="1"/>
  <c r="AK111" i="99" s="1"/>
  <c r="AK112" i="99" s="1"/>
  <c r="AK113" i="99" s="1"/>
  <c r="AK114" i="99" s="1"/>
  <c r="AK115" i="99" s="1"/>
  <c r="AK116" i="99" s="1"/>
  <c r="AK117" i="99" s="1"/>
  <c r="AK118" i="99" s="1"/>
  <c r="AK119" i="99" s="1"/>
  <c r="AK120" i="99" s="1"/>
  <c r="AK121" i="99" s="1"/>
  <c r="AK122" i="99" s="1"/>
  <c r="AK123" i="99" s="1"/>
  <c r="AK124" i="99" s="1"/>
  <c r="AK125" i="99" s="1"/>
  <c r="AK126" i="99" s="1"/>
  <c r="AK127" i="99" s="1"/>
  <c r="AK128" i="99" s="1"/>
  <c r="AK129" i="99" s="1"/>
  <c r="AK130" i="99" s="1"/>
  <c r="AK131" i="99" s="1"/>
  <c r="AK132" i="99" s="1"/>
  <c r="AK133" i="99" s="1"/>
  <c r="AK134" i="99" s="1"/>
  <c r="AK135" i="99" s="1"/>
  <c r="AK136" i="99" s="1"/>
  <c r="AK137" i="99" s="1"/>
  <c r="AK138" i="99" s="1"/>
  <c r="AK139" i="99" s="1"/>
  <c r="AK140" i="99" s="1"/>
  <c r="AK141" i="99" s="1"/>
  <c r="AK142" i="99" s="1"/>
  <c r="AK143" i="99" s="1"/>
  <c r="AK144" i="99" s="1"/>
  <c r="AK145" i="99" s="1"/>
  <c r="AK146" i="99" s="1"/>
  <c r="AK147" i="99" s="1"/>
  <c r="AK148" i="99" s="1"/>
  <c r="AK149" i="99" s="1"/>
  <c r="AK150" i="99" s="1"/>
  <c r="AK151" i="99" s="1"/>
  <c r="AK152" i="99" s="1"/>
  <c r="AK153" i="99" s="1"/>
  <c r="AK154" i="99" s="1"/>
  <c r="AK155" i="99" s="1"/>
  <c r="AK156" i="99" s="1"/>
  <c r="AK157" i="99" s="1"/>
  <c r="AK158" i="99" s="1"/>
  <c r="AK159" i="99" s="1"/>
  <c r="AK160" i="99" s="1"/>
  <c r="AK161" i="99" s="1"/>
  <c r="AK162" i="99" s="1"/>
  <c r="AK163" i="99" s="1"/>
  <c r="AK164" i="99" s="1"/>
  <c r="AK165" i="99" s="1"/>
  <c r="AK166" i="99" s="1"/>
  <c r="AK167" i="99" s="1"/>
  <c r="AK168" i="99" s="1"/>
  <c r="AK169" i="99" s="1"/>
  <c r="AK170" i="99" s="1"/>
  <c r="AK171" i="99" s="1"/>
  <c r="AK172" i="99" s="1"/>
  <c r="AK173" i="99" s="1"/>
  <c r="AK174" i="99" s="1"/>
  <c r="AK175" i="99" s="1"/>
  <c r="AK176" i="99" s="1"/>
  <c r="AK177" i="99" s="1"/>
  <c r="AK178" i="99" s="1"/>
  <c r="AK179" i="99" s="1"/>
  <c r="AK180" i="99" s="1"/>
  <c r="AK181" i="99" s="1"/>
  <c r="AK182" i="99" s="1"/>
  <c r="AK183" i="99" s="1"/>
  <c r="AK184" i="99" s="1"/>
  <c r="AK185" i="99" s="1"/>
  <c r="AK186" i="99" s="1"/>
  <c r="AK187" i="99" s="1"/>
  <c r="AK188" i="99" s="1"/>
  <c r="AK189" i="99" s="1"/>
  <c r="AK190" i="99" s="1"/>
  <c r="AK191" i="99" s="1"/>
  <c r="AK192" i="99" s="1"/>
  <c r="AK193" i="99" s="1"/>
  <c r="AK194" i="99" s="1"/>
  <c r="AK195" i="99" s="1"/>
  <c r="AK196" i="99" s="1"/>
  <c r="AK197" i="99" s="1"/>
  <c r="AK198" i="99" s="1"/>
  <c r="AK199" i="99" s="1"/>
  <c r="AK200" i="99" s="1"/>
  <c r="AK201" i="99" s="1"/>
  <c r="AK202" i="99" s="1"/>
  <c r="AK203" i="99" s="1"/>
  <c r="AK204" i="99" s="1"/>
  <c r="AK205" i="99" s="1"/>
  <c r="AK206" i="99" s="1"/>
  <c r="AK207" i="99" s="1"/>
  <c r="AK208" i="99" s="1"/>
  <c r="AK209" i="99" s="1"/>
  <c r="AK210" i="99" s="1"/>
  <c r="AK211" i="99" s="1"/>
  <c r="AK212" i="99" s="1"/>
  <c r="AK213" i="99" s="1"/>
  <c r="AK214" i="99" s="1"/>
  <c r="AK215" i="99" s="1"/>
  <c r="AK216" i="99" s="1"/>
  <c r="AK217" i="99" s="1"/>
  <c r="AK218" i="99" s="1"/>
  <c r="AK219" i="99" s="1"/>
  <c r="AK220" i="99" s="1"/>
  <c r="AK221" i="99" s="1"/>
  <c r="AK222" i="99" s="1"/>
  <c r="AK223" i="99" s="1"/>
  <c r="AK224" i="99" s="1"/>
  <c r="AK225" i="99" s="1"/>
  <c r="AK226" i="99" s="1"/>
  <c r="AK227" i="99" s="1"/>
  <c r="AK228" i="99" s="1"/>
  <c r="AK229" i="99" s="1"/>
  <c r="AK230" i="99" s="1"/>
  <c r="AK231" i="99" s="1"/>
  <c r="AK232" i="99" s="1"/>
  <c r="AK233" i="99" s="1"/>
  <c r="AK234" i="99" s="1"/>
  <c r="AK235" i="99" s="1"/>
  <c r="AK236" i="99" s="1"/>
  <c r="AK237" i="99" s="1"/>
  <c r="AK238" i="99" s="1"/>
  <c r="AK239" i="99" s="1"/>
  <c r="AK240" i="99" s="1"/>
  <c r="AK241" i="99" s="1"/>
  <c r="AK242" i="99" s="1"/>
  <c r="AK243" i="99" s="1"/>
  <c r="AK244" i="99" s="1"/>
  <c r="AK245" i="99" s="1"/>
  <c r="AK246" i="99" s="1"/>
  <c r="AK247" i="99" s="1"/>
  <c r="AK248" i="99" s="1"/>
  <c r="AK249" i="99" s="1"/>
  <c r="AK250" i="99" s="1"/>
  <c r="AK251" i="99" s="1"/>
  <c r="AK252" i="99" s="1"/>
  <c r="AK253" i="99" s="1"/>
  <c r="AK254" i="99" s="1"/>
  <c r="AK255" i="99" s="1"/>
  <c r="AK256" i="99" s="1"/>
  <c r="AK257" i="99" s="1"/>
  <c r="AK258" i="99" s="1"/>
  <c r="AK259" i="99" s="1"/>
  <c r="AK260" i="99" s="1"/>
  <c r="AK261" i="99" s="1"/>
  <c r="AK262" i="99" s="1"/>
  <c r="AK263" i="99" s="1"/>
  <c r="AK264" i="99" s="1"/>
  <c r="AK265" i="99" s="1"/>
  <c r="AK266" i="99" s="1"/>
  <c r="AK267" i="99" s="1"/>
  <c r="AK268" i="99" s="1"/>
  <c r="AK269" i="99" s="1"/>
  <c r="AK270" i="99" s="1"/>
  <c r="AK271" i="99" s="1"/>
  <c r="AK272" i="99" s="1"/>
  <c r="AK273" i="99" s="1"/>
  <c r="AK274" i="99" s="1"/>
  <c r="AK275" i="99" s="1"/>
  <c r="AK276" i="99" s="1"/>
  <c r="AK277" i="99" s="1"/>
  <c r="AK278" i="99" s="1"/>
  <c r="AK279" i="99" s="1"/>
  <c r="AK280" i="99" s="1"/>
  <c r="AK281" i="99" s="1"/>
  <c r="AK282" i="99" s="1"/>
  <c r="AK283" i="99" s="1"/>
  <c r="AK284" i="99" s="1"/>
  <c r="AK285" i="99" s="1"/>
  <c r="AK286" i="99" s="1"/>
  <c r="AK287" i="99" s="1"/>
  <c r="AK288" i="99" s="1"/>
  <c r="AK289" i="99" s="1"/>
  <c r="AK290" i="99" s="1"/>
  <c r="AK291" i="99" s="1"/>
  <c r="AK292" i="99" s="1"/>
  <c r="AK293" i="99" s="1"/>
  <c r="AK294" i="99" s="1"/>
  <c r="AK295" i="99" s="1"/>
  <c r="AK296" i="99" s="1"/>
  <c r="AK297" i="99" s="1"/>
  <c r="AK298" i="99" s="1"/>
  <c r="AK299" i="99" s="1"/>
  <c r="AK300" i="99" s="1"/>
  <c r="AK301" i="99" s="1"/>
  <c r="AK302" i="99" s="1"/>
  <c r="AK303" i="99" s="1"/>
  <c r="AK304" i="99" s="1"/>
  <c r="AK305" i="99" s="1"/>
  <c r="AK306" i="99" s="1"/>
  <c r="AK307" i="99" s="1"/>
  <c r="AK308" i="99" s="1"/>
  <c r="AK309" i="99" s="1"/>
  <c r="AK310" i="99" s="1"/>
  <c r="AK311" i="99" s="1"/>
  <c r="AK312" i="99" s="1"/>
  <c r="AK313" i="99" s="1"/>
  <c r="AK314" i="99" s="1"/>
  <c r="AK315" i="99" s="1"/>
  <c r="AK316" i="99" s="1"/>
  <c r="AK317" i="99" s="1"/>
  <c r="AK318" i="99" s="1"/>
  <c r="AK319" i="99" s="1"/>
  <c r="AK320" i="99" s="1"/>
  <c r="AK321" i="99" s="1"/>
  <c r="AK322" i="99" s="1"/>
  <c r="AK323" i="99" s="1"/>
  <c r="AK324" i="99" s="1"/>
  <c r="AK325" i="99" s="1"/>
  <c r="AK326" i="99" s="1"/>
  <c r="AK327" i="99" s="1"/>
  <c r="AK328" i="99" s="1"/>
  <c r="AK329" i="99" s="1"/>
  <c r="AK330" i="99" s="1"/>
  <c r="AK331" i="99" s="1"/>
  <c r="AK332" i="99" s="1"/>
  <c r="AK333" i="99" s="1"/>
  <c r="AK334" i="99" s="1"/>
  <c r="AK335" i="99" s="1"/>
  <c r="AK336" i="99" s="1"/>
  <c r="AK337" i="99" s="1"/>
  <c r="AK338" i="99" s="1"/>
  <c r="AK339" i="99" s="1"/>
  <c r="AK340" i="99" s="1"/>
  <c r="AK341" i="99" s="1"/>
  <c r="AK342" i="99" s="1"/>
  <c r="AK343" i="99" s="1"/>
  <c r="AK344" i="99" s="1"/>
  <c r="AK345" i="99" s="1"/>
  <c r="AK346" i="99" s="1"/>
  <c r="AK347" i="99" s="1"/>
  <c r="AK348" i="99" s="1"/>
  <c r="AK349" i="99" s="1"/>
  <c r="AK350" i="99" s="1"/>
  <c r="AK351" i="99" s="1"/>
  <c r="AK352" i="99" s="1"/>
  <c r="AK353" i="99" s="1"/>
  <c r="AK354" i="99" s="1"/>
  <c r="AK355" i="99" s="1"/>
  <c r="AK356" i="99" s="1"/>
  <c r="AK357" i="99" s="1"/>
  <c r="AK358" i="99" s="1"/>
  <c r="AK359" i="99" s="1"/>
  <c r="AK360" i="99" s="1"/>
  <c r="AK361" i="99" s="1"/>
  <c r="AK362" i="99" s="1"/>
  <c r="AK363" i="99" s="1"/>
  <c r="AK364" i="99" s="1"/>
  <c r="AK365" i="99" s="1"/>
  <c r="AK366" i="99" s="1"/>
  <c r="AK367" i="99" s="1"/>
  <c r="AK368" i="99" s="1"/>
  <c r="AK369" i="99" s="1"/>
  <c r="AK370" i="99" s="1"/>
  <c r="AK371" i="99" s="1"/>
  <c r="AK372" i="99" s="1"/>
  <c r="AK373" i="99" s="1"/>
  <c r="AK374" i="99" s="1"/>
  <c r="AK375" i="99" s="1"/>
  <c r="AK376" i="99" s="1"/>
  <c r="AK377" i="99" s="1"/>
  <c r="AK378" i="99" s="1"/>
  <c r="AK379" i="99" s="1"/>
  <c r="AK380" i="99" s="1"/>
  <c r="AK381" i="99" s="1"/>
  <c r="AK382" i="99" s="1"/>
  <c r="AK383" i="99" s="1"/>
  <c r="AK384" i="99" s="1"/>
  <c r="AK385" i="99" s="1"/>
  <c r="AK386" i="99" s="1"/>
  <c r="AK387" i="99" s="1"/>
  <c r="AK388" i="99" s="1"/>
  <c r="AK389" i="99" s="1"/>
  <c r="AK390" i="99" s="1"/>
  <c r="AK391" i="99" s="1"/>
  <c r="AK392" i="99" s="1"/>
  <c r="AK393" i="99" s="1"/>
  <c r="AK394" i="99" s="1"/>
  <c r="AK395" i="99" s="1"/>
  <c r="AK396" i="99" s="1"/>
  <c r="AK397" i="99" s="1"/>
  <c r="AK398" i="99" s="1"/>
  <c r="AK399" i="99" s="1"/>
  <c r="AK400" i="99" s="1"/>
  <c r="AK401" i="99" s="1"/>
  <c r="AK402" i="99" s="1"/>
  <c r="AK403" i="99" s="1"/>
  <c r="AK404" i="99" s="1"/>
  <c r="AK405" i="99" s="1"/>
  <c r="AK406" i="99" s="1"/>
  <c r="AK407" i="99" s="1"/>
  <c r="AK408" i="99" s="1"/>
  <c r="AK409" i="99" s="1"/>
  <c r="AK410" i="99" s="1"/>
  <c r="AK411" i="99" s="1"/>
  <c r="AK412" i="99" s="1"/>
  <c r="AK413" i="99" s="1"/>
  <c r="AK414" i="99" s="1"/>
  <c r="AK415" i="99" s="1"/>
  <c r="AK416" i="99" s="1"/>
  <c r="AK417" i="99" s="1"/>
  <c r="AK418" i="99" s="1"/>
  <c r="AK419" i="99" s="1"/>
  <c r="AK420" i="99" s="1"/>
  <c r="AK421" i="99" s="1"/>
  <c r="AK422" i="99" s="1"/>
  <c r="AK423" i="99" s="1"/>
  <c r="AK424" i="99" s="1"/>
  <c r="AK425" i="99" s="1"/>
  <c r="AK426" i="99" s="1"/>
  <c r="AK427" i="99" s="1"/>
  <c r="AK428" i="99" s="1"/>
  <c r="AK429" i="99" s="1"/>
  <c r="AK430" i="99" s="1"/>
  <c r="AK431" i="99" s="1"/>
  <c r="AK432" i="99" s="1"/>
  <c r="AK433" i="99" s="1"/>
  <c r="AK434" i="99" s="1"/>
  <c r="AK435" i="99" s="1"/>
  <c r="AK436" i="99" s="1"/>
  <c r="AK437" i="99" s="1"/>
  <c r="AK438" i="99" s="1"/>
  <c r="AK439" i="99" s="1"/>
  <c r="AK440" i="99" s="1"/>
  <c r="AK441" i="99" s="1"/>
  <c r="AK442" i="99" s="1"/>
  <c r="AK443" i="99" s="1"/>
  <c r="AK444" i="99" s="1"/>
  <c r="AK445" i="99" s="1"/>
  <c r="AK446" i="99" s="1"/>
  <c r="AK447" i="99" s="1"/>
  <c r="AK448" i="99" s="1"/>
  <c r="AK449" i="99" s="1"/>
  <c r="AK450" i="99" s="1"/>
  <c r="AK451" i="99" s="1"/>
  <c r="AK452" i="99" s="1"/>
  <c r="AK453" i="99" s="1"/>
  <c r="AK454" i="99" s="1"/>
  <c r="AK455" i="99" s="1"/>
  <c r="AK456" i="99" s="1"/>
  <c r="AK457" i="99" s="1"/>
  <c r="AK458" i="99" s="1"/>
  <c r="AK459" i="99" s="1"/>
  <c r="AK460" i="99" s="1"/>
  <c r="AK461" i="99" s="1"/>
  <c r="AK462" i="99" s="1"/>
  <c r="AK463" i="99" s="1"/>
  <c r="AK464" i="99" s="1"/>
  <c r="AK465" i="99" s="1"/>
  <c r="AK466" i="99" s="1"/>
  <c r="AK467" i="99" s="1"/>
  <c r="AK468" i="99" s="1"/>
  <c r="AK469" i="99" s="1"/>
  <c r="AK470" i="99" s="1"/>
  <c r="AK471" i="99" s="1"/>
  <c r="AK472" i="99" s="1"/>
  <c r="AK473" i="99" s="1"/>
  <c r="AK474" i="99" s="1"/>
  <c r="AK475" i="99" s="1"/>
  <c r="AK476" i="99" s="1"/>
  <c r="AK477" i="99" s="1"/>
  <c r="AK478" i="99" s="1"/>
  <c r="AK479" i="99" s="1"/>
  <c r="AK480" i="99" s="1"/>
  <c r="AK481" i="99" s="1"/>
  <c r="AK482" i="99" s="1"/>
  <c r="AK483" i="99" s="1"/>
  <c r="AK484" i="99" s="1"/>
  <c r="AK485" i="99" s="1"/>
  <c r="AK486" i="99" s="1"/>
  <c r="AK487" i="99" s="1"/>
  <c r="AK488" i="99" s="1"/>
  <c r="AK489" i="99" s="1"/>
  <c r="AK490" i="99" s="1"/>
  <c r="AK491" i="99" s="1"/>
  <c r="AK492" i="99" s="1"/>
  <c r="AK493" i="99" s="1"/>
  <c r="AK494" i="99" s="1"/>
  <c r="AK495" i="99" s="1"/>
  <c r="AK496" i="99" s="1"/>
  <c r="AK497" i="99" s="1"/>
  <c r="AK498" i="99" s="1"/>
  <c r="AK499" i="99" s="1"/>
  <c r="AK500" i="99" s="1"/>
  <c r="AK501" i="99" s="1"/>
  <c r="AK502" i="99" s="1"/>
  <c r="AK503" i="99" s="1"/>
  <c r="AK504" i="99" s="1"/>
  <c r="AK505" i="99" s="1"/>
  <c r="AK506" i="99" s="1"/>
  <c r="AK507" i="99" s="1"/>
  <c r="AK508" i="99" s="1"/>
  <c r="AK509" i="99" s="1"/>
  <c r="AK510" i="99" s="1"/>
  <c r="AK511" i="99" s="1"/>
  <c r="AK512" i="99" s="1"/>
  <c r="AK513" i="99" s="1"/>
  <c r="AK514" i="99" s="1"/>
  <c r="AK515" i="99" s="1"/>
  <c r="AK516" i="99" s="1"/>
  <c r="AK517" i="99" s="1"/>
  <c r="AK518" i="99" s="1"/>
  <c r="AK519" i="99" s="1"/>
  <c r="AK520" i="99" s="1"/>
  <c r="AK521" i="99" s="1"/>
  <c r="AK522" i="99" s="1"/>
  <c r="AK523" i="99" s="1"/>
  <c r="AK524" i="99" s="1"/>
  <c r="AK525" i="99" s="1"/>
  <c r="AK526" i="99" s="1"/>
  <c r="AK527" i="99" s="1"/>
  <c r="AK528" i="99" s="1"/>
  <c r="AK529" i="99" s="1"/>
  <c r="AK530" i="99" s="1"/>
  <c r="AK531" i="99" s="1"/>
  <c r="AK532" i="99" s="1"/>
  <c r="AK533" i="99" s="1"/>
  <c r="AK534" i="99" s="1"/>
  <c r="AK535" i="99" s="1"/>
  <c r="AK536" i="99" s="1"/>
  <c r="AK537" i="99" s="1"/>
  <c r="AK538" i="99" s="1"/>
  <c r="AK539" i="99" s="1"/>
  <c r="AK540" i="99" s="1"/>
  <c r="AK541" i="99" s="1"/>
  <c r="AK542" i="99" s="1"/>
  <c r="AK543" i="99" s="1"/>
  <c r="AK544" i="99" s="1"/>
  <c r="AK545" i="99" s="1"/>
  <c r="AK546" i="99" s="1"/>
  <c r="AK547" i="99" s="1"/>
  <c r="AK548" i="99" s="1"/>
  <c r="AK549" i="99" s="1"/>
  <c r="AK550" i="99" s="1"/>
  <c r="AK551" i="99" s="1"/>
  <c r="AK552" i="99" s="1"/>
  <c r="AK553" i="99" s="1"/>
  <c r="AK554" i="99" s="1"/>
  <c r="AK555" i="99" s="1"/>
  <c r="AK556" i="99" s="1"/>
  <c r="AK557" i="99" s="1"/>
  <c r="AK558" i="99" s="1"/>
  <c r="AK559" i="99" s="1"/>
  <c r="AK560" i="99" s="1"/>
  <c r="AK561" i="99" s="1"/>
  <c r="AK562" i="99" s="1"/>
  <c r="AK563" i="99" s="1"/>
  <c r="AK564" i="99" s="1"/>
  <c r="AK565" i="99" s="1"/>
  <c r="AK566" i="99" s="1"/>
  <c r="AK567" i="99" s="1"/>
  <c r="AK568" i="99" s="1"/>
  <c r="AK569" i="99" s="1"/>
  <c r="AK570" i="99" s="1"/>
  <c r="AK571" i="99" s="1"/>
  <c r="AK572" i="99" s="1"/>
  <c r="AK573" i="99" s="1"/>
  <c r="AK574" i="99" s="1"/>
  <c r="AK575" i="99" s="1"/>
  <c r="AK576" i="99" s="1"/>
  <c r="AK577" i="99" s="1"/>
  <c r="AK578" i="99" s="1"/>
  <c r="AK579" i="99" s="1"/>
  <c r="AK580" i="99" s="1"/>
  <c r="AK581" i="99" s="1"/>
  <c r="AF8" i="99"/>
  <c r="AF9" i="99" s="1"/>
  <c r="AF10" i="99" s="1"/>
  <c r="AF11" i="99" s="1"/>
  <c r="AF12" i="99" s="1"/>
  <c r="AF13" i="99" s="1"/>
  <c r="AF14" i="99" s="1"/>
  <c r="AF15" i="99" s="1"/>
  <c r="AF16" i="99" s="1"/>
  <c r="AF17" i="99" s="1"/>
  <c r="AF18" i="99" s="1"/>
  <c r="AF19" i="99" s="1"/>
  <c r="AF20" i="99" s="1"/>
  <c r="AF21" i="99" s="1"/>
  <c r="AF22" i="99" s="1"/>
  <c r="AF23" i="99" s="1"/>
  <c r="AF24" i="99" s="1"/>
  <c r="AF25" i="99" s="1"/>
  <c r="AF26" i="99" s="1"/>
  <c r="AF27" i="99" s="1"/>
  <c r="AF28" i="99" s="1"/>
  <c r="AF29" i="99" s="1"/>
  <c r="AF30" i="99" s="1"/>
  <c r="AF31" i="99" s="1"/>
  <c r="AF32" i="99" s="1"/>
  <c r="AF33" i="99" s="1"/>
  <c r="AF34" i="99" s="1"/>
  <c r="AF35" i="99" s="1"/>
  <c r="AF36" i="99" s="1"/>
  <c r="AF37" i="99" s="1"/>
  <c r="AF38" i="99" s="1"/>
  <c r="AF39" i="99" s="1"/>
  <c r="AF40" i="99" s="1"/>
  <c r="AF41" i="99" s="1"/>
  <c r="AF42" i="99" s="1"/>
  <c r="AF43" i="99" s="1"/>
  <c r="AF44" i="99" s="1"/>
  <c r="AF45" i="99" s="1"/>
  <c r="AF46" i="99" s="1"/>
  <c r="AF47" i="99" s="1"/>
  <c r="AF48" i="99" s="1"/>
  <c r="AF49" i="99" s="1"/>
  <c r="AF50" i="99" s="1"/>
  <c r="AF51" i="99" s="1"/>
  <c r="AF52" i="99" s="1"/>
  <c r="AF53" i="99" s="1"/>
  <c r="AF54" i="99" s="1"/>
  <c r="AF55" i="99" s="1"/>
  <c r="AF56" i="99" s="1"/>
  <c r="AF57" i="99" s="1"/>
  <c r="AF58" i="99" s="1"/>
  <c r="AF59" i="99" s="1"/>
  <c r="AF60" i="99" s="1"/>
  <c r="AF61" i="99" s="1"/>
  <c r="AF62" i="99" s="1"/>
  <c r="AF63" i="99" s="1"/>
  <c r="AF64" i="99" s="1"/>
  <c r="AF65" i="99" s="1"/>
  <c r="AF66" i="99" s="1"/>
  <c r="AF67" i="99" s="1"/>
  <c r="AF68" i="99" s="1"/>
  <c r="AF69" i="99" s="1"/>
  <c r="AF70" i="99" s="1"/>
  <c r="AF71" i="99" s="1"/>
  <c r="AF72" i="99" s="1"/>
  <c r="AF73" i="99" s="1"/>
  <c r="AF74" i="99" s="1"/>
  <c r="AF75" i="99" s="1"/>
  <c r="AF76" i="99" s="1"/>
  <c r="AF77" i="99" s="1"/>
  <c r="AF78" i="99" s="1"/>
  <c r="AF79" i="99" s="1"/>
  <c r="AF80" i="99" s="1"/>
  <c r="AF81" i="99" s="1"/>
  <c r="AF82" i="99" s="1"/>
  <c r="AF83" i="99" s="1"/>
  <c r="AF84" i="99" s="1"/>
  <c r="AF85" i="99" s="1"/>
  <c r="AF86" i="99" s="1"/>
  <c r="AF87" i="99" s="1"/>
  <c r="AF88" i="99" s="1"/>
  <c r="AF89" i="99" s="1"/>
  <c r="AF90" i="99" s="1"/>
  <c r="AF91" i="99" s="1"/>
  <c r="AF92" i="99" s="1"/>
  <c r="AF93" i="99" s="1"/>
  <c r="AF94" i="99" s="1"/>
  <c r="AF95" i="99" s="1"/>
  <c r="AF96" i="99" s="1"/>
  <c r="AF97" i="99" s="1"/>
  <c r="AF98" i="99" s="1"/>
  <c r="AF99" i="99" s="1"/>
  <c r="AF100" i="99" s="1"/>
  <c r="AF101" i="99" s="1"/>
  <c r="AF102" i="99" s="1"/>
  <c r="AF103" i="99" s="1"/>
  <c r="AF104" i="99" s="1"/>
  <c r="AF105" i="99" s="1"/>
  <c r="AF106" i="99" s="1"/>
  <c r="AF107" i="99" s="1"/>
  <c r="AF108" i="99" s="1"/>
  <c r="AF109" i="99" s="1"/>
  <c r="AF110" i="99" s="1"/>
  <c r="AF111" i="99" s="1"/>
  <c r="AF112" i="99" s="1"/>
  <c r="AF113" i="99" s="1"/>
  <c r="AF114" i="99" s="1"/>
  <c r="AF115" i="99" s="1"/>
  <c r="AF116" i="99" s="1"/>
  <c r="AF117" i="99" s="1"/>
  <c r="AF118" i="99" s="1"/>
  <c r="AF119" i="99" s="1"/>
  <c r="AF120" i="99" s="1"/>
  <c r="AF121" i="99" s="1"/>
  <c r="AF122" i="99" s="1"/>
  <c r="AF123" i="99" s="1"/>
  <c r="AF124" i="99" s="1"/>
  <c r="AF125" i="99" s="1"/>
  <c r="AF126" i="99" s="1"/>
  <c r="AF127" i="99" s="1"/>
  <c r="AF128" i="99" s="1"/>
  <c r="AF129" i="99" s="1"/>
  <c r="AF130" i="99" s="1"/>
  <c r="AF131" i="99" s="1"/>
  <c r="AF132" i="99" s="1"/>
  <c r="AF133" i="99" s="1"/>
  <c r="AF134" i="99" s="1"/>
  <c r="AF135" i="99" s="1"/>
  <c r="AF136" i="99" s="1"/>
  <c r="AF137" i="99" s="1"/>
  <c r="AF138" i="99" s="1"/>
  <c r="AF139" i="99" s="1"/>
  <c r="AF140" i="99" s="1"/>
  <c r="AF141" i="99" s="1"/>
  <c r="AF142" i="99" s="1"/>
  <c r="AF143" i="99" s="1"/>
  <c r="AF144" i="99" s="1"/>
  <c r="AF145" i="99" s="1"/>
  <c r="AF146" i="99" s="1"/>
  <c r="AF147" i="99" s="1"/>
  <c r="AF148" i="99" s="1"/>
  <c r="AF149" i="99" s="1"/>
  <c r="AF150" i="99" s="1"/>
  <c r="AF151" i="99" s="1"/>
  <c r="AF152" i="99" s="1"/>
  <c r="AF153" i="99" s="1"/>
  <c r="AF154" i="99" s="1"/>
  <c r="AF155" i="99" s="1"/>
  <c r="AF156" i="99" s="1"/>
  <c r="AF157" i="99" s="1"/>
  <c r="AF158" i="99" s="1"/>
  <c r="AF159" i="99" s="1"/>
  <c r="AF160" i="99" s="1"/>
  <c r="AF161" i="99" s="1"/>
  <c r="AF162" i="99" s="1"/>
  <c r="AF163" i="99" s="1"/>
  <c r="AF164" i="99" s="1"/>
  <c r="AF165" i="99" s="1"/>
  <c r="AF166" i="99" s="1"/>
  <c r="AF167" i="99" s="1"/>
  <c r="AF168" i="99" s="1"/>
  <c r="AF169" i="99" s="1"/>
  <c r="AF170" i="99" s="1"/>
  <c r="AF171" i="99" s="1"/>
  <c r="AF172" i="99" s="1"/>
  <c r="AF173" i="99" s="1"/>
  <c r="AF174" i="99" s="1"/>
  <c r="AF175" i="99" s="1"/>
  <c r="AF176" i="99" s="1"/>
  <c r="AF177" i="99" s="1"/>
  <c r="AF178" i="99" s="1"/>
  <c r="AF179" i="99" s="1"/>
  <c r="AF180" i="99" s="1"/>
  <c r="AF181" i="99" s="1"/>
  <c r="AF182" i="99" s="1"/>
  <c r="AF183" i="99" s="1"/>
  <c r="AF184" i="99" s="1"/>
  <c r="AF185" i="99" s="1"/>
  <c r="AF186" i="99" s="1"/>
  <c r="AF187" i="99" s="1"/>
  <c r="AF188" i="99" s="1"/>
  <c r="AF189" i="99" s="1"/>
  <c r="AF190" i="99" s="1"/>
  <c r="AF191" i="99" s="1"/>
  <c r="AF192" i="99" s="1"/>
  <c r="AF193" i="99" s="1"/>
  <c r="AF194" i="99" s="1"/>
  <c r="AF195" i="99" s="1"/>
  <c r="AF196" i="99" s="1"/>
  <c r="AF197" i="99" s="1"/>
  <c r="AF198" i="99" s="1"/>
  <c r="AF199" i="99" s="1"/>
  <c r="AF200" i="99" s="1"/>
  <c r="AF201" i="99" s="1"/>
  <c r="AF202" i="99" s="1"/>
  <c r="AF203" i="99" s="1"/>
  <c r="AF204" i="99" s="1"/>
  <c r="AF205" i="99" s="1"/>
  <c r="AF206" i="99" s="1"/>
  <c r="AF207" i="99" s="1"/>
  <c r="AF208" i="99" s="1"/>
  <c r="AF209" i="99" s="1"/>
  <c r="AF210" i="99" s="1"/>
  <c r="AF211" i="99" s="1"/>
  <c r="AF212" i="99" s="1"/>
  <c r="AF213" i="99" s="1"/>
  <c r="AF214" i="99" s="1"/>
  <c r="AF215" i="99" s="1"/>
  <c r="AF216" i="99" s="1"/>
  <c r="AF217" i="99" s="1"/>
  <c r="AF218" i="99" s="1"/>
  <c r="AF219" i="99" s="1"/>
  <c r="AF220" i="99" s="1"/>
  <c r="AF221" i="99" s="1"/>
  <c r="AF222" i="99" s="1"/>
  <c r="AF223" i="99" s="1"/>
  <c r="AF224" i="99" s="1"/>
  <c r="AF225" i="99" s="1"/>
  <c r="AF226" i="99" s="1"/>
  <c r="AF227" i="99" s="1"/>
  <c r="AF228" i="99" s="1"/>
  <c r="AF229" i="99" s="1"/>
  <c r="AF230" i="99" s="1"/>
  <c r="AF231" i="99" s="1"/>
  <c r="AF232" i="99" s="1"/>
  <c r="AF233" i="99" s="1"/>
  <c r="AF234" i="99" s="1"/>
  <c r="AF235" i="99" s="1"/>
  <c r="AF236" i="99" s="1"/>
  <c r="AF237" i="99" s="1"/>
  <c r="AF238" i="99" s="1"/>
  <c r="AF239" i="99" s="1"/>
  <c r="AF240" i="99" s="1"/>
  <c r="AF241" i="99" s="1"/>
  <c r="AF242" i="99" s="1"/>
  <c r="AF243" i="99" s="1"/>
  <c r="AF244" i="99" s="1"/>
  <c r="AF245" i="99" s="1"/>
  <c r="AF246" i="99" s="1"/>
  <c r="AF247" i="99" s="1"/>
  <c r="AF248" i="99" s="1"/>
  <c r="AF249" i="99" s="1"/>
  <c r="AF250" i="99" s="1"/>
  <c r="AF251" i="99" s="1"/>
  <c r="AF252" i="99" s="1"/>
  <c r="AF253" i="99" s="1"/>
  <c r="AF254" i="99" s="1"/>
  <c r="AF255" i="99" s="1"/>
  <c r="AF256" i="99" s="1"/>
  <c r="AF257" i="99" s="1"/>
  <c r="AF258" i="99" s="1"/>
  <c r="AF259" i="99" s="1"/>
  <c r="AF260" i="99" s="1"/>
  <c r="AF261" i="99" s="1"/>
  <c r="AF262" i="99" s="1"/>
  <c r="AF263" i="99" s="1"/>
  <c r="AF264" i="99" s="1"/>
  <c r="AF265" i="99" s="1"/>
  <c r="AF266" i="99" s="1"/>
  <c r="AF267" i="99" s="1"/>
  <c r="AF268" i="99" s="1"/>
  <c r="AF269" i="99" s="1"/>
  <c r="AF270" i="99" s="1"/>
  <c r="AF271" i="99" s="1"/>
  <c r="AF272" i="99" s="1"/>
  <c r="AF273" i="99" s="1"/>
  <c r="AF274" i="99" s="1"/>
  <c r="AF275" i="99" s="1"/>
  <c r="AF276" i="99" s="1"/>
  <c r="AF277" i="99" s="1"/>
  <c r="AF278" i="99" s="1"/>
  <c r="AF279" i="99" s="1"/>
  <c r="AF280" i="99" s="1"/>
  <c r="AF281" i="99" s="1"/>
  <c r="AF282" i="99" s="1"/>
  <c r="AF283" i="99" s="1"/>
  <c r="AF284" i="99" s="1"/>
  <c r="AF285" i="99" s="1"/>
  <c r="AF286" i="99" s="1"/>
  <c r="AF287" i="99" s="1"/>
  <c r="AF288" i="99" s="1"/>
  <c r="AF289" i="99" s="1"/>
  <c r="AF290" i="99" s="1"/>
  <c r="AF291" i="99" s="1"/>
  <c r="AF292" i="99" s="1"/>
  <c r="AF293" i="99" s="1"/>
  <c r="AF294" i="99" s="1"/>
  <c r="AF295" i="99" s="1"/>
  <c r="AF296" i="99" s="1"/>
  <c r="AF297" i="99" s="1"/>
  <c r="AF298" i="99" s="1"/>
  <c r="AF299" i="99" s="1"/>
  <c r="AF300" i="99" s="1"/>
  <c r="AF301" i="99" s="1"/>
  <c r="AF302" i="99" s="1"/>
  <c r="AF303" i="99" s="1"/>
  <c r="AF304" i="99" s="1"/>
  <c r="AF305" i="99" s="1"/>
  <c r="AF306" i="99" s="1"/>
  <c r="AF307" i="99" s="1"/>
  <c r="AF308" i="99" s="1"/>
  <c r="AF309" i="99" s="1"/>
  <c r="AF310" i="99" s="1"/>
  <c r="AF311" i="99" s="1"/>
  <c r="AF312" i="99" s="1"/>
  <c r="AF313" i="99" s="1"/>
  <c r="AF314" i="99" s="1"/>
  <c r="AF315" i="99" s="1"/>
  <c r="AF316" i="99" s="1"/>
  <c r="AF317" i="99" s="1"/>
  <c r="AF318" i="99" s="1"/>
  <c r="AF319" i="99" s="1"/>
  <c r="AF320" i="99" s="1"/>
  <c r="AF321" i="99" s="1"/>
  <c r="AF322" i="99" s="1"/>
  <c r="AF323" i="99" s="1"/>
  <c r="AF324" i="99" s="1"/>
  <c r="AF325" i="99" s="1"/>
  <c r="AF326" i="99" s="1"/>
  <c r="AF327" i="99" s="1"/>
  <c r="AF328" i="99" s="1"/>
  <c r="AF329" i="99" s="1"/>
  <c r="AF330" i="99" s="1"/>
  <c r="AF331" i="99" s="1"/>
  <c r="AF332" i="99" s="1"/>
  <c r="AF333" i="99" s="1"/>
  <c r="AF334" i="99" s="1"/>
  <c r="AF335" i="99" s="1"/>
  <c r="AF336" i="99" s="1"/>
  <c r="AF337" i="99" s="1"/>
  <c r="AF338" i="99" s="1"/>
  <c r="AF339" i="99" s="1"/>
  <c r="AF340" i="99" s="1"/>
  <c r="AF341" i="99" s="1"/>
  <c r="AF342" i="99" s="1"/>
  <c r="AF343" i="99" s="1"/>
  <c r="AF344" i="99" s="1"/>
  <c r="AF345" i="99" s="1"/>
  <c r="AF346" i="99" s="1"/>
  <c r="AF347" i="99" s="1"/>
  <c r="AF348" i="99" s="1"/>
  <c r="AF349" i="99" s="1"/>
  <c r="AF350" i="99" s="1"/>
  <c r="AF351" i="99" s="1"/>
  <c r="AF352" i="99" s="1"/>
  <c r="AF353" i="99" s="1"/>
  <c r="AF354" i="99" s="1"/>
  <c r="AF355" i="99" s="1"/>
  <c r="AF356" i="99" s="1"/>
  <c r="AF357" i="99" s="1"/>
  <c r="AF358" i="99" s="1"/>
  <c r="AF359" i="99" s="1"/>
  <c r="AF360" i="99" s="1"/>
  <c r="AF361" i="99" s="1"/>
  <c r="AF362" i="99" s="1"/>
  <c r="AF363" i="99" s="1"/>
  <c r="AF364" i="99" s="1"/>
  <c r="AF365" i="99" s="1"/>
  <c r="AF366" i="99" s="1"/>
  <c r="AF367" i="99" s="1"/>
  <c r="AF368" i="99" s="1"/>
  <c r="AF369" i="99" s="1"/>
  <c r="AF370" i="99" s="1"/>
  <c r="AF371" i="99" s="1"/>
  <c r="AF372" i="99" s="1"/>
  <c r="AF373" i="99" s="1"/>
  <c r="AF374" i="99" s="1"/>
  <c r="AF375" i="99" s="1"/>
  <c r="AF376" i="99" s="1"/>
  <c r="AF377" i="99" s="1"/>
  <c r="AF378" i="99" s="1"/>
  <c r="AF379" i="99" s="1"/>
  <c r="AF380" i="99" s="1"/>
  <c r="AF381" i="99" s="1"/>
  <c r="AF382" i="99" s="1"/>
  <c r="AF383" i="99" s="1"/>
  <c r="AF384" i="99" s="1"/>
  <c r="AF385" i="99" s="1"/>
  <c r="AF386" i="99" s="1"/>
  <c r="AF387" i="99" s="1"/>
  <c r="AF388" i="99" s="1"/>
  <c r="AF389" i="99" s="1"/>
  <c r="AF390" i="99" s="1"/>
  <c r="AF391" i="99" s="1"/>
  <c r="AF392" i="99" s="1"/>
  <c r="AF393" i="99" s="1"/>
  <c r="AF394" i="99" s="1"/>
  <c r="AF395" i="99" s="1"/>
  <c r="AF396" i="99" s="1"/>
  <c r="AF397" i="99" s="1"/>
  <c r="AF398" i="99" s="1"/>
  <c r="AF399" i="99" s="1"/>
  <c r="AF400" i="99" s="1"/>
  <c r="AF401" i="99" s="1"/>
  <c r="AF402" i="99" s="1"/>
  <c r="AF403" i="99" s="1"/>
  <c r="AF404" i="99" s="1"/>
  <c r="AF405" i="99" s="1"/>
  <c r="AF406" i="99" s="1"/>
  <c r="AF407" i="99" s="1"/>
  <c r="AF408" i="99" s="1"/>
  <c r="AF409" i="99" s="1"/>
  <c r="AF410" i="99" s="1"/>
  <c r="AF411" i="99" s="1"/>
  <c r="AF412" i="99" s="1"/>
  <c r="AF413" i="99" s="1"/>
  <c r="AF414" i="99" s="1"/>
  <c r="AF415" i="99" s="1"/>
  <c r="AF416" i="99" s="1"/>
  <c r="AF417" i="99" s="1"/>
  <c r="AF418" i="99" s="1"/>
  <c r="AF419" i="99" s="1"/>
  <c r="AF420" i="99" s="1"/>
  <c r="AF421" i="99" s="1"/>
  <c r="AF422" i="99" s="1"/>
  <c r="AF423" i="99" s="1"/>
  <c r="AF424" i="99" s="1"/>
  <c r="AF425" i="99" s="1"/>
  <c r="AF426" i="99" s="1"/>
  <c r="AF427" i="99" s="1"/>
  <c r="AF428" i="99" s="1"/>
  <c r="AF429" i="99" s="1"/>
  <c r="AF430" i="99" s="1"/>
  <c r="AF431" i="99" s="1"/>
  <c r="AF432" i="99" s="1"/>
  <c r="AF433" i="99" s="1"/>
  <c r="AF434" i="99" s="1"/>
  <c r="AF435" i="99" s="1"/>
  <c r="AF436" i="99" s="1"/>
  <c r="AF437" i="99" s="1"/>
  <c r="AF438" i="99" s="1"/>
  <c r="AF439" i="99" s="1"/>
  <c r="AF440" i="99" s="1"/>
  <c r="AF441" i="99" s="1"/>
  <c r="AF442" i="99" s="1"/>
  <c r="AF443" i="99" s="1"/>
  <c r="AF444" i="99" s="1"/>
  <c r="AF445" i="99" s="1"/>
  <c r="AF446" i="99" s="1"/>
  <c r="AF447" i="99" s="1"/>
  <c r="AF448" i="99" s="1"/>
  <c r="AF449" i="99" s="1"/>
  <c r="AF450" i="99" s="1"/>
  <c r="AF451" i="99" s="1"/>
  <c r="AF452" i="99" s="1"/>
  <c r="AF453" i="99" s="1"/>
  <c r="AF454" i="99" s="1"/>
  <c r="AF455" i="99" s="1"/>
  <c r="AF456" i="99" s="1"/>
  <c r="AF457" i="99" s="1"/>
  <c r="AF458" i="99" s="1"/>
  <c r="AF459" i="99" s="1"/>
  <c r="AF460" i="99" s="1"/>
  <c r="AF461" i="99" s="1"/>
  <c r="AF462" i="99" s="1"/>
  <c r="AF463" i="99" s="1"/>
  <c r="AF464" i="99" s="1"/>
  <c r="AF465" i="99" s="1"/>
  <c r="AF466" i="99" s="1"/>
  <c r="AF467" i="99" s="1"/>
  <c r="AF468" i="99" s="1"/>
  <c r="AF469" i="99" s="1"/>
  <c r="AF470" i="99" s="1"/>
  <c r="AF471" i="99" s="1"/>
  <c r="AF472" i="99" s="1"/>
  <c r="AF473" i="99" s="1"/>
  <c r="AF474" i="99" s="1"/>
  <c r="AF475" i="99" s="1"/>
  <c r="AF476" i="99" s="1"/>
  <c r="AF477" i="99" s="1"/>
  <c r="AF478" i="99" s="1"/>
  <c r="AF479" i="99" s="1"/>
  <c r="AF480" i="99" s="1"/>
  <c r="AF481" i="99" s="1"/>
  <c r="AF482" i="99" s="1"/>
  <c r="AF483" i="99" s="1"/>
  <c r="AF484" i="99" s="1"/>
  <c r="AF485" i="99" s="1"/>
  <c r="AF486" i="99" s="1"/>
  <c r="AF487" i="99" s="1"/>
  <c r="AF488" i="99" s="1"/>
  <c r="AF489" i="99" s="1"/>
  <c r="AF490" i="99" s="1"/>
  <c r="AF491" i="99" s="1"/>
  <c r="AF492" i="99" s="1"/>
  <c r="AF493" i="99" s="1"/>
  <c r="AF494" i="99" s="1"/>
  <c r="AF495" i="99" s="1"/>
  <c r="AF496" i="99" s="1"/>
  <c r="AF497" i="99" s="1"/>
  <c r="AF498" i="99" s="1"/>
  <c r="AF499" i="99" s="1"/>
  <c r="AF500" i="99" s="1"/>
  <c r="AF501" i="99" s="1"/>
  <c r="AF502" i="99" s="1"/>
  <c r="AF503" i="99" s="1"/>
  <c r="AF504" i="99" s="1"/>
  <c r="AF505" i="99" s="1"/>
  <c r="AF506" i="99" s="1"/>
  <c r="AF507" i="99" s="1"/>
  <c r="AF508" i="99" s="1"/>
  <c r="AF509" i="99" s="1"/>
  <c r="AF510" i="99" s="1"/>
  <c r="AF511" i="99" s="1"/>
  <c r="AF512" i="99" s="1"/>
  <c r="AF513" i="99" s="1"/>
  <c r="AF514" i="99" s="1"/>
  <c r="AF515" i="99" s="1"/>
  <c r="AF516" i="99" s="1"/>
  <c r="AF517" i="99" s="1"/>
  <c r="AF518" i="99" s="1"/>
  <c r="AF519" i="99" s="1"/>
  <c r="AF520" i="99" s="1"/>
  <c r="AF521" i="99" s="1"/>
  <c r="AF522" i="99" s="1"/>
  <c r="AF523" i="99" s="1"/>
  <c r="AF524" i="99" s="1"/>
  <c r="AF525" i="99" s="1"/>
  <c r="AF526" i="99" s="1"/>
  <c r="AF527" i="99" s="1"/>
  <c r="AF528" i="99" s="1"/>
  <c r="AF529" i="99" s="1"/>
  <c r="AF530" i="99" s="1"/>
  <c r="AF531" i="99" s="1"/>
  <c r="AF532" i="99" s="1"/>
  <c r="AF533" i="99" s="1"/>
  <c r="AF534" i="99" s="1"/>
  <c r="AF535" i="99" s="1"/>
  <c r="AF536" i="99" s="1"/>
  <c r="AF537" i="99" s="1"/>
  <c r="AF538" i="99" s="1"/>
  <c r="AF539" i="99" s="1"/>
  <c r="AF540" i="99" s="1"/>
  <c r="AF541" i="99" s="1"/>
  <c r="AF542" i="99" s="1"/>
  <c r="AF543" i="99" s="1"/>
  <c r="AF544" i="99" s="1"/>
  <c r="AF545" i="99" s="1"/>
  <c r="AF546" i="99" s="1"/>
  <c r="AF547" i="99" s="1"/>
  <c r="AF548" i="99" s="1"/>
  <c r="AF549" i="99" s="1"/>
  <c r="AF550" i="99" s="1"/>
  <c r="AF551" i="99" s="1"/>
  <c r="AF552" i="99" s="1"/>
  <c r="AF553" i="99" s="1"/>
  <c r="AF554" i="99" s="1"/>
  <c r="AF555" i="99" s="1"/>
  <c r="AF556" i="99" s="1"/>
  <c r="AF557" i="99" s="1"/>
  <c r="AF558" i="99" s="1"/>
  <c r="AF559" i="99" s="1"/>
  <c r="AF560" i="99" s="1"/>
  <c r="AF561" i="99" s="1"/>
  <c r="AF562" i="99" s="1"/>
  <c r="AF563" i="99" s="1"/>
  <c r="AF564" i="99" s="1"/>
  <c r="AF565" i="99" s="1"/>
  <c r="AF566" i="99" s="1"/>
  <c r="AF567" i="99" s="1"/>
  <c r="AF568" i="99" s="1"/>
  <c r="AF569" i="99" s="1"/>
  <c r="AF570" i="99" s="1"/>
  <c r="AF571" i="99" s="1"/>
  <c r="AF572" i="99" s="1"/>
  <c r="AF573" i="99" s="1"/>
  <c r="AF574" i="99" s="1"/>
  <c r="AF575" i="99" s="1"/>
  <c r="AF576" i="99" s="1"/>
  <c r="AF577" i="99" s="1"/>
  <c r="AF578" i="99" s="1"/>
  <c r="AF579" i="99" s="1"/>
  <c r="AF580" i="99" s="1"/>
  <c r="AF581" i="99" s="1"/>
  <c r="B3" i="96"/>
  <c r="C3" i="96" a="1"/>
  <c r="G3" i="96" a="1"/>
  <c r="C3" i="96" l="1"/>
  <c r="E3" i="96" s="1"/>
  <c r="G3" i="96"/>
  <c r="I3" i="96" s="1"/>
  <c r="F11" i="99"/>
  <c r="F12" i="99" s="1"/>
  <c r="F20" i="9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<sst xmlns="http://schemas.openxmlformats.org/spreadsheetml/2006/main" count="662" uniqueCount="591">
  <si>
    <t>(cfs)</t>
  </si>
  <si>
    <t>Summary Output Data: Inflow</t>
  </si>
  <si>
    <t>Modeled</t>
  </si>
  <si>
    <t>Observed</t>
  </si>
  <si>
    <t>Summary Output Data: Elevation</t>
  </si>
  <si>
    <t>Summary Statistics: Inflow</t>
  </si>
  <si>
    <r>
      <t>R</t>
    </r>
    <r>
      <rPr>
        <vertAlign val="superscript"/>
        <sz val="11"/>
        <color theme="1"/>
        <rFont val="Calibri"/>
        <family val="2"/>
        <scheme val="minor"/>
      </rPr>
      <t>2</t>
    </r>
  </si>
  <si>
    <t>NSE</t>
  </si>
  <si>
    <t>RSR</t>
  </si>
  <si>
    <t>PBIAS-V</t>
  </si>
  <si>
    <t>PBIAS-P</t>
  </si>
  <si>
    <t>Hourly</t>
  </si>
  <si>
    <t>Summary Statistics: Elevation</t>
  </si>
  <si>
    <t>Flow</t>
  </si>
  <si>
    <t>Sheet Name</t>
  </si>
  <si>
    <t>Location</t>
  </si>
  <si>
    <t>Peak Elevation (cfs)</t>
  </si>
  <si>
    <t>Difference (%)</t>
  </si>
  <si>
    <t>Difference (ft)</t>
  </si>
  <si>
    <t>*Peak Flow (cfs)</t>
  </si>
  <si>
    <t>Ordinate</t>
  </si>
  <si>
    <t>Time and Date</t>
  </si>
  <si>
    <t>(FT NAVD88)</t>
  </si>
  <si>
    <t>(CFS)</t>
  </si>
  <si>
    <t>HEC-RAS
Computed Flow</t>
  </si>
  <si>
    <t xml:space="preserve">HEC-RAS
Computed Elevation </t>
  </si>
  <si>
    <t>Trial 1</t>
  </si>
  <si>
    <t>Notes:</t>
  </si>
  <si>
    <t>Trial 2</t>
  </si>
  <si>
    <t>Adopted</t>
  </si>
  <si>
    <t>Trail 4</t>
  </si>
  <si>
    <t>HEC-RAS Computed
Flow Accumulation</t>
  </si>
  <si>
    <t>Elevation</t>
  </si>
  <si>
    <t>Trial 5</t>
  </si>
  <si>
    <t>Trial 3</t>
  </si>
  <si>
    <t>Trial 4</t>
  </si>
  <si>
    <t>Flow Accumulation</t>
  </si>
  <si>
    <t>Peak Inflow (CFS)</t>
  </si>
  <si>
    <t>Max Difference (CFS) = Mod - Obs</t>
  </si>
  <si>
    <t>Percent Difference (%) = Mod - Obs</t>
  </si>
  <si>
    <t>Peak Elevation (FT)</t>
  </si>
  <si>
    <t>Max Difference (FT) = Mod - Obs</t>
  </si>
  <si>
    <t>Gage Name (Primary/Second/Tertiary Gage): MMMYYYY</t>
  </si>
  <si>
    <t>https://swat.tamu.edu/media/1312/moriasimodeleval.pdf</t>
  </si>
  <si>
    <t>=CORREL(Mod_Flow:Obs_Flow)^2</t>
  </si>
  <si>
    <t>=1-SUMPRODUCT((Obs_Flow-Mod_Flow)^2)/SUMPRODUCT((Obs_Flow-AVERAGE(Obs_Flow))^2)</t>
  </si>
  <si>
    <t>=SQRT(SUMPRODUCT((Obs_Flow-Mod_Flow)^2))/SQRT(SUMPRODUCT((Obs_Flow-AVERAGE(Obs_Flow))^2))</t>
  </si>
  <si>
    <t>=((MAX(Obs_Flow)-MAX(Mod_Flow))*100)/MAX(Obs_Flow)</t>
  </si>
  <si>
    <t>=SUMPRODUCT((Obs_Flow-Mod_Flow)*100)/SUM(Obs_Flow)</t>
  </si>
  <si>
    <t>FFRD Adopted Metrics</t>
  </si>
  <si>
    <t>HEC-RAS
Date and Time</t>
  </si>
  <si>
    <r>
      <rPr>
        <b/>
        <sz val="11"/>
        <color theme="1"/>
        <rFont val="Calibri"/>
        <family val="2"/>
        <scheme val="minor"/>
      </rPr>
      <t>Note:</t>
    </r>
    <r>
      <rPr>
        <sz val="11"/>
        <color theme="1"/>
        <rFont val="Calibri"/>
        <family val="2"/>
        <scheme val="minor"/>
      </rPr>
      <t xml:space="preserve"> Spreadsheet statistics are based on a dynamic range starting at the 2nd ordinate.
Delete all cells after the last ordinate needed to represent your data.
Ensure that the "Observed" data has the same number of values as the "Adopted" and there is no missing data.
Hydrographs that extend beyond row 2000 will require modification to the spreadsheet</t>
    </r>
  </si>
  <si>
    <t>Flow
Lower</t>
  </si>
  <si>
    <t>EL
Lower</t>
  </si>
  <si>
    <t>Flow
Upper</t>
  </si>
  <si>
    <t>EL
Upper</t>
  </si>
  <si>
    <t>Select rows for use statitical analysis; plots range of data for verification</t>
  </si>
  <si>
    <t>Gage Location Map Here</t>
  </si>
  <si>
    <t>Plots Dynamic Named Range Values</t>
  </si>
  <si>
    <t>Excel Row No. for Statisitcal Analysis:</t>
  </si>
  <si>
    <t>Gage_and_Event</t>
  </si>
  <si>
    <t>06Nov2003 1200</t>
  </si>
  <si>
    <t>06Nov2003 1300</t>
  </si>
  <si>
    <t>06Nov2003 1400</t>
  </si>
  <si>
    <t>06Nov2003 1500</t>
  </si>
  <si>
    <t>06Nov2003 1600</t>
  </si>
  <si>
    <t>06Nov2003 1700</t>
  </si>
  <si>
    <t>06Nov2003 1800</t>
  </si>
  <si>
    <t>06Nov2003 1900</t>
  </si>
  <si>
    <t>06Nov2003 2000</t>
  </si>
  <si>
    <t>06Nov2003 2100</t>
  </si>
  <si>
    <t>06Nov2003 2200</t>
  </si>
  <si>
    <t>06Nov2003 2300</t>
  </si>
  <si>
    <t>06Nov2003 2400</t>
  </si>
  <si>
    <t>07Nov2003 0100</t>
  </si>
  <si>
    <t>07Nov2003 0200</t>
  </si>
  <si>
    <t>07Nov2003 0300</t>
  </si>
  <si>
    <t>07Nov2003 0400</t>
  </si>
  <si>
    <t>07Nov2003 0500</t>
  </si>
  <si>
    <t>07Nov2003 0600</t>
  </si>
  <si>
    <t>07Nov2003 0700</t>
  </si>
  <si>
    <t>07Nov2003 0800</t>
  </si>
  <si>
    <t>07Nov2003 0900</t>
  </si>
  <si>
    <t>07Nov2003 1000</t>
  </si>
  <si>
    <t>07Nov2003 1100</t>
  </si>
  <si>
    <t>07Nov2003 1200</t>
  </si>
  <si>
    <t>07Nov2003 1300</t>
  </si>
  <si>
    <t>07Nov2003 1400</t>
  </si>
  <si>
    <t>07Nov2003 1500</t>
  </si>
  <si>
    <t>07Nov2003 1600</t>
  </si>
  <si>
    <t>07Nov2003 1700</t>
  </si>
  <si>
    <t>07Nov2003 1800</t>
  </si>
  <si>
    <t>07Nov2003 1900</t>
  </si>
  <si>
    <t>07Nov2003 2000</t>
  </si>
  <si>
    <t>07Nov2003 2100</t>
  </si>
  <si>
    <t>07Nov2003 2200</t>
  </si>
  <si>
    <t>07Nov2003 2300</t>
  </si>
  <si>
    <t>07Nov2003 2400</t>
  </si>
  <si>
    <t>08Nov2003 0100</t>
  </si>
  <si>
    <t>08Nov2003 0200</t>
  </si>
  <si>
    <t>08Nov2003 0300</t>
  </si>
  <si>
    <t>08Nov2003 0400</t>
  </si>
  <si>
    <t>08Nov2003 0500</t>
  </si>
  <si>
    <t>08Nov2003 0600</t>
  </si>
  <si>
    <t>08Nov2003 0700</t>
  </si>
  <si>
    <t>08Nov2003 0800</t>
  </si>
  <si>
    <t>08Nov2003 0900</t>
  </si>
  <si>
    <t>08Nov2003 1000</t>
  </si>
  <si>
    <t>08Nov2003 1100</t>
  </si>
  <si>
    <t>08Nov2003 1200</t>
  </si>
  <si>
    <t>08Nov2003 1300</t>
  </si>
  <si>
    <t>08Nov2003 1400</t>
  </si>
  <si>
    <t>08Nov2003 1500</t>
  </si>
  <si>
    <t>08Nov2003 1600</t>
  </si>
  <si>
    <t>08Nov2003 1700</t>
  </si>
  <si>
    <t>08Nov2003 1800</t>
  </si>
  <si>
    <t>08Nov2003 1900</t>
  </si>
  <si>
    <t>08Nov2003 2000</t>
  </si>
  <si>
    <t>08Nov2003 2100</t>
  </si>
  <si>
    <t>08Nov2003 2200</t>
  </si>
  <si>
    <t>08Nov2003 2300</t>
  </si>
  <si>
    <t>08Nov2003 2400</t>
  </si>
  <si>
    <t>09Nov2003 0100</t>
  </si>
  <si>
    <t>09Nov2003 0200</t>
  </si>
  <si>
    <t>09Nov2003 0300</t>
  </si>
  <si>
    <t>09Nov2003 0400</t>
  </si>
  <si>
    <t>09Nov2003 0500</t>
  </si>
  <si>
    <t>09Nov2003 0600</t>
  </si>
  <si>
    <t>09Nov2003 0700</t>
  </si>
  <si>
    <t>09Nov2003 0800</t>
  </si>
  <si>
    <t>09Nov2003 0900</t>
  </si>
  <si>
    <t>09Nov2003 1000</t>
  </si>
  <si>
    <t>09Nov2003 1100</t>
  </si>
  <si>
    <t>09Nov2003 1200</t>
  </si>
  <si>
    <t>09Nov2003 1300</t>
  </si>
  <si>
    <t>09Nov2003 1400</t>
  </si>
  <si>
    <t>09Nov2003 1500</t>
  </si>
  <si>
    <t>09Nov2003 1600</t>
  </si>
  <si>
    <t>09Nov2003 1700</t>
  </si>
  <si>
    <t>09Nov2003 1800</t>
  </si>
  <si>
    <t>09Nov2003 1900</t>
  </si>
  <si>
    <t>09Nov2003 2000</t>
  </si>
  <si>
    <t>09Nov2003 2100</t>
  </si>
  <si>
    <t>09Nov2003 2200</t>
  </si>
  <si>
    <t>09Nov2003 2300</t>
  </si>
  <si>
    <t>09Nov2003 2400</t>
  </si>
  <si>
    <t>10Nov2003 0100</t>
  </si>
  <si>
    <t>10Nov2003 0200</t>
  </si>
  <si>
    <t>10Nov2003 0300</t>
  </si>
  <si>
    <t>10Nov2003 0400</t>
  </si>
  <si>
    <t>10Nov2003 0500</t>
  </si>
  <si>
    <t>10Nov2003 0600</t>
  </si>
  <si>
    <t>10Nov2003 0700</t>
  </si>
  <si>
    <t>10Nov2003 0800</t>
  </si>
  <si>
    <t>10Nov2003 0900</t>
  </si>
  <si>
    <t>10Nov2003 1000</t>
  </si>
  <si>
    <t>10Nov2003 1100</t>
  </si>
  <si>
    <t>10Nov2003 1200</t>
  </si>
  <si>
    <t>10Nov2003 1300</t>
  </si>
  <si>
    <t>10Nov2003 1400</t>
  </si>
  <si>
    <t>10Nov2003 1500</t>
  </si>
  <si>
    <t>10Nov2003 1600</t>
  </si>
  <si>
    <t>10Nov2003 1700</t>
  </si>
  <si>
    <t>10Nov2003 1800</t>
  </si>
  <si>
    <t>10Nov2003 1900</t>
  </si>
  <si>
    <t>10Nov2003 2000</t>
  </si>
  <si>
    <t>10Nov2003 2100</t>
  </si>
  <si>
    <t>10Nov2003 2200</t>
  </si>
  <si>
    <t>10Nov2003 2300</t>
  </si>
  <si>
    <t>10Nov2003 2400</t>
  </si>
  <si>
    <t>11Nov2003 0100</t>
  </si>
  <si>
    <t>11Nov2003 0200</t>
  </si>
  <si>
    <t>11Nov2003 0300</t>
  </si>
  <si>
    <t>11Nov2003 0400</t>
  </si>
  <si>
    <t>11Nov2003 0500</t>
  </si>
  <si>
    <t>11Nov2003 0600</t>
  </si>
  <si>
    <t>11Nov2003 0700</t>
  </si>
  <si>
    <t>11Nov2003 0800</t>
  </si>
  <si>
    <t>11Nov2003 0900</t>
  </si>
  <si>
    <t>11Nov2003 1000</t>
  </si>
  <si>
    <t>11Nov2003 1100</t>
  </si>
  <si>
    <t>11Nov2003 1200</t>
  </si>
  <si>
    <t>11Nov2003 1300</t>
  </si>
  <si>
    <t>11Nov2003 1400</t>
  </si>
  <si>
    <t>11Nov2003 1500</t>
  </si>
  <si>
    <t>11Nov2003 1600</t>
  </si>
  <si>
    <t>11Nov2003 1700</t>
  </si>
  <si>
    <t>11Nov2003 1800</t>
  </si>
  <si>
    <t>11Nov2003 1900</t>
  </si>
  <si>
    <t>11Nov2003 2000</t>
  </si>
  <si>
    <t>11Nov2003 2100</t>
  </si>
  <si>
    <t>11Nov2003 2200</t>
  </si>
  <si>
    <t>11Nov2003 2300</t>
  </si>
  <si>
    <t>11Nov2003 2400</t>
  </si>
  <si>
    <t>12Nov2003 0100</t>
  </si>
  <si>
    <t>12Nov2003 0200</t>
  </si>
  <si>
    <t>12Nov2003 0300</t>
  </si>
  <si>
    <t>12Nov2003 0400</t>
  </si>
  <si>
    <t>12Nov2003 0500</t>
  </si>
  <si>
    <t>12Nov2003 0600</t>
  </si>
  <si>
    <t>12Nov2003 0700</t>
  </si>
  <si>
    <t>12Nov2003 0800</t>
  </si>
  <si>
    <t>12Nov2003 0900</t>
  </si>
  <si>
    <t>12Nov2003 1000</t>
  </si>
  <si>
    <t>12Nov2003 1100</t>
  </si>
  <si>
    <t>12Nov2003 1200</t>
  </si>
  <si>
    <t>12Nov2003 1300</t>
  </si>
  <si>
    <t>12Nov2003 1400</t>
  </si>
  <si>
    <t>12Nov2003 1500</t>
  </si>
  <si>
    <t>12Nov2003 1600</t>
  </si>
  <si>
    <t>12Nov2003 1700</t>
  </si>
  <si>
    <t>12Nov2003 1800</t>
  </si>
  <si>
    <t>12Nov2003 1900</t>
  </si>
  <si>
    <t>12Nov2003 2000</t>
  </si>
  <si>
    <t>12Nov2003 2100</t>
  </si>
  <si>
    <t>12Nov2003 2200</t>
  </si>
  <si>
    <t>12Nov2003 2300</t>
  </si>
  <si>
    <t>12Nov2003 2400</t>
  </si>
  <si>
    <t>13Nov2003 0100</t>
  </si>
  <si>
    <t>13Nov2003 0200</t>
  </si>
  <si>
    <t>13Nov2003 0300</t>
  </si>
  <si>
    <t>13Nov2003 0400</t>
  </si>
  <si>
    <t>13Nov2003 0500</t>
  </si>
  <si>
    <t>13Nov2003 0600</t>
  </si>
  <si>
    <t>13Nov2003 0700</t>
  </si>
  <si>
    <t>13Nov2003 0800</t>
  </si>
  <si>
    <t>13Nov2003 0900</t>
  </si>
  <si>
    <t>13Nov2003 1000</t>
  </si>
  <si>
    <t>13Nov2003 1100</t>
  </si>
  <si>
    <t>13Nov2003 1200</t>
  </si>
  <si>
    <t>13Nov2003 1300</t>
  </si>
  <si>
    <t>13Nov2003 1400</t>
  </si>
  <si>
    <t>13Nov2003 1500</t>
  </si>
  <si>
    <t>13Nov2003 1600</t>
  </si>
  <si>
    <t>13Nov2003 1700</t>
  </si>
  <si>
    <t>13Nov2003 1800</t>
  </si>
  <si>
    <t>13Nov2003 1900</t>
  </si>
  <si>
    <t>13Nov2003 2000</t>
  </si>
  <si>
    <t>13Nov2003 2100</t>
  </si>
  <si>
    <t>13Nov2003 2200</t>
  </si>
  <si>
    <t>13Nov2003 2300</t>
  </si>
  <si>
    <t>13Nov2003 2400</t>
  </si>
  <si>
    <t>14Nov2003 0100</t>
  </si>
  <si>
    <t>14Nov2003 0200</t>
  </si>
  <si>
    <t>14Nov2003 0300</t>
  </si>
  <si>
    <t>14Nov2003 0400</t>
  </si>
  <si>
    <t>14Nov2003 0500</t>
  </si>
  <si>
    <t>14Nov2003 0600</t>
  </si>
  <si>
    <t>14Nov2003 0700</t>
  </si>
  <si>
    <t>14Nov2003 0800</t>
  </si>
  <si>
    <t>14Nov2003 0900</t>
  </si>
  <si>
    <t>14Nov2003 1000</t>
  </si>
  <si>
    <t>14Nov2003 1100</t>
  </si>
  <si>
    <t>14Nov2003 1200</t>
  </si>
  <si>
    <t>14Nov2003 1300</t>
  </si>
  <si>
    <t>14Nov2003 1400</t>
  </si>
  <si>
    <t>14Nov2003 1500</t>
  </si>
  <si>
    <t>14Nov2003 1600</t>
  </si>
  <si>
    <t>14Nov2003 1700</t>
  </si>
  <si>
    <t>14Nov2003 1800</t>
  </si>
  <si>
    <t>14Nov2003 1900</t>
  </si>
  <si>
    <t>14Nov2003 2000</t>
  </si>
  <si>
    <t>14Nov2003 2100</t>
  </si>
  <si>
    <t>14Nov2003 2200</t>
  </si>
  <si>
    <t>14Nov2003 2300</t>
  </si>
  <si>
    <t>14Nov2003 2400</t>
  </si>
  <si>
    <t>15Nov2003 0100</t>
  </si>
  <si>
    <t>15Nov2003 0200</t>
  </si>
  <si>
    <t>15Nov2003 0300</t>
  </si>
  <si>
    <t>15Nov2003 0400</t>
  </si>
  <si>
    <t>15Nov2003 0500</t>
  </si>
  <si>
    <t>15Nov2003 0600</t>
  </si>
  <si>
    <t>15Nov2003 0700</t>
  </si>
  <si>
    <t>15Nov2003 0800</t>
  </si>
  <si>
    <t>15Nov2003 0900</t>
  </si>
  <si>
    <t>15Nov2003 1000</t>
  </si>
  <si>
    <t>15Nov2003 1100</t>
  </si>
  <si>
    <t>15Nov2003 1200</t>
  </si>
  <si>
    <t>15Nov2003 1300</t>
  </si>
  <si>
    <t>15Nov2003 1400</t>
  </si>
  <si>
    <t>15Nov2003 1500</t>
  </si>
  <si>
    <t>15Nov2003 1600</t>
  </si>
  <si>
    <t>15Nov2003 1700</t>
  </si>
  <si>
    <t>15Nov2003 1800</t>
  </si>
  <si>
    <t>15Nov2003 1900</t>
  </si>
  <si>
    <t>15Nov2003 2000</t>
  </si>
  <si>
    <t>15Nov2003 2100</t>
  </si>
  <si>
    <t>15Nov2003 2200</t>
  </si>
  <si>
    <t>15Nov2003 2300</t>
  </si>
  <si>
    <t>15Nov2003 2400</t>
  </si>
  <si>
    <t>16Nov2003 0100</t>
  </si>
  <si>
    <t>16Nov2003 0200</t>
  </si>
  <si>
    <t>16Nov2003 0300</t>
  </si>
  <si>
    <t>16Nov2003 0400</t>
  </si>
  <si>
    <t>16Nov2003 0500</t>
  </si>
  <si>
    <t>16Nov2003 0600</t>
  </si>
  <si>
    <t>16Nov2003 0700</t>
  </si>
  <si>
    <t>16Nov2003 0800</t>
  </si>
  <si>
    <t>16Nov2003 0900</t>
  </si>
  <si>
    <t>16Nov2003 1000</t>
  </si>
  <si>
    <t>16Nov2003 1100</t>
  </si>
  <si>
    <t>16Nov2003 1200</t>
  </si>
  <si>
    <t>16Nov2003 1300</t>
  </si>
  <si>
    <t>16Nov2003 1400</t>
  </si>
  <si>
    <t>16Nov2003 1500</t>
  </si>
  <si>
    <t>16Nov2003 1600</t>
  </si>
  <si>
    <t>16Nov2003 1700</t>
  </si>
  <si>
    <t>16Nov2003 1800</t>
  </si>
  <si>
    <t>16Nov2003 1900</t>
  </si>
  <si>
    <t>16Nov2003 2000</t>
  </si>
  <si>
    <t>16Nov2003 2100</t>
  </si>
  <si>
    <t>16Nov2003 2200</t>
  </si>
  <si>
    <t>16Nov2003 2300</t>
  </si>
  <si>
    <t>16Nov2003 2400</t>
  </si>
  <si>
    <t>17Nov2003 0100</t>
  </si>
  <si>
    <t>17Nov2003 0200</t>
  </si>
  <si>
    <t>17Nov2003 0300</t>
  </si>
  <si>
    <t>17Nov2003 0400</t>
  </si>
  <si>
    <t>17Nov2003 0500</t>
  </si>
  <si>
    <t>17Nov2003 0600</t>
  </si>
  <si>
    <t>17Nov2003 0700</t>
  </si>
  <si>
    <t>17Nov2003 0800</t>
  </si>
  <si>
    <t>17Nov2003 0900</t>
  </si>
  <si>
    <t>17Nov2003 1000</t>
  </si>
  <si>
    <t>17Nov2003 1100</t>
  </si>
  <si>
    <t>17Nov2003 1200</t>
  </si>
  <si>
    <t>17Nov2003 1300</t>
  </si>
  <si>
    <t>17Nov2003 1400</t>
  </si>
  <si>
    <t>17Nov2003 1500</t>
  </si>
  <si>
    <t>17Nov2003 1600</t>
  </si>
  <si>
    <t>17Nov2003 1700</t>
  </si>
  <si>
    <t>17Nov2003 1800</t>
  </si>
  <si>
    <t>17Nov2003 1900</t>
  </si>
  <si>
    <t>17Nov2003 2000</t>
  </si>
  <si>
    <t>17Nov2003 2100</t>
  </si>
  <si>
    <t>17Nov2003 2200</t>
  </si>
  <si>
    <t>17Nov2003 2300</t>
  </si>
  <si>
    <t>17Nov2003 2400</t>
  </si>
  <si>
    <t>18Nov2003 0100</t>
  </si>
  <si>
    <t>18Nov2003 0200</t>
  </si>
  <si>
    <t>18Nov2003 0300</t>
  </si>
  <si>
    <t>18Nov2003 0400</t>
  </si>
  <si>
    <t>18Nov2003 0500</t>
  </si>
  <si>
    <t>18Nov2003 0600</t>
  </si>
  <si>
    <t>18Nov2003 0700</t>
  </si>
  <si>
    <t>18Nov2003 0800</t>
  </si>
  <si>
    <t>18Nov2003 0900</t>
  </si>
  <si>
    <t>18Nov2003 1000</t>
  </si>
  <si>
    <t>18Nov2003 1100</t>
  </si>
  <si>
    <t>18Nov2003 1200</t>
  </si>
  <si>
    <t>18Nov2003 1300</t>
  </si>
  <si>
    <t>18Nov2003 1400</t>
  </si>
  <si>
    <t>18Nov2003 1500</t>
  </si>
  <si>
    <t>18Nov2003 1600</t>
  </si>
  <si>
    <t>18Nov2003 1700</t>
  </si>
  <si>
    <t>18Nov2003 1800</t>
  </si>
  <si>
    <t>18Nov2003 1900</t>
  </si>
  <si>
    <t>18Nov2003 2000</t>
  </si>
  <si>
    <t>18Nov2003 2100</t>
  </si>
  <si>
    <t>18Nov2003 2200</t>
  </si>
  <si>
    <t>18Nov2003 2300</t>
  </si>
  <si>
    <t>18Nov2003 2400</t>
  </si>
  <si>
    <t>19Nov2003 0100</t>
  </si>
  <si>
    <t>19Nov2003 0200</t>
  </si>
  <si>
    <t>19Nov2003 0300</t>
  </si>
  <si>
    <t>19Nov2003 0400</t>
  </si>
  <si>
    <t>19Nov2003 0500</t>
  </si>
  <si>
    <t>19Nov2003 0600</t>
  </si>
  <si>
    <t>19Nov2003 0700</t>
  </si>
  <si>
    <t>19Nov2003 0800</t>
  </si>
  <si>
    <t>19Nov2003 0900</t>
  </si>
  <si>
    <t>19Nov2003 1000</t>
  </si>
  <si>
    <t>19Nov2003 1100</t>
  </si>
  <si>
    <t>19Nov2003 1200</t>
  </si>
  <si>
    <t>19Nov2003 1300</t>
  </si>
  <si>
    <t>19Nov2003 1400</t>
  </si>
  <si>
    <t>19Nov2003 1500</t>
  </si>
  <si>
    <t>19Nov2003 1600</t>
  </si>
  <si>
    <t>19Nov2003 1700</t>
  </si>
  <si>
    <t>19Nov2003 1800</t>
  </si>
  <si>
    <t>19Nov2003 1900</t>
  </si>
  <si>
    <t>19Nov2003 2000</t>
  </si>
  <si>
    <t>19Nov2003 2100</t>
  </si>
  <si>
    <t>19Nov2003 2200</t>
  </si>
  <si>
    <t>19Nov2003 2300</t>
  </si>
  <si>
    <t>19Nov2003 2400</t>
  </si>
  <si>
    <t>20Nov2003 0100</t>
  </si>
  <si>
    <t>20Nov2003 0200</t>
  </si>
  <si>
    <t>20Nov2003 0300</t>
  </si>
  <si>
    <t>20Nov2003 0400</t>
  </si>
  <si>
    <t>20Nov2003 0500</t>
  </si>
  <si>
    <t>20Nov2003 0600</t>
  </si>
  <si>
    <t>20Nov2003 0700</t>
  </si>
  <si>
    <t>20Nov2003 0800</t>
  </si>
  <si>
    <t>20Nov2003 0900</t>
  </si>
  <si>
    <t>20Nov2003 1000</t>
  </si>
  <si>
    <t>20Nov2003 1100</t>
  </si>
  <si>
    <t>20Nov2003 1200</t>
  </si>
  <si>
    <t>20Nov2003 1300</t>
  </si>
  <si>
    <t>20Nov2003 1400</t>
  </si>
  <si>
    <t>20Nov2003 1500</t>
  </si>
  <si>
    <t>20Nov2003 1600</t>
  </si>
  <si>
    <t>20Nov2003 1700</t>
  </si>
  <si>
    <t>20Nov2003 1800</t>
  </si>
  <si>
    <t>20Nov2003 1900</t>
  </si>
  <si>
    <t>20Nov2003 2000</t>
  </si>
  <si>
    <t>20Nov2003 2100</t>
  </si>
  <si>
    <t>20Nov2003 2200</t>
  </si>
  <si>
    <t>20Nov2003 2300</t>
  </si>
  <si>
    <t>20Nov2003 2400</t>
  </si>
  <si>
    <t>21Nov2003 0100</t>
  </si>
  <si>
    <t>21Nov2003 0200</t>
  </si>
  <si>
    <t>21Nov2003 0300</t>
  </si>
  <si>
    <t>21Nov2003 0400</t>
  </si>
  <si>
    <t>21Nov2003 0500</t>
  </si>
  <si>
    <t>21Nov2003 0600</t>
  </si>
  <si>
    <t>21Nov2003 0700</t>
  </si>
  <si>
    <t>21Nov2003 0800</t>
  </si>
  <si>
    <t>21Nov2003 0900</t>
  </si>
  <si>
    <t>21Nov2003 1000</t>
  </si>
  <si>
    <t>21Nov2003 1100</t>
  </si>
  <si>
    <t>21Nov2003 1200</t>
  </si>
  <si>
    <t>21Nov2003 1300</t>
  </si>
  <si>
    <t>21Nov2003 1400</t>
  </si>
  <si>
    <t>21Nov2003 1500</t>
  </si>
  <si>
    <t>21Nov2003 1600</t>
  </si>
  <si>
    <t>21Nov2003 1700</t>
  </si>
  <si>
    <t>21Nov2003 1800</t>
  </si>
  <si>
    <t>21Nov2003 1900</t>
  </si>
  <si>
    <t>21Nov2003 2000</t>
  </si>
  <si>
    <t>21Nov2003 2100</t>
  </si>
  <si>
    <t>21Nov2003 2200</t>
  </si>
  <si>
    <t>21Nov2003 2300</t>
  </si>
  <si>
    <t>21Nov2003 2400</t>
  </si>
  <si>
    <t>22Nov2003 0100</t>
  </si>
  <si>
    <t>22Nov2003 0200</t>
  </si>
  <si>
    <t>22Nov2003 0300</t>
  </si>
  <si>
    <t>22Nov2003 0400</t>
  </si>
  <si>
    <t>22Nov2003 0500</t>
  </si>
  <si>
    <t>22Nov2003 0600</t>
  </si>
  <si>
    <t>22Nov2003 0700</t>
  </si>
  <si>
    <t>22Nov2003 0800</t>
  </si>
  <si>
    <t>22Nov2003 0900</t>
  </si>
  <si>
    <t>22Nov2003 1000</t>
  </si>
  <si>
    <t>22Nov2003 1100</t>
  </si>
  <si>
    <t>22Nov2003 1200</t>
  </si>
  <si>
    <t>22Nov2003 1300</t>
  </si>
  <si>
    <t>22Nov2003 1400</t>
  </si>
  <si>
    <t>22Nov2003 1500</t>
  </si>
  <si>
    <t>22Nov2003 1600</t>
  </si>
  <si>
    <t>22Nov2003 1700</t>
  </si>
  <si>
    <t>22Nov2003 1800</t>
  </si>
  <si>
    <t>22Nov2003 1900</t>
  </si>
  <si>
    <t>22Nov2003 2000</t>
  </si>
  <si>
    <t>22Nov2003 2100</t>
  </si>
  <si>
    <t>22Nov2003 2200</t>
  </si>
  <si>
    <t>22Nov2003 2300</t>
  </si>
  <si>
    <t>22Nov2003 2400</t>
  </si>
  <si>
    <t>23Nov2003 0100</t>
  </si>
  <si>
    <t>23Nov2003 0200</t>
  </si>
  <si>
    <t>23Nov2003 0300</t>
  </si>
  <si>
    <t>23Nov2003 0400</t>
  </si>
  <si>
    <t>23Nov2003 0500</t>
  </si>
  <si>
    <t>23Nov2003 0600</t>
  </si>
  <si>
    <t>23Nov2003 0700</t>
  </si>
  <si>
    <t>23Nov2003 0800</t>
  </si>
  <si>
    <t>23Nov2003 0900</t>
  </si>
  <si>
    <t>23Nov2003 1000</t>
  </si>
  <si>
    <t>23Nov2003 1100</t>
  </si>
  <si>
    <t>23Nov2003 1200</t>
  </si>
  <si>
    <t>23Nov2003 1300</t>
  </si>
  <si>
    <t>23Nov2003 1400</t>
  </si>
  <si>
    <t>23Nov2003 1500</t>
  </si>
  <si>
    <t>23Nov2003 1600</t>
  </si>
  <si>
    <t>23Nov2003 1700</t>
  </si>
  <si>
    <t>23Nov2003 1800</t>
  </si>
  <si>
    <t>23Nov2003 1900</t>
  </si>
  <si>
    <t>23Nov2003 2000</t>
  </si>
  <si>
    <t>23Nov2003 2100</t>
  </si>
  <si>
    <t>23Nov2003 2200</t>
  </si>
  <si>
    <t>23Nov2003 2300</t>
  </si>
  <si>
    <t>23Nov2003 2400</t>
  </si>
  <si>
    <t>24Nov2003 0100</t>
  </si>
  <si>
    <t>24Nov2003 0200</t>
  </si>
  <si>
    <t>24Nov2003 0300</t>
  </si>
  <si>
    <t>24Nov2003 0400</t>
  </si>
  <si>
    <t>24Nov2003 0500</t>
  </si>
  <si>
    <t>24Nov2003 0600</t>
  </si>
  <si>
    <t>24Nov2003 0700</t>
  </si>
  <si>
    <t>24Nov2003 0800</t>
  </si>
  <si>
    <t>24Nov2003 0900</t>
  </si>
  <si>
    <t>24Nov2003 1000</t>
  </si>
  <si>
    <t>24Nov2003 1100</t>
  </si>
  <si>
    <t>24Nov2003 1200</t>
  </si>
  <si>
    <t>24Nov2003 1300</t>
  </si>
  <si>
    <t>24Nov2003 1400</t>
  </si>
  <si>
    <t>24Nov2003 1500</t>
  </si>
  <si>
    <t>24Nov2003 1600</t>
  </si>
  <si>
    <t>24Nov2003 1700</t>
  </si>
  <si>
    <t>24Nov2003 1800</t>
  </si>
  <si>
    <t>24Nov2003 1900</t>
  </si>
  <si>
    <t>24Nov2003 2000</t>
  </si>
  <si>
    <t>24Nov2003 2100</t>
  </si>
  <si>
    <t>24Nov2003 2200</t>
  </si>
  <si>
    <t>24Nov2003 2300</t>
  </si>
  <si>
    <t>24Nov2003 2400</t>
  </si>
  <si>
    <t>25Nov2003 0100</t>
  </si>
  <si>
    <t>25Nov2003 0200</t>
  </si>
  <si>
    <t>25Nov2003 0300</t>
  </si>
  <si>
    <t>25Nov2003 0400</t>
  </si>
  <si>
    <t>25Nov2003 0500</t>
  </si>
  <si>
    <t>25Nov2003 0600</t>
  </si>
  <si>
    <t>25Nov2003 0700</t>
  </si>
  <si>
    <t>25Nov2003 0800</t>
  </si>
  <si>
    <t>25Nov2003 0900</t>
  </si>
  <si>
    <t>25Nov2003 1000</t>
  </si>
  <si>
    <t>25Nov2003 1100</t>
  </si>
  <si>
    <t>25Nov2003 1200</t>
  </si>
  <si>
    <t>25Nov2003 1300</t>
  </si>
  <si>
    <t>25Nov2003 1400</t>
  </si>
  <si>
    <t>25Nov2003 1500</t>
  </si>
  <si>
    <t>25Nov2003 1600</t>
  </si>
  <si>
    <t>25Nov2003 1700</t>
  </si>
  <si>
    <t>25Nov2003 1800</t>
  </si>
  <si>
    <t>25Nov2003 1900</t>
  </si>
  <si>
    <t>25Nov2003 2000</t>
  </si>
  <si>
    <t>25Nov2003 2100</t>
  </si>
  <si>
    <t>25Nov2003 2200</t>
  </si>
  <si>
    <t>25Nov2003 2300</t>
  </si>
  <si>
    <t>25Nov2003 2400</t>
  </si>
  <si>
    <t>26Nov2003 0100</t>
  </si>
  <si>
    <t>26Nov2003 0200</t>
  </si>
  <si>
    <t>26Nov2003 0300</t>
  </si>
  <si>
    <t>26Nov2003 0400</t>
  </si>
  <si>
    <t>26Nov2003 0500</t>
  </si>
  <si>
    <t>26Nov2003 0600</t>
  </si>
  <si>
    <t>26Nov2003 0700</t>
  </si>
  <si>
    <t>26Nov2003 0800</t>
  </si>
  <si>
    <t>26Nov2003 0900</t>
  </si>
  <si>
    <t>26Nov2003 1000</t>
  </si>
  <si>
    <t>26Nov2003 1100</t>
  </si>
  <si>
    <t>26Nov2003 1200</t>
  </si>
  <si>
    <t>26Nov2003 1300</t>
  </si>
  <si>
    <t>26Nov2003 1400</t>
  </si>
  <si>
    <t>26Nov2003 1500</t>
  </si>
  <si>
    <t>26Nov2003 1600</t>
  </si>
  <si>
    <t>26Nov2003 1700</t>
  </si>
  <si>
    <t>26Nov2003 1800</t>
  </si>
  <si>
    <t>26Nov2003 1900</t>
  </si>
  <si>
    <t>26Nov2003 2000</t>
  </si>
  <si>
    <t>26Nov2003 2100</t>
  </si>
  <si>
    <t>26Nov2003 2200</t>
  </si>
  <si>
    <t>26Nov2003 2300</t>
  </si>
  <si>
    <t>26Nov2003 2400</t>
  </si>
  <si>
    <t>27Nov2003 0100</t>
  </si>
  <si>
    <t>27Nov2003 0200</t>
  </si>
  <si>
    <t>27Nov2003 0300</t>
  </si>
  <si>
    <t>27Nov2003 0400</t>
  </si>
  <si>
    <t>27Nov2003 0500</t>
  </si>
  <si>
    <t>27Nov2003 0600</t>
  </si>
  <si>
    <t>27Nov2003 0700</t>
  </si>
  <si>
    <t>27Nov2003 0800</t>
  </si>
  <si>
    <t>27Nov2003 0900</t>
  </si>
  <si>
    <t>27Nov2003 1000</t>
  </si>
  <si>
    <t>27Nov2003 1100</t>
  </si>
  <si>
    <t>27Nov2003 1200</t>
  </si>
  <si>
    <t>27Nov2003 1300</t>
  </si>
  <si>
    <t>27Nov2003 1400</t>
  </si>
  <si>
    <t>27Nov2003 1500</t>
  </si>
  <si>
    <t>27Nov2003 1600</t>
  </si>
  <si>
    <t>27Nov2003 1700</t>
  </si>
  <si>
    <t>27Nov2003 1800</t>
  </si>
  <si>
    <t>27Nov2003 1900</t>
  </si>
  <si>
    <t>27Nov2003 2000</t>
  </si>
  <si>
    <t>27Nov2003 2100</t>
  </si>
  <si>
    <t>27Nov2003 2200</t>
  </si>
  <si>
    <t>27Nov2003 2300</t>
  </si>
  <si>
    <t>27Nov2003 2400</t>
  </si>
  <si>
    <t>28Nov2003 0100</t>
  </si>
  <si>
    <t>28Nov2003 0200</t>
  </si>
  <si>
    <t>28Nov2003 0300</t>
  </si>
  <si>
    <t>28Nov2003 0400</t>
  </si>
  <si>
    <t>28Nov2003 0500</t>
  </si>
  <si>
    <t>28Nov2003 0600</t>
  </si>
  <si>
    <t>28Nov2003 0700</t>
  </si>
  <si>
    <t>28Nov2003 0800</t>
  </si>
  <si>
    <t>28Nov2003 0900</t>
  </si>
  <si>
    <t>28Nov2003 1000</t>
  </si>
  <si>
    <t>28Nov2003 1100</t>
  </si>
  <si>
    <t>28Nov2003 1200</t>
  </si>
  <si>
    <t>Flow Stats Comparison w/ Calibration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</si>
</sst>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
    <numFmt numFmtId="165" formatCode="m/d/yy\ h:mm;@"/>
    <numFmt numFmtId="166" formatCode="[$-409]d\-mmm\-yyyy;@"/>
    <numFmt numFmtId="167" formatCode="#,##0.0_);\(#,##0.0\)"/>
    <numFmt numFmtId="168" formatCode="0.0"/>
    <numFmt numFmtId="169" formatCode="0.000"/>
    <numFmt numFmtId="170" formatCode="0.00_);\(0.00\)"/>
    <numFmt numFmtId="171" formatCode="0.0000"/>
  </numFmts>
  <fonts count="10" x14ac:knownFonts="1">
    <font>
      <sz val="11"/>
      <color theme="1"/>
      <name val="Calibri"/>
      <family val="2"/>
      <scheme val="minor"/>
    </font>
    <font>
      <sz val="11"/>
      <color theme="1"/>
      <name val="Calibri"/>
      <family val="2"/>
      <scheme val="minor"/>
    </font>
    <font>
      <b/>
      <sz val="11"/>
      <color theme="1"/>
      <name val="Calibri"/>
      <family val="2"/>
      <scheme val="minor"/>
    </font>
    <font>
      <b/>
      <i/>
      <sz val="18"/>
      <color theme="1"/>
      <name val="Calibri"/>
      <family val="2"/>
      <scheme val="minor"/>
    </font>
    <font>
      <vertAlign val="superscript"/>
      <sz val="11"/>
      <color theme="1"/>
      <name val="Calibri"/>
      <family val="2"/>
      <scheme val="minor"/>
    </font>
    <font>
      <sz val="11"/>
      <name val="Calibri"/>
      <family val="2"/>
      <scheme val="minor"/>
    </font>
    <font>
      <sz val="8"/>
      <name val="Calibri"/>
      <family val="2"/>
      <scheme val="minor"/>
    </font>
    <font>
      <u/>
      <sz val="11"/>
      <color theme="10"/>
      <name val="Calibri"/>
      <family val="2"/>
      <scheme val="minor"/>
    </font>
    <font>
      <b/>
      <i/>
      <sz val="14"/>
      <color theme="1"/>
      <name val="Calibri"/>
      <family val="2"/>
      <scheme val="minor"/>
    </font>
    <font>
      <i/>
      <sz val="14"/>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5"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auto="1"/>
      </top>
      <bottom style="thin">
        <color indexed="64"/>
      </bottom>
      <diagonal/>
    </border>
    <border>
      <left style="thin">
        <color auto="1"/>
      </left>
      <right style="medium">
        <color auto="1"/>
      </right>
      <top style="medium">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166" fontId="1" fillId="0" borderId="0"/>
    <xf numFmtId="166" fontId="1" fillId="0" borderId="0"/>
    <xf numFmtId="0" fontId="7" fillId="0" borderId="0" applyNumberFormat="0" applyFill="0" applyBorder="0" applyAlignment="0" applyProtection="0"/>
  </cellStyleXfs>
  <cellXfs count="112">
    <xf numFmtId="0" fontId="0" fillId="0" borderId="0" xfId="0"/>
    <xf numFmtId="0" fontId="2" fillId="0" borderId="0" xfId="0" applyFont="1" applyAlignment="1">
      <alignment horizontal="center" vertical="center"/>
    </xf>
    <xf numFmtId="164" fontId="0" fillId="0" borderId="0" xfId="0" applyNumberFormat="1"/>
    <xf numFmtId="0" fontId="0" fillId="0" borderId="0" xfId="0" applyAlignment="1">
      <alignment vertical="center" wrapText="1"/>
    </xf>
    <xf numFmtId="2" fontId="3" fillId="0" borderId="0" xfId="3" applyNumberFormat="1" applyFont="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0" xfId="0" applyFill="1"/>
    <xf numFmtId="0" fontId="2" fillId="2" borderId="0" xfId="0" applyFont="1" applyFill="1" applyAlignment="1">
      <alignment horizontal="center"/>
    </xf>
    <xf numFmtId="167" fontId="0" fillId="2" borderId="0" xfId="1" applyNumberFormat="1" applyFont="1" applyFill="1" applyBorder="1" applyAlignment="1">
      <alignment horizontal="center"/>
    </xf>
    <xf numFmtId="0" fontId="2" fillId="2" borderId="0" xfId="0" applyFont="1" applyFill="1" applyAlignment="1">
      <alignment horizontal="right"/>
    </xf>
    <xf numFmtId="0" fontId="0" fillId="2" borderId="12" xfId="0" applyFill="1" applyBorder="1"/>
    <xf numFmtId="0" fontId="0" fillId="2" borderId="13" xfId="0" applyFill="1" applyBorder="1"/>
    <xf numFmtId="0" fontId="0" fillId="2" borderId="14" xfId="0" applyFill="1" applyBorder="1"/>
    <xf numFmtId="14" fontId="0" fillId="0" borderId="0" xfId="0" applyNumberFormat="1"/>
    <xf numFmtId="2" fontId="0" fillId="3" borderId="15" xfId="3" applyNumberFormat="1" applyFont="1" applyFill="1" applyBorder="1"/>
    <xf numFmtId="2" fontId="0" fillId="3" borderId="16" xfId="4" applyNumberFormat="1" applyFont="1" applyFill="1" applyBorder="1" applyAlignment="1">
      <alignment horizontal="center" vertical="center"/>
    </xf>
    <xf numFmtId="2" fontId="0" fillId="0" borderId="16" xfId="4" applyNumberFormat="1" applyFont="1" applyBorder="1" applyAlignment="1">
      <alignment horizontal="center" vertical="center"/>
    </xf>
    <xf numFmtId="2" fontId="0" fillId="0" borderId="17" xfId="4" applyNumberFormat="1" applyFont="1" applyBorder="1" applyAlignment="1">
      <alignment horizontal="center" vertical="center"/>
    </xf>
    <xf numFmtId="164" fontId="0" fillId="0" borderId="0" xfId="0" applyNumberFormat="1" applyAlignment="1">
      <alignment wrapText="1"/>
    </xf>
    <xf numFmtId="3" fontId="0" fillId="0" borderId="0" xfId="0" applyNumberFormat="1"/>
    <xf numFmtId="164" fontId="2" fillId="4" borderId="4" xfId="0" applyNumberFormat="1" applyFont="1" applyFill="1" applyBorder="1" applyAlignment="1">
      <alignment horizontal="center" vertical="center" wrapText="1"/>
    </xf>
    <xf numFmtId="164" fontId="2" fillId="4" borderId="3" xfId="0" applyNumberFormat="1" applyFont="1" applyFill="1" applyBorder="1" applyAlignment="1">
      <alignment horizontal="center" vertical="center"/>
    </xf>
    <xf numFmtId="3" fontId="0" fillId="0" borderId="0" xfId="0" applyNumberFormat="1" applyAlignment="1">
      <alignment vertical="center" wrapText="1"/>
    </xf>
    <xf numFmtId="165" fontId="0" fillId="0" borderId="0" xfId="0" applyNumberFormat="1" applyAlignment="1">
      <alignment horizontal="center"/>
    </xf>
    <xf numFmtId="4" fontId="0" fillId="0" borderId="0" xfId="0" applyNumberFormat="1" applyAlignment="1">
      <alignment vertical="center" wrapText="1"/>
    </xf>
    <xf numFmtId="164" fontId="0" fillId="0" borderId="0" xfId="0" applyNumberFormat="1" applyAlignment="1">
      <alignment horizontal="center"/>
    </xf>
    <xf numFmtId="164" fontId="5" fillId="0" borderId="0" xfId="0" applyNumberFormat="1" applyFont="1"/>
    <xf numFmtId="2" fontId="0" fillId="3" borderId="18" xfId="3" applyNumberFormat="1" applyFont="1" applyFill="1" applyBorder="1" applyAlignment="1">
      <alignment horizontal="center"/>
    </xf>
    <xf numFmtId="169" fontId="2" fillId="0" borderId="19" xfId="3" applyNumberFormat="1" applyFont="1" applyBorder="1" applyAlignment="1">
      <alignment horizontal="center"/>
    </xf>
    <xf numFmtId="169" fontId="2" fillId="0" borderId="20" xfId="3" applyNumberFormat="1" applyFont="1" applyBorder="1" applyAlignment="1">
      <alignment horizontal="center"/>
    </xf>
    <xf numFmtId="2" fontId="0" fillId="0" borderId="0" xfId="0" applyNumberFormat="1"/>
    <xf numFmtId="4" fontId="0" fillId="0" borderId="0" xfId="0" applyNumberFormat="1"/>
    <xf numFmtId="4" fontId="0" fillId="0" borderId="0" xfId="0" applyNumberFormat="1" applyAlignment="1">
      <alignment horizontal="center"/>
    </xf>
    <xf numFmtId="3" fontId="0" fillId="0" borderId="0" xfId="0" applyNumberFormat="1" applyAlignment="1">
      <alignment horizontal="center"/>
    </xf>
    <xf numFmtId="170" fontId="0" fillId="0" borderId="0" xfId="0" applyNumberFormat="1" applyAlignment="1">
      <alignment horizontal="center"/>
    </xf>
    <xf numFmtId="170" fontId="0" fillId="0" borderId="0" xfId="0" applyNumberFormat="1"/>
    <xf numFmtId="0" fontId="0" fillId="0" borderId="0" xfId="0" applyAlignment="1">
      <alignment horizontal="center"/>
    </xf>
    <xf numFmtId="0" fontId="2" fillId="4" borderId="6" xfId="0" applyFont="1" applyFill="1" applyBorder="1" applyAlignment="1">
      <alignment horizontal="center" vertical="center" wrapText="1"/>
    </xf>
    <xf numFmtId="164" fontId="2" fillId="4" borderId="3" xfId="0" applyNumberFormat="1" applyFont="1" applyFill="1" applyBorder="1" applyAlignment="1">
      <alignment horizontal="center" vertical="center" wrapText="1"/>
    </xf>
    <xf numFmtId="0" fontId="0" fillId="0" borderId="0" xfId="0" applyAlignment="1">
      <alignment horizontal="center" vertical="center" wrapText="1"/>
    </xf>
    <xf numFmtId="0" fontId="0" fillId="3" borderId="0" xfId="0" applyFill="1"/>
    <xf numFmtId="0" fontId="0" fillId="0" borderId="0" xfId="0" applyAlignment="1">
      <alignment wrapText="1"/>
    </xf>
    <xf numFmtId="0" fontId="0" fillId="0" borderId="0" xfId="0" applyAlignment="1">
      <alignment horizontal="center" wrapText="1"/>
    </xf>
    <xf numFmtId="164" fontId="0" fillId="0" borderId="0" xfId="0" applyNumberFormat="1" applyAlignment="1">
      <alignment horizontal="center" vertical="center" wrapText="1"/>
    </xf>
    <xf numFmtId="0" fontId="7" fillId="0" borderId="0" xfId="5"/>
    <xf numFmtId="0" fontId="0" fillId="0" borderId="0" xfId="0" quotePrefix="1"/>
    <xf numFmtId="165" fontId="0" fillId="4" borderId="0" xfId="0" applyNumberFormat="1" applyFill="1" applyAlignment="1">
      <alignment horizontal="center"/>
    </xf>
    <xf numFmtId="0" fontId="0" fillId="0" borderId="8" xfId="0" applyBorder="1"/>
    <xf numFmtId="0" fontId="0" fillId="0" borderId="9" xfId="0" applyBorder="1"/>
    <xf numFmtId="0" fontId="8" fillId="0" borderId="11" xfId="0" applyFont="1" applyBorder="1"/>
    <xf numFmtId="0" fontId="0" fillId="0" borderId="11" xfId="0" applyBorder="1"/>
    <xf numFmtId="168" fontId="0" fillId="2" borderId="0" xfId="2" applyNumberFormat="1" applyFont="1" applyFill="1" applyBorder="1" applyAlignment="1">
      <alignment horizontal="center"/>
    </xf>
    <xf numFmtId="0" fontId="2" fillId="2" borderId="0" xfId="0" applyFont="1" applyFill="1"/>
    <xf numFmtId="0" fontId="0" fillId="0" borderId="10" xfId="0" applyBorder="1"/>
    <xf numFmtId="0" fontId="8" fillId="0" borderId="0" xfId="0" applyFont="1"/>
    <xf numFmtId="0" fontId="0" fillId="0" borderId="12" xfId="0" applyBorder="1"/>
    <xf numFmtId="0" fontId="0" fillId="0" borderId="13" xfId="0" applyBorder="1"/>
    <xf numFmtId="0" fontId="0" fillId="0" borderId="14" xfId="0" applyBorder="1"/>
    <xf numFmtId="0" fontId="0" fillId="4" borderId="0" xfId="0" applyFill="1" applyAlignment="1">
      <alignment horizontal="center"/>
    </xf>
    <xf numFmtId="0" fontId="0" fillId="4" borderId="0" xfId="0" applyFill="1" applyAlignment="1">
      <alignment horizontal="centerContinuous"/>
    </xf>
    <xf numFmtId="0" fontId="0" fillId="0" borderId="7" xfId="0" applyBorder="1"/>
    <xf numFmtId="2" fontId="0" fillId="0" borderId="8" xfId="0" applyNumberFormat="1" applyBorder="1"/>
    <xf numFmtId="0" fontId="2" fillId="2" borderId="11" xfId="0" applyFont="1" applyFill="1" applyBorder="1" applyAlignment="1">
      <alignment horizontal="center"/>
    </xf>
    <xf numFmtId="167" fontId="0" fillId="2" borderId="11" xfId="1" applyNumberFormat="1" applyFont="1" applyFill="1" applyBorder="1" applyAlignment="1">
      <alignment horizontal="center"/>
    </xf>
    <xf numFmtId="0" fontId="2" fillId="2" borderId="13" xfId="0" applyFont="1" applyFill="1" applyBorder="1"/>
    <xf numFmtId="0" fontId="2" fillId="2" borderId="13" xfId="0" applyFont="1" applyFill="1" applyBorder="1" applyAlignment="1">
      <alignment horizontal="right"/>
    </xf>
    <xf numFmtId="168" fontId="0" fillId="2" borderId="13" xfId="2" applyNumberFormat="1" applyFont="1" applyFill="1" applyBorder="1" applyAlignment="1">
      <alignment horizontal="center"/>
    </xf>
    <xf numFmtId="168" fontId="0" fillId="2" borderId="14" xfId="2" applyNumberFormat="1" applyFont="1" applyFill="1" applyBorder="1" applyAlignment="1">
      <alignment horizontal="center"/>
    </xf>
    <xf numFmtId="2" fontId="0" fillId="3" borderId="1" xfId="4" applyNumberFormat="1" applyFont="1" applyFill="1" applyBorder="1" applyAlignment="1">
      <alignment horizontal="center" vertical="center"/>
    </xf>
    <xf numFmtId="0" fontId="8" fillId="0" borderId="15" xfId="0" applyFont="1" applyBorder="1"/>
    <xf numFmtId="0" fontId="8" fillId="0" borderId="16" xfId="0" applyFont="1" applyBorder="1"/>
    <xf numFmtId="0" fontId="8" fillId="0" borderId="17" xfId="0" applyFont="1" applyBorder="1"/>
    <xf numFmtId="2" fontId="0" fillId="3" borderId="23" xfId="3" applyNumberFormat="1" applyFont="1" applyFill="1" applyBorder="1"/>
    <xf numFmtId="2" fontId="0" fillId="0" borderId="24" xfId="4" applyNumberFormat="1" applyFont="1" applyBorder="1" applyAlignment="1">
      <alignment horizontal="center" vertical="center"/>
    </xf>
    <xf numFmtId="0" fontId="2" fillId="0" borderId="0" xfId="0" applyFont="1" applyAlignment="1">
      <alignment horizontal="right"/>
    </xf>
    <xf numFmtId="2" fontId="9" fillId="0" borderId="0" xfId="3" applyNumberFormat="1" applyFont="1"/>
    <xf numFmtId="0" fontId="0" fillId="0" borderId="0" xfId="0" applyAlignment="1">
      <alignment horizontal="left" wrapText="1"/>
    </xf>
    <xf numFmtId="0" fontId="2" fillId="4" borderId="6" xfId="0" applyFont="1" applyFill="1" applyBorder="1" applyAlignment="1">
      <alignment horizontal="center" vertical="center"/>
    </xf>
    <xf numFmtId="165" fontId="0" fillId="0" borderId="0" xfId="0" applyNumberFormat="1"/>
    <xf numFmtId="164" fontId="2" fillId="5" borderId="3" xfId="0" applyNumberFormat="1" applyFont="1" applyFill="1" applyBorder="1" applyAlignment="1">
      <alignment horizontal="center" vertical="center"/>
    </xf>
    <xf numFmtId="164" fontId="2" fillId="5" borderId="3" xfId="0" applyNumberFormat="1" applyFont="1" applyFill="1" applyBorder="1" applyAlignment="1">
      <alignment horizontal="center" vertical="center" wrapText="1"/>
    </xf>
    <xf numFmtId="164" fontId="2" fillId="5" borderId="4" xfId="0" applyNumberFormat="1" applyFont="1" applyFill="1" applyBorder="1" applyAlignment="1">
      <alignment horizontal="center" vertical="center" wrapText="1"/>
    </xf>
    <xf numFmtId="0" fontId="2" fillId="5" borderId="6" xfId="0" applyFont="1" applyFill="1" applyBorder="1" applyAlignment="1">
      <alignment horizontal="center" vertical="center" wrapText="1"/>
    </xf>
    <xf numFmtId="165" fontId="0" fillId="5" borderId="0" xfId="0" applyNumberFormat="1" applyFill="1" applyAlignment="1">
      <alignment horizontal="center"/>
    </xf>
    <xf numFmtId="0" fontId="0" fillId="5" borderId="0" xfId="0" applyFill="1"/>
    <xf numFmtId="165" fontId="0" fillId="5" borderId="0" xfId="0" applyNumberFormat="1" applyFill="1"/>
    <xf numFmtId="164" fontId="2" fillId="5" borderId="1" xfId="0" applyNumberFormat="1" applyFont="1" applyFill="1" applyBorder="1" applyAlignment="1">
      <alignment horizontal="center" vertical="center"/>
    </xf>
    <xf numFmtId="171" fontId="0" fillId="0" borderId="0" xfId="0" applyNumberFormat="1"/>
    <xf numFmtId="169" fontId="0" fillId="0" borderId="0" xfId="0" applyNumberFormat="1"/>
    <xf numFmtId="168" fontId="0" fillId="4" borderId="0" xfId="0" applyNumberFormat="1" applyFill="1" applyAlignment="1">
      <alignment horizontal="center"/>
    </xf>
    <xf numFmtId="1" fontId="0" fillId="4" borderId="0" xfId="0" applyNumberFormat="1" applyFill="1" applyAlignment="1">
      <alignment horizontal="center"/>
    </xf>
    <xf numFmtId="164" fontId="2" fillId="5" borderId="1" xfId="0" applyNumberFormat="1" applyFont="1" applyFill="1" applyBorder="1" applyAlignment="1">
      <alignment horizontal="center" vertical="center" wrapText="1"/>
    </xf>
    <xf numFmtId="164" fontId="2" fillId="5" borderId="6" xfId="0" applyNumberFormat="1" applyFont="1" applyFill="1" applyBorder="1" applyAlignment="1">
      <alignment horizontal="center" vertical="center"/>
    </xf>
    <xf numFmtId="164" fontId="2" fillId="5" borderId="5" xfId="0" applyNumberFormat="1" applyFont="1" applyFill="1" applyBorder="1" applyAlignment="1">
      <alignment horizontal="center" vertical="center"/>
    </xf>
    <xf numFmtId="171" fontId="2" fillId="0" borderId="19" xfId="3" applyNumberFormat="1" applyFont="1" applyBorder="1" applyAlignment="1">
      <alignment horizontal="center"/>
    </xf>
    <xf numFmtId="171" fontId="2" fillId="0" borderId="20" xfId="3" applyNumberFormat="1" applyFont="1" applyBorder="1" applyAlignment="1">
      <alignment horizontal="center"/>
    </xf>
    <xf numFmtId="0" fontId="0" fillId="0" borderId="0" xfId="0" applyAlignment="1">
      <alignment horizontal="left" wrapText="1"/>
    </xf>
    <xf numFmtId="0" fontId="0" fillId="0" borderId="0" xfId="0" applyAlignment="1">
      <alignment horizontal="left" vertical="top"/>
    </xf>
    <xf numFmtId="0" fontId="0" fillId="3" borderId="0" xfId="0" applyFill="1" applyAlignment="1">
      <alignment horizontal="left" vertical="top"/>
    </xf>
    <xf numFmtId="165" fontId="0" fillId="0" borderId="0" xfId="0" applyNumberFormat="1" applyAlignment="1">
      <alignment horizontal="center"/>
    </xf>
    <xf numFmtId="164" fontId="2" fillId="4" borderId="2" xfId="0" applyNumberFormat="1" applyFont="1" applyFill="1" applyBorder="1" applyAlignment="1">
      <alignment horizontal="center" vertical="center" wrapText="1"/>
    </xf>
    <xf numFmtId="164" fontId="2" fillId="4" borderId="22" xfId="0" applyNumberFormat="1" applyFont="1" applyFill="1" applyBorder="1" applyAlignment="1">
      <alignment horizontal="center" vertical="center" wrapText="1"/>
    </xf>
    <xf numFmtId="164" fontId="2" fillId="4" borderId="21" xfId="0" applyNumberFormat="1"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4" xfId="0" applyFont="1" applyFill="1" applyBorder="1" applyAlignment="1">
      <alignment horizontal="center" vertical="center" wrapText="1"/>
    </xf>
    <xf numFmtId="0" fontId="2" fillId="4" borderId="6" xfId="0" applyFont="1" applyFill="1" applyBorder="1" applyAlignment="1">
      <alignment horizontal="center" vertical="center"/>
    </xf>
    <xf numFmtId="0" fontId="2" fillId="4" borderId="4" xfId="0" applyFont="1" applyFill="1" applyBorder="1" applyAlignment="1">
      <alignment horizontal="center" vertical="center"/>
    </xf>
    <xf numFmtId="165" fontId="2" fillId="5" borderId="4" xfId="0" applyNumberFormat="1" applyFont="1" applyFill="1" applyBorder="1" applyAlignment="1">
      <alignment horizontal="center" vertical="center"/>
    </xf>
    <xf numFmtId="165" fontId="2" fillId="5" borderId="6" xfId="0" applyNumberFormat="1" applyFont="1" applyFill="1" applyBorder="1" applyAlignment="1">
      <alignment horizontal="center" vertical="center"/>
    </xf>
  </cellXfs>
  <cellStyles count="6">
    <cellStyle name="Comma" xfId="1" builtinId="3"/>
    <cellStyle name="Hyperlink" xfId="5" builtinId="8"/>
    <cellStyle name="Normal" xfId="0" builtinId="0"/>
    <cellStyle name="Normal 8" xfId="3" xr:uid="{00000000-0005-0000-0000-000002000000}"/>
    <cellStyle name="Normal 8 2 2 2 2" xfId="4" xr:uid="{00000000-0005-0000-0000-000003000000}"/>
    <cellStyle name="Percent" xfId="2" builtinId="5"/>
  </cellStyles>
  <dxfs count="32">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00B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92D050"/>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1850890797741188E-2"/>
          <c:y val="3.6361385787541632E-2"/>
          <c:w val="0.87891931122246081"/>
          <c:h val="0.80272010253249593"/>
        </c:manualLayout>
      </c:layout>
      <c:scatterChart>
        <c:scatterStyle val="lineMarker"/>
        <c:varyColors val="0"/>
        <c:ser>
          <c:idx val="0"/>
          <c:order val="0"/>
          <c:tx>
            <c:strRef>
              <c:f>Gage_and_Event!$P$2</c:f>
              <c:strCache>
                <c:ptCount val="1"/>
                <c:pt idx="0">
                  <c:v>Observed</c:v>
                </c:pt>
              </c:strCache>
            </c:strRef>
          </c:tx>
          <c:spPr>
            <a:ln w="19050">
              <a:solidFill>
                <a:schemeClr val="tx1">
                  <a:lumMod val="75000"/>
                  <a:lumOff val="25000"/>
                </a:schemeClr>
              </a:solidFill>
              <a:prstDash val="dash"/>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Gage_and_Event!$Q$5:$Q$2000</c:f>
              <c:numCache>
                <c:formatCode>General</c:formatCode>
                <c:ptCount val="1996"/>
                <c:pt idx="1">
                  <c:v>1010</c:v>
                </c:pt>
                <c:pt idx="2">
                  <c:v>1020</c:v>
                </c:pt>
                <c:pt idx="3">
                  <c:v>1020</c:v>
                </c:pt>
                <c:pt idx="4">
                  <c:v>1040</c:v>
                </c:pt>
                <c:pt idx="5">
                  <c:v>1050</c:v>
                </c:pt>
                <c:pt idx="6">
                  <c:v>1070</c:v>
                </c:pt>
                <c:pt idx="7">
                  <c:v>1140</c:v>
                </c:pt>
                <c:pt idx="8">
                  <c:v>1220</c:v>
                </c:pt>
                <c:pt idx="9">
                  <c:v>1310</c:v>
                </c:pt>
                <c:pt idx="10">
                  <c:v>1390</c:v>
                </c:pt>
                <c:pt idx="11">
                  <c:v>1410</c:v>
                </c:pt>
                <c:pt idx="12">
                  <c:v>1430</c:v>
                </c:pt>
                <c:pt idx="13">
                  <c:v>1460</c:v>
                </c:pt>
                <c:pt idx="14">
                  <c:v>1500</c:v>
                </c:pt>
                <c:pt idx="15">
                  <c:v>1530</c:v>
                </c:pt>
                <c:pt idx="16">
                  <c:v>1560</c:v>
                </c:pt>
                <c:pt idx="17">
                  <c:v>1580</c:v>
                </c:pt>
                <c:pt idx="18">
                  <c:v>1590</c:v>
                </c:pt>
                <c:pt idx="19">
                  <c:v>1590</c:v>
                </c:pt>
                <c:pt idx="20">
                  <c:v>1580</c:v>
                </c:pt>
                <c:pt idx="21">
                  <c:v>1560</c:v>
                </c:pt>
                <c:pt idx="22">
                  <c:v>1560</c:v>
                </c:pt>
                <c:pt idx="23">
                  <c:v>1550</c:v>
                </c:pt>
                <c:pt idx="24">
                  <c:v>1530</c:v>
                </c:pt>
                <c:pt idx="25">
                  <c:v>1530</c:v>
                </c:pt>
                <c:pt idx="26">
                  <c:v>1510</c:v>
                </c:pt>
                <c:pt idx="27">
                  <c:v>1500</c:v>
                </c:pt>
                <c:pt idx="28">
                  <c:v>1500</c:v>
                </c:pt>
                <c:pt idx="29">
                  <c:v>1480</c:v>
                </c:pt>
                <c:pt idx="30">
                  <c:v>1460</c:v>
                </c:pt>
                <c:pt idx="31">
                  <c:v>1430</c:v>
                </c:pt>
                <c:pt idx="32">
                  <c:v>1410</c:v>
                </c:pt>
                <c:pt idx="33">
                  <c:v>1380</c:v>
                </c:pt>
                <c:pt idx="34">
                  <c:v>1350</c:v>
                </c:pt>
                <c:pt idx="35">
                  <c:v>1320</c:v>
                </c:pt>
                <c:pt idx="36">
                  <c:v>1300</c:v>
                </c:pt>
                <c:pt idx="37">
                  <c:v>1260</c:v>
                </c:pt>
                <c:pt idx="38">
                  <c:v>1240</c:v>
                </c:pt>
                <c:pt idx="39">
                  <c:v>1210</c:v>
                </c:pt>
                <c:pt idx="40">
                  <c:v>1190</c:v>
                </c:pt>
                <c:pt idx="41">
                  <c:v>1160</c:v>
                </c:pt>
                <c:pt idx="42">
                  <c:v>1140</c:v>
                </c:pt>
                <c:pt idx="43">
                  <c:v>1110</c:v>
                </c:pt>
                <c:pt idx="44">
                  <c:v>1080</c:v>
                </c:pt>
                <c:pt idx="45">
                  <c:v>1060</c:v>
                </c:pt>
                <c:pt idx="46">
                  <c:v>1040</c:v>
                </c:pt>
                <c:pt idx="47">
                  <c:v>1020</c:v>
                </c:pt>
                <c:pt idx="48">
                  <c:v>999</c:v>
                </c:pt>
                <c:pt idx="49">
                  <c:v>978</c:v>
                </c:pt>
                <c:pt idx="50">
                  <c:v>958</c:v>
                </c:pt>
                <c:pt idx="51">
                  <c:v>939</c:v>
                </c:pt>
                <c:pt idx="52">
                  <c:v>919</c:v>
                </c:pt>
                <c:pt idx="53">
                  <c:v>900</c:v>
                </c:pt>
                <c:pt idx="54">
                  <c:v>880</c:v>
                </c:pt>
                <c:pt idx="55">
                  <c:v>866</c:v>
                </c:pt>
                <c:pt idx="56">
                  <c:v>852</c:v>
                </c:pt>
                <c:pt idx="57">
                  <c:v>834</c:v>
                </c:pt>
                <c:pt idx="58">
                  <c:v>824</c:v>
                </c:pt>
                <c:pt idx="59">
                  <c:v>806</c:v>
                </c:pt>
                <c:pt idx="60">
                  <c:v>788</c:v>
                </c:pt>
                <c:pt idx="61">
                  <c:v>770</c:v>
                </c:pt>
                <c:pt idx="62">
                  <c:v>757</c:v>
                </c:pt>
                <c:pt idx="63">
                  <c:v>744</c:v>
                </c:pt>
                <c:pt idx="64">
                  <c:v>731</c:v>
                </c:pt>
                <c:pt idx="65">
                  <c:v>718</c:v>
                </c:pt>
                <c:pt idx="66">
                  <c:v>706</c:v>
                </c:pt>
                <c:pt idx="67">
                  <c:v>693</c:v>
                </c:pt>
                <c:pt idx="68">
                  <c:v>684</c:v>
                </c:pt>
                <c:pt idx="69">
                  <c:v>671</c:v>
                </c:pt>
                <c:pt idx="70">
                  <c:v>659</c:v>
                </c:pt>
                <c:pt idx="71">
                  <c:v>650</c:v>
                </c:pt>
                <c:pt idx="72">
                  <c:v>642</c:v>
                </c:pt>
                <c:pt idx="73">
                  <c:v>630</c:v>
                </c:pt>
                <c:pt idx="74">
                  <c:v>617</c:v>
                </c:pt>
                <c:pt idx="75">
                  <c:v>609</c:v>
                </c:pt>
                <c:pt idx="76">
                  <c:v>601</c:v>
                </c:pt>
                <c:pt idx="77">
                  <c:v>593</c:v>
                </c:pt>
                <c:pt idx="78">
                  <c:v>582</c:v>
                </c:pt>
                <c:pt idx="79">
                  <c:v>574</c:v>
                </c:pt>
                <c:pt idx="80">
                  <c:v>562</c:v>
                </c:pt>
                <c:pt idx="81">
                  <c:v>558</c:v>
                </c:pt>
                <c:pt idx="82">
                  <c:v>551</c:v>
                </c:pt>
                <c:pt idx="83">
                  <c:v>543</c:v>
                </c:pt>
                <c:pt idx="84">
                  <c:v>536</c:v>
                </c:pt>
                <c:pt idx="85">
                  <c:v>532</c:v>
                </c:pt>
                <c:pt idx="86">
                  <c:v>525</c:v>
                </c:pt>
                <c:pt idx="87">
                  <c:v>517</c:v>
                </c:pt>
                <c:pt idx="88">
                  <c:v>514</c:v>
                </c:pt>
                <c:pt idx="89">
                  <c:v>506</c:v>
                </c:pt>
                <c:pt idx="90">
                  <c:v>503</c:v>
                </c:pt>
                <c:pt idx="91">
                  <c:v>495</c:v>
                </c:pt>
                <c:pt idx="92">
                  <c:v>488</c:v>
                </c:pt>
                <c:pt idx="93">
                  <c:v>481</c:v>
                </c:pt>
                <c:pt idx="94">
                  <c:v>474</c:v>
                </c:pt>
                <c:pt idx="95">
                  <c:v>474</c:v>
                </c:pt>
                <c:pt idx="96">
                  <c:v>467</c:v>
                </c:pt>
                <c:pt idx="97">
                  <c:v>460</c:v>
                </c:pt>
                <c:pt idx="98">
                  <c:v>456</c:v>
                </c:pt>
                <c:pt idx="99">
                  <c:v>453</c:v>
                </c:pt>
                <c:pt idx="100">
                  <c:v>446</c:v>
                </c:pt>
                <c:pt idx="101">
                  <c:v>443</c:v>
                </c:pt>
                <c:pt idx="102">
                  <c:v>439</c:v>
                </c:pt>
                <c:pt idx="103">
                  <c:v>432</c:v>
                </c:pt>
                <c:pt idx="104">
                  <c:v>429</c:v>
                </c:pt>
                <c:pt idx="105">
                  <c:v>422</c:v>
                </c:pt>
                <c:pt idx="106">
                  <c:v>419</c:v>
                </c:pt>
                <c:pt idx="107">
                  <c:v>416</c:v>
                </c:pt>
                <c:pt idx="108">
                  <c:v>413</c:v>
                </c:pt>
                <c:pt idx="109">
                  <c:v>406</c:v>
                </c:pt>
                <c:pt idx="110">
                  <c:v>406</c:v>
                </c:pt>
                <c:pt idx="111">
                  <c:v>403</c:v>
                </c:pt>
                <c:pt idx="112">
                  <c:v>400</c:v>
                </c:pt>
                <c:pt idx="113">
                  <c:v>394</c:v>
                </c:pt>
                <c:pt idx="114">
                  <c:v>394</c:v>
                </c:pt>
                <c:pt idx="115">
                  <c:v>391</c:v>
                </c:pt>
                <c:pt idx="116">
                  <c:v>388</c:v>
                </c:pt>
                <c:pt idx="117">
                  <c:v>385</c:v>
                </c:pt>
                <c:pt idx="118">
                  <c:v>382</c:v>
                </c:pt>
                <c:pt idx="119">
                  <c:v>379</c:v>
                </c:pt>
                <c:pt idx="120">
                  <c:v>376</c:v>
                </c:pt>
                <c:pt idx="121">
                  <c:v>373</c:v>
                </c:pt>
                <c:pt idx="122">
                  <c:v>370</c:v>
                </c:pt>
                <c:pt idx="123">
                  <c:v>370</c:v>
                </c:pt>
                <c:pt idx="124">
                  <c:v>367</c:v>
                </c:pt>
                <c:pt idx="125">
                  <c:v>364</c:v>
                </c:pt>
                <c:pt idx="126">
                  <c:v>364</c:v>
                </c:pt>
                <c:pt idx="127">
                  <c:v>361</c:v>
                </c:pt>
                <c:pt idx="128">
                  <c:v>358</c:v>
                </c:pt>
                <c:pt idx="129">
                  <c:v>355</c:v>
                </c:pt>
                <c:pt idx="130">
                  <c:v>352</c:v>
                </c:pt>
                <c:pt idx="131">
                  <c:v>352</c:v>
                </c:pt>
                <c:pt idx="132">
                  <c:v>350</c:v>
                </c:pt>
                <c:pt idx="133">
                  <c:v>347</c:v>
                </c:pt>
                <c:pt idx="134">
                  <c:v>347</c:v>
                </c:pt>
                <c:pt idx="135">
                  <c:v>347</c:v>
                </c:pt>
                <c:pt idx="136">
                  <c:v>344</c:v>
                </c:pt>
                <c:pt idx="137">
                  <c:v>341</c:v>
                </c:pt>
                <c:pt idx="138">
                  <c:v>341</c:v>
                </c:pt>
                <c:pt idx="139">
                  <c:v>338</c:v>
                </c:pt>
                <c:pt idx="140">
                  <c:v>338</c:v>
                </c:pt>
                <c:pt idx="141">
                  <c:v>335</c:v>
                </c:pt>
                <c:pt idx="142">
                  <c:v>335</c:v>
                </c:pt>
                <c:pt idx="143">
                  <c:v>332</c:v>
                </c:pt>
                <c:pt idx="144">
                  <c:v>330</c:v>
                </c:pt>
                <c:pt idx="145">
                  <c:v>330</c:v>
                </c:pt>
                <c:pt idx="146">
                  <c:v>327</c:v>
                </c:pt>
                <c:pt idx="147">
                  <c:v>324</c:v>
                </c:pt>
                <c:pt idx="148">
                  <c:v>324</c:v>
                </c:pt>
                <c:pt idx="149">
                  <c:v>321</c:v>
                </c:pt>
                <c:pt idx="150">
                  <c:v>319</c:v>
                </c:pt>
                <c:pt idx="151">
                  <c:v>319</c:v>
                </c:pt>
                <c:pt idx="152">
                  <c:v>319</c:v>
                </c:pt>
                <c:pt idx="153">
                  <c:v>321</c:v>
                </c:pt>
                <c:pt idx="154">
                  <c:v>321</c:v>
                </c:pt>
                <c:pt idx="155">
                  <c:v>324</c:v>
                </c:pt>
                <c:pt idx="156">
                  <c:v>324</c:v>
                </c:pt>
                <c:pt idx="157">
                  <c:v>341</c:v>
                </c:pt>
                <c:pt idx="158">
                  <c:v>358</c:v>
                </c:pt>
                <c:pt idx="159">
                  <c:v>373</c:v>
                </c:pt>
                <c:pt idx="160">
                  <c:v>450</c:v>
                </c:pt>
                <c:pt idx="161">
                  <c:v>558</c:v>
                </c:pt>
                <c:pt idx="162">
                  <c:v>609</c:v>
                </c:pt>
                <c:pt idx="163">
                  <c:v>625</c:v>
                </c:pt>
                <c:pt idx="164">
                  <c:v>654</c:v>
                </c:pt>
                <c:pt idx="165">
                  <c:v>684</c:v>
                </c:pt>
                <c:pt idx="166">
                  <c:v>762</c:v>
                </c:pt>
                <c:pt idx="167">
                  <c:v>779</c:v>
                </c:pt>
                <c:pt idx="168">
                  <c:v>775</c:v>
                </c:pt>
                <c:pt idx="169">
                  <c:v>784</c:v>
                </c:pt>
                <c:pt idx="170">
                  <c:v>797</c:v>
                </c:pt>
                <c:pt idx="171">
                  <c:v>806</c:v>
                </c:pt>
                <c:pt idx="172">
                  <c:v>806</c:v>
                </c:pt>
                <c:pt idx="173">
                  <c:v>797</c:v>
                </c:pt>
                <c:pt idx="174">
                  <c:v>788</c:v>
                </c:pt>
                <c:pt idx="175">
                  <c:v>779</c:v>
                </c:pt>
                <c:pt idx="176">
                  <c:v>770</c:v>
                </c:pt>
                <c:pt idx="177">
                  <c:v>762</c:v>
                </c:pt>
                <c:pt idx="178">
                  <c:v>753</c:v>
                </c:pt>
                <c:pt idx="179">
                  <c:v>744</c:v>
                </c:pt>
                <c:pt idx="180">
                  <c:v>736</c:v>
                </c:pt>
                <c:pt idx="181">
                  <c:v>723</c:v>
                </c:pt>
                <c:pt idx="182">
                  <c:v>710</c:v>
                </c:pt>
                <c:pt idx="183">
                  <c:v>701</c:v>
                </c:pt>
                <c:pt idx="184">
                  <c:v>688</c:v>
                </c:pt>
                <c:pt idx="185">
                  <c:v>675</c:v>
                </c:pt>
                <c:pt idx="186">
                  <c:v>675</c:v>
                </c:pt>
                <c:pt idx="187">
                  <c:v>671</c:v>
                </c:pt>
                <c:pt idx="188">
                  <c:v>663</c:v>
                </c:pt>
                <c:pt idx="189">
                  <c:v>659</c:v>
                </c:pt>
                <c:pt idx="190">
                  <c:v>650</c:v>
                </c:pt>
                <c:pt idx="191">
                  <c:v>642</c:v>
                </c:pt>
                <c:pt idx="192">
                  <c:v>630</c:v>
                </c:pt>
                <c:pt idx="193">
                  <c:v>621</c:v>
                </c:pt>
                <c:pt idx="194">
                  <c:v>609</c:v>
                </c:pt>
                <c:pt idx="195">
                  <c:v>601</c:v>
                </c:pt>
                <c:pt idx="196">
                  <c:v>593</c:v>
                </c:pt>
                <c:pt idx="197">
                  <c:v>582</c:v>
                </c:pt>
                <c:pt idx="198">
                  <c:v>574</c:v>
                </c:pt>
                <c:pt idx="199">
                  <c:v>566</c:v>
                </c:pt>
                <c:pt idx="200">
                  <c:v>558</c:v>
                </c:pt>
                <c:pt idx="201">
                  <c:v>551</c:v>
                </c:pt>
                <c:pt idx="202">
                  <c:v>547</c:v>
                </c:pt>
                <c:pt idx="203">
                  <c:v>539</c:v>
                </c:pt>
                <c:pt idx="204">
                  <c:v>532</c:v>
                </c:pt>
                <c:pt idx="205">
                  <c:v>525</c:v>
                </c:pt>
                <c:pt idx="206">
                  <c:v>517</c:v>
                </c:pt>
                <c:pt idx="207">
                  <c:v>514</c:v>
                </c:pt>
                <c:pt idx="208">
                  <c:v>510</c:v>
                </c:pt>
                <c:pt idx="209">
                  <c:v>503</c:v>
                </c:pt>
                <c:pt idx="210">
                  <c:v>499</c:v>
                </c:pt>
                <c:pt idx="211">
                  <c:v>492</c:v>
                </c:pt>
                <c:pt idx="212">
                  <c:v>488</c:v>
                </c:pt>
                <c:pt idx="213">
                  <c:v>485</c:v>
                </c:pt>
                <c:pt idx="214">
                  <c:v>478</c:v>
                </c:pt>
                <c:pt idx="215">
                  <c:v>474</c:v>
                </c:pt>
                <c:pt idx="216">
                  <c:v>470</c:v>
                </c:pt>
                <c:pt idx="217">
                  <c:v>467</c:v>
                </c:pt>
                <c:pt idx="218">
                  <c:v>463</c:v>
                </c:pt>
                <c:pt idx="219">
                  <c:v>460</c:v>
                </c:pt>
                <c:pt idx="220">
                  <c:v>460</c:v>
                </c:pt>
                <c:pt idx="221">
                  <c:v>460</c:v>
                </c:pt>
                <c:pt idx="222">
                  <c:v>460</c:v>
                </c:pt>
                <c:pt idx="223">
                  <c:v>460</c:v>
                </c:pt>
                <c:pt idx="224">
                  <c:v>460</c:v>
                </c:pt>
                <c:pt idx="225">
                  <c:v>456</c:v>
                </c:pt>
                <c:pt idx="226">
                  <c:v>456</c:v>
                </c:pt>
                <c:pt idx="227">
                  <c:v>456</c:v>
                </c:pt>
                <c:pt idx="228">
                  <c:v>453</c:v>
                </c:pt>
                <c:pt idx="229">
                  <c:v>453</c:v>
                </c:pt>
                <c:pt idx="230">
                  <c:v>453</c:v>
                </c:pt>
                <c:pt idx="231">
                  <c:v>453</c:v>
                </c:pt>
                <c:pt idx="232">
                  <c:v>453</c:v>
                </c:pt>
                <c:pt idx="233">
                  <c:v>453</c:v>
                </c:pt>
                <c:pt idx="234">
                  <c:v>453</c:v>
                </c:pt>
                <c:pt idx="235">
                  <c:v>453</c:v>
                </c:pt>
                <c:pt idx="236">
                  <c:v>453</c:v>
                </c:pt>
                <c:pt idx="237">
                  <c:v>450</c:v>
                </c:pt>
                <c:pt idx="238">
                  <c:v>446</c:v>
                </c:pt>
                <c:pt idx="239">
                  <c:v>443</c:v>
                </c:pt>
                <c:pt idx="240">
                  <c:v>439</c:v>
                </c:pt>
                <c:pt idx="241">
                  <c:v>436</c:v>
                </c:pt>
                <c:pt idx="242">
                  <c:v>432</c:v>
                </c:pt>
                <c:pt idx="243">
                  <c:v>432</c:v>
                </c:pt>
                <c:pt idx="244">
                  <c:v>426</c:v>
                </c:pt>
                <c:pt idx="245">
                  <c:v>426</c:v>
                </c:pt>
                <c:pt idx="246">
                  <c:v>422</c:v>
                </c:pt>
                <c:pt idx="247">
                  <c:v>419</c:v>
                </c:pt>
                <c:pt idx="248">
                  <c:v>419</c:v>
                </c:pt>
                <c:pt idx="249">
                  <c:v>419</c:v>
                </c:pt>
                <c:pt idx="250">
                  <c:v>416</c:v>
                </c:pt>
                <c:pt idx="251">
                  <c:v>416</c:v>
                </c:pt>
                <c:pt idx="252">
                  <c:v>416</c:v>
                </c:pt>
                <c:pt idx="253">
                  <c:v>416</c:v>
                </c:pt>
                <c:pt idx="254">
                  <c:v>416</c:v>
                </c:pt>
                <c:pt idx="255">
                  <c:v>416</c:v>
                </c:pt>
                <c:pt idx="256">
                  <c:v>416</c:v>
                </c:pt>
                <c:pt idx="257">
                  <c:v>416</c:v>
                </c:pt>
                <c:pt idx="258">
                  <c:v>416</c:v>
                </c:pt>
                <c:pt idx="259">
                  <c:v>416</c:v>
                </c:pt>
                <c:pt idx="260">
                  <c:v>413</c:v>
                </c:pt>
                <c:pt idx="261">
                  <c:v>409</c:v>
                </c:pt>
                <c:pt idx="262">
                  <c:v>406</c:v>
                </c:pt>
                <c:pt idx="263">
                  <c:v>406</c:v>
                </c:pt>
                <c:pt idx="264">
                  <c:v>403</c:v>
                </c:pt>
                <c:pt idx="265">
                  <c:v>400</c:v>
                </c:pt>
                <c:pt idx="266">
                  <c:v>400</c:v>
                </c:pt>
                <c:pt idx="267">
                  <c:v>397</c:v>
                </c:pt>
                <c:pt idx="268">
                  <c:v>394</c:v>
                </c:pt>
                <c:pt idx="269">
                  <c:v>391</c:v>
                </c:pt>
                <c:pt idx="270">
                  <c:v>391</c:v>
                </c:pt>
                <c:pt idx="271">
                  <c:v>388</c:v>
                </c:pt>
                <c:pt idx="272">
                  <c:v>385</c:v>
                </c:pt>
                <c:pt idx="273">
                  <c:v>385</c:v>
                </c:pt>
                <c:pt idx="274">
                  <c:v>385</c:v>
                </c:pt>
                <c:pt idx="275">
                  <c:v>382</c:v>
                </c:pt>
                <c:pt idx="276">
                  <c:v>379</c:v>
                </c:pt>
                <c:pt idx="277">
                  <c:v>379</c:v>
                </c:pt>
                <c:pt idx="278">
                  <c:v>376</c:v>
                </c:pt>
                <c:pt idx="279">
                  <c:v>376</c:v>
                </c:pt>
                <c:pt idx="280">
                  <c:v>376</c:v>
                </c:pt>
                <c:pt idx="281">
                  <c:v>376</c:v>
                </c:pt>
                <c:pt idx="282">
                  <c:v>373</c:v>
                </c:pt>
                <c:pt idx="283">
                  <c:v>373</c:v>
                </c:pt>
                <c:pt idx="284">
                  <c:v>373</c:v>
                </c:pt>
                <c:pt idx="285">
                  <c:v>370</c:v>
                </c:pt>
                <c:pt idx="286">
                  <c:v>370</c:v>
                </c:pt>
                <c:pt idx="287">
                  <c:v>367</c:v>
                </c:pt>
                <c:pt idx="288">
                  <c:v>364</c:v>
                </c:pt>
                <c:pt idx="289">
                  <c:v>364</c:v>
                </c:pt>
                <c:pt idx="290">
                  <c:v>361</c:v>
                </c:pt>
                <c:pt idx="291">
                  <c:v>361</c:v>
                </c:pt>
                <c:pt idx="292">
                  <c:v>361</c:v>
                </c:pt>
                <c:pt idx="293">
                  <c:v>358</c:v>
                </c:pt>
                <c:pt idx="294">
                  <c:v>358</c:v>
                </c:pt>
                <c:pt idx="295">
                  <c:v>358</c:v>
                </c:pt>
                <c:pt idx="296">
                  <c:v>355</c:v>
                </c:pt>
                <c:pt idx="297">
                  <c:v>355</c:v>
                </c:pt>
                <c:pt idx="298">
                  <c:v>355</c:v>
                </c:pt>
                <c:pt idx="299">
                  <c:v>355</c:v>
                </c:pt>
                <c:pt idx="300">
                  <c:v>355</c:v>
                </c:pt>
                <c:pt idx="301">
                  <c:v>352</c:v>
                </c:pt>
                <c:pt idx="302">
                  <c:v>352</c:v>
                </c:pt>
                <c:pt idx="303">
                  <c:v>352</c:v>
                </c:pt>
                <c:pt idx="304">
                  <c:v>352</c:v>
                </c:pt>
                <c:pt idx="305">
                  <c:v>355</c:v>
                </c:pt>
                <c:pt idx="306">
                  <c:v>364</c:v>
                </c:pt>
                <c:pt idx="307">
                  <c:v>379</c:v>
                </c:pt>
                <c:pt idx="308">
                  <c:v>403</c:v>
                </c:pt>
                <c:pt idx="309">
                  <c:v>470</c:v>
                </c:pt>
                <c:pt idx="310">
                  <c:v>654</c:v>
                </c:pt>
                <c:pt idx="311">
                  <c:v>1180</c:v>
                </c:pt>
                <c:pt idx="312">
                  <c:v>2640</c:v>
                </c:pt>
                <c:pt idx="313">
                  <c:v>4460</c:v>
                </c:pt>
                <c:pt idx="314">
                  <c:v>8340</c:v>
                </c:pt>
                <c:pt idx="315">
                  <c:v>13400</c:v>
                </c:pt>
                <c:pt idx="316">
                  <c:v>17500</c:v>
                </c:pt>
                <c:pt idx="317">
                  <c:v>18600</c:v>
                </c:pt>
                <c:pt idx="318">
                  <c:v>18600</c:v>
                </c:pt>
                <c:pt idx="319">
                  <c:v>18400</c:v>
                </c:pt>
                <c:pt idx="320">
                  <c:v>17700</c:v>
                </c:pt>
                <c:pt idx="321">
                  <c:v>16700</c:v>
                </c:pt>
                <c:pt idx="322">
                  <c:v>15700</c:v>
                </c:pt>
                <c:pt idx="323">
                  <c:v>14700</c:v>
                </c:pt>
                <c:pt idx="324">
                  <c:v>13900</c:v>
                </c:pt>
                <c:pt idx="325">
                  <c:v>13300</c:v>
                </c:pt>
                <c:pt idx="326">
                  <c:v>12900</c:v>
                </c:pt>
                <c:pt idx="327">
                  <c:v>12700</c:v>
                </c:pt>
                <c:pt idx="328">
                  <c:v>12400</c:v>
                </c:pt>
                <c:pt idx="329">
                  <c:v>12200</c:v>
                </c:pt>
                <c:pt idx="330">
                  <c:v>12100</c:v>
                </c:pt>
                <c:pt idx="331">
                  <c:v>12000</c:v>
                </c:pt>
                <c:pt idx="332">
                  <c:v>11900</c:v>
                </c:pt>
                <c:pt idx="333">
                  <c:v>11800</c:v>
                </c:pt>
                <c:pt idx="334">
                  <c:v>11700</c:v>
                </c:pt>
                <c:pt idx="335">
                  <c:v>11500</c:v>
                </c:pt>
                <c:pt idx="336">
                  <c:v>11400</c:v>
                </c:pt>
                <c:pt idx="337">
                  <c:v>11300</c:v>
                </c:pt>
                <c:pt idx="338">
                  <c:v>11100</c:v>
                </c:pt>
                <c:pt idx="339">
                  <c:v>10800</c:v>
                </c:pt>
                <c:pt idx="340">
                  <c:v>10600</c:v>
                </c:pt>
                <c:pt idx="341">
                  <c:v>10300</c:v>
                </c:pt>
                <c:pt idx="342">
                  <c:v>10000</c:v>
                </c:pt>
                <c:pt idx="343">
                  <c:v>9720</c:v>
                </c:pt>
                <c:pt idx="344">
                  <c:v>9380</c:v>
                </c:pt>
                <c:pt idx="345">
                  <c:v>9020</c:v>
                </c:pt>
                <c:pt idx="346">
                  <c:v>8660</c:v>
                </c:pt>
                <c:pt idx="347">
                  <c:v>8270</c:v>
                </c:pt>
                <c:pt idx="348">
                  <c:v>7790</c:v>
                </c:pt>
                <c:pt idx="349">
                  <c:v>7300</c:v>
                </c:pt>
                <c:pt idx="350">
                  <c:v>6720</c:v>
                </c:pt>
                <c:pt idx="351">
                  <c:v>6200</c:v>
                </c:pt>
                <c:pt idx="352">
                  <c:v>5740</c:v>
                </c:pt>
                <c:pt idx="353">
                  <c:v>5370</c:v>
                </c:pt>
                <c:pt idx="354">
                  <c:v>5040</c:v>
                </c:pt>
                <c:pt idx="355">
                  <c:v>4730</c:v>
                </c:pt>
                <c:pt idx="356">
                  <c:v>4450</c:v>
                </c:pt>
                <c:pt idx="357">
                  <c:v>4210</c:v>
                </c:pt>
                <c:pt idx="358">
                  <c:v>4000</c:v>
                </c:pt>
                <c:pt idx="359">
                  <c:v>3790</c:v>
                </c:pt>
                <c:pt idx="360">
                  <c:v>3620</c:v>
                </c:pt>
                <c:pt idx="361">
                  <c:v>3460</c:v>
                </c:pt>
                <c:pt idx="362">
                  <c:v>3300</c:v>
                </c:pt>
                <c:pt idx="363">
                  <c:v>3180</c:v>
                </c:pt>
                <c:pt idx="364">
                  <c:v>3050</c:v>
                </c:pt>
                <c:pt idx="365">
                  <c:v>2930</c:v>
                </c:pt>
                <c:pt idx="366">
                  <c:v>2810</c:v>
                </c:pt>
                <c:pt idx="367">
                  <c:v>2730</c:v>
                </c:pt>
                <c:pt idx="368">
                  <c:v>2640</c:v>
                </c:pt>
                <c:pt idx="369">
                  <c:v>2560</c:v>
                </c:pt>
                <c:pt idx="370">
                  <c:v>2490</c:v>
                </c:pt>
                <c:pt idx="371">
                  <c:v>2410</c:v>
                </c:pt>
                <c:pt idx="372">
                  <c:v>2350</c:v>
                </c:pt>
                <c:pt idx="373">
                  <c:v>2290</c:v>
                </c:pt>
                <c:pt idx="374">
                  <c:v>2230</c:v>
                </c:pt>
                <c:pt idx="375">
                  <c:v>2170</c:v>
                </c:pt>
                <c:pt idx="376">
                  <c:v>2120</c:v>
                </c:pt>
                <c:pt idx="377">
                  <c:v>2070</c:v>
                </c:pt>
                <c:pt idx="378">
                  <c:v>2020</c:v>
                </c:pt>
                <c:pt idx="379">
                  <c:v>1980</c:v>
                </c:pt>
                <c:pt idx="380">
                  <c:v>1940</c:v>
                </c:pt>
                <c:pt idx="381">
                  <c:v>1900</c:v>
                </c:pt>
                <c:pt idx="382">
                  <c:v>1850</c:v>
                </c:pt>
                <c:pt idx="383">
                  <c:v>1810</c:v>
                </c:pt>
                <c:pt idx="384">
                  <c:v>1750</c:v>
                </c:pt>
                <c:pt idx="385">
                  <c:v>1710</c:v>
                </c:pt>
                <c:pt idx="386">
                  <c:v>1660</c:v>
                </c:pt>
                <c:pt idx="387">
                  <c:v>1610</c:v>
                </c:pt>
                <c:pt idx="388">
                  <c:v>1570</c:v>
                </c:pt>
                <c:pt idx="389">
                  <c:v>1530</c:v>
                </c:pt>
                <c:pt idx="390">
                  <c:v>1490</c:v>
                </c:pt>
                <c:pt idx="391">
                  <c:v>1460</c:v>
                </c:pt>
                <c:pt idx="392">
                  <c:v>1430</c:v>
                </c:pt>
                <c:pt idx="393">
                  <c:v>1400</c:v>
                </c:pt>
                <c:pt idx="394">
                  <c:v>1370</c:v>
                </c:pt>
                <c:pt idx="395">
                  <c:v>1350</c:v>
                </c:pt>
                <c:pt idx="396">
                  <c:v>1320</c:v>
                </c:pt>
                <c:pt idx="397">
                  <c:v>1300</c:v>
                </c:pt>
                <c:pt idx="398">
                  <c:v>1270</c:v>
                </c:pt>
                <c:pt idx="399">
                  <c:v>1250</c:v>
                </c:pt>
                <c:pt idx="400">
                  <c:v>1230</c:v>
                </c:pt>
                <c:pt idx="401">
                  <c:v>1210</c:v>
                </c:pt>
                <c:pt idx="402">
                  <c:v>1190</c:v>
                </c:pt>
                <c:pt idx="403">
                  <c:v>1170</c:v>
                </c:pt>
                <c:pt idx="404">
                  <c:v>1150</c:v>
                </c:pt>
                <c:pt idx="405">
                  <c:v>1140</c:v>
                </c:pt>
                <c:pt idx="406">
                  <c:v>1120</c:v>
                </c:pt>
                <c:pt idx="407">
                  <c:v>1100</c:v>
                </c:pt>
                <c:pt idx="408">
                  <c:v>1090</c:v>
                </c:pt>
                <c:pt idx="409">
                  <c:v>1070</c:v>
                </c:pt>
                <c:pt idx="410">
                  <c:v>1060</c:v>
                </c:pt>
                <c:pt idx="411">
                  <c:v>1050</c:v>
                </c:pt>
                <c:pt idx="412">
                  <c:v>1030</c:v>
                </c:pt>
                <c:pt idx="413">
                  <c:v>1010</c:v>
                </c:pt>
                <c:pt idx="414">
                  <c:v>1000</c:v>
                </c:pt>
                <c:pt idx="415">
                  <c:v>994</c:v>
                </c:pt>
                <c:pt idx="416">
                  <c:v>983</c:v>
                </c:pt>
                <c:pt idx="417">
                  <c:v>968</c:v>
                </c:pt>
                <c:pt idx="418">
                  <c:v>958</c:v>
                </c:pt>
                <c:pt idx="419">
                  <c:v>948</c:v>
                </c:pt>
                <c:pt idx="420">
                  <c:v>939</c:v>
                </c:pt>
                <c:pt idx="421">
                  <c:v>934</c:v>
                </c:pt>
                <c:pt idx="422">
                  <c:v>924</c:v>
                </c:pt>
                <c:pt idx="423">
                  <c:v>914</c:v>
                </c:pt>
                <c:pt idx="424">
                  <c:v>909</c:v>
                </c:pt>
                <c:pt idx="425">
                  <c:v>895</c:v>
                </c:pt>
                <c:pt idx="426">
                  <c:v>890</c:v>
                </c:pt>
                <c:pt idx="427">
                  <c:v>876</c:v>
                </c:pt>
                <c:pt idx="428">
                  <c:v>866</c:v>
                </c:pt>
                <c:pt idx="429">
                  <c:v>857</c:v>
                </c:pt>
                <c:pt idx="430">
                  <c:v>852</c:v>
                </c:pt>
                <c:pt idx="431">
                  <c:v>843</c:v>
                </c:pt>
                <c:pt idx="432">
                  <c:v>838</c:v>
                </c:pt>
                <c:pt idx="433">
                  <c:v>829</c:v>
                </c:pt>
                <c:pt idx="434">
                  <c:v>820</c:v>
                </c:pt>
                <c:pt idx="435">
                  <c:v>815</c:v>
                </c:pt>
                <c:pt idx="436">
                  <c:v>811</c:v>
                </c:pt>
                <c:pt idx="437">
                  <c:v>802</c:v>
                </c:pt>
                <c:pt idx="438">
                  <c:v>797</c:v>
                </c:pt>
                <c:pt idx="439">
                  <c:v>797</c:v>
                </c:pt>
                <c:pt idx="440">
                  <c:v>793</c:v>
                </c:pt>
                <c:pt idx="441">
                  <c:v>793</c:v>
                </c:pt>
                <c:pt idx="442">
                  <c:v>788</c:v>
                </c:pt>
                <c:pt idx="443">
                  <c:v>788</c:v>
                </c:pt>
                <c:pt idx="444">
                  <c:v>784</c:v>
                </c:pt>
                <c:pt idx="445">
                  <c:v>779</c:v>
                </c:pt>
                <c:pt idx="446">
                  <c:v>775</c:v>
                </c:pt>
                <c:pt idx="447">
                  <c:v>766</c:v>
                </c:pt>
                <c:pt idx="448">
                  <c:v>766</c:v>
                </c:pt>
                <c:pt idx="449">
                  <c:v>766</c:v>
                </c:pt>
                <c:pt idx="450">
                  <c:v>766</c:v>
                </c:pt>
                <c:pt idx="451">
                  <c:v>762</c:v>
                </c:pt>
                <c:pt idx="452">
                  <c:v>753</c:v>
                </c:pt>
                <c:pt idx="453">
                  <c:v>749</c:v>
                </c:pt>
                <c:pt idx="454">
                  <c:v>740</c:v>
                </c:pt>
                <c:pt idx="455">
                  <c:v>731</c:v>
                </c:pt>
                <c:pt idx="456">
                  <c:v>723</c:v>
                </c:pt>
                <c:pt idx="457">
                  <c:v>714</c:v>
                </c:pt>
                <c:pt idx="458">
                  <c:v>710</c:v>
                </c:pt>
                <c:pt idx="459">
                  <c:v>701</c:v>
                </c:pt>
                <c:pt idx="460">
                  <c:v>693</c:v>
                </c:pt>
                <c:pt idx="461">
                  <c:v>688</c:v>
                </c:pt>
                <c:pt idx="462">
                  <c:v>680</c:v>
                </c:pt>
                <c:pt idx="463">
                  <c:v>680</c:v>
                </c:pt>
                <c:pt idx="464">
                  <c:v>675</c:v>
                </c:pt>
                <c:pt idx="465">
                  <c:v>671</c:v>
                </c:pt>
                <c:pt idx="466">
                  <c:v>667</c:v>
                </c:pt>
                <c:pt idx="467">
                  <c:v>663</c:v>
                </c:pt>
                <c:pt idx="468">
                  <c:v>654</c:v>
                </c:pt>
                <c:pt idx="469">
                  <c:v>646</c:v>
                </c:pt>
                <c:pt idx="470">
                  <c:v>646</c:v>
                </c:pt>
                <c:pt idx="471">
                  <c:v>638</c:v>
                </c:pt>
                <c:pt idx="472">
                  <c:v>630</c:v>
                </c:pt>
                <c:pt idx="473">
                  <c:v>621</c:v>
                </c:pt>
                <c:pt idx="474">
                  <c:v>617</c:v>
                </c:pt>
                <c:pt idx="475">
                  <c:v>613</c:v>
                </c:pt>
                <c:pt idx="476">
                  <c:v>605</c:v>
                </c:pt>
                <c:pt idx="477">
                  <c:v>597</c:v>
                </c:pt>
                <c:pt idx="478">
                  <c:v>593</c:v>
                </c:pt>
                <c:pt idx="479">
                  <c:v>589</c:v>
                </c:pt>
                <c:pt idx="480">
                  <c:v>582</c:v>
                </c:pt>
                <c:pt idx="481">
                  <c:v>582</c:v>
                </c:pt>
                <c:pt idx="482">
                  <c:v>574</c:v>
                </c:pt>
                <c:pt idx="483">
                  <c:v>570</c:v>
                </c:pt>
                <c:pt idx="484">
                  <c:v>566</c:v>
                </c:pt>
                <c:pt idx="485">
                  <c:v>562</c:v>
                </c:pt>
                <c:pt idx="486">
                  <c:v>558</c:v>
                </c:pt>
                <c:pt idx="487">
                  <c:v>551</c:v>
                </c:pt>
                <c:pt idx="488">
                  <c:v>551</c:v>
                </c:pt>
                <c:pt idx="489">
                  <c:v>547</c:v>
                </c:pt>
                <c:pt idx="490">
                  <c:v>543</c:v>
                </c:pt>
                <c:pt idx="491">
                  <c:v>539</c:v>
                </c:pt>
                <c:pt idx="492">
                  <c:v>536</c:v>
                </c:pt>
                <c:pt idx="493">
                  <c:v>536</c:v>
                </c:pt>
                <c:pt idx="494">
                  <c:v>532</c:v>
                </c:pt>
                <c:pt idx="495">
                  <c:v>528</c:v>
                </c:pt>
                <c:pt idx="496">
                  <c:v>521</c:v>
                </c:pt>
                <c:pt idx="497">
                  <c:v>521</c:v>
                </c:pt>
                <c:pt idx="498">
                  <c:v>517</c:v>
                </c:pt>
                <c:pt idx="499">
                  <c:v>514</c:v>
                </c:pt>
                <c:pt idx="500">
                  <c:v>510</c:v>
                </c:pt>
                <c:pt idx="501">
                  <c:v>506</c:v>
                </c:pt>
                <c:pt idx="502">
                  <c:v>503</c:v>
                </c:pt>
                <c:pt idx="503">
                  <c:v>499</c:v>
                </c:pt>
                <c:pt idx="504">
                  <c:v>495</c:v>
                </c:pt>
                <c:pt idx="505">
                  <c:v>492</c:v>
                </c:pt>
                <c:pt idx="506">
                  <c:v>492</c:v>
                </c:pt>
                <c:pt idx="507">
                  <c:v>488</c:v>
                </c:pt>
                <c:pt idx="508">
                  <c:v>485</c:v>
                </c:pt>
                <c:pt idx="509">
                  <c:v>485</c:v>
                </c:pt>
                <c:pt idx="510">
                  <c:v>478</c:v>
                </c:pt>
                <c:pt idx="511">
                  <c:v>478</c:v>
                </c:pt>
                <c:pt idx="512">
                  <c:v>474</c:v>
                </c:pt>
                <c:pt idx="513">
                  <c:v>474</c:v>
                </c:pt>
                <c:pt idx="514">
                  <c:v>474</c:v>
                </c:pt>
                <c:pt idx="515">
                  <c:v>470</c:v>
                </c:pt>
                <c:pt idx="516">
                  <c:v>470</c:v>
                </c:pt>
                <c:pt idx="517">
                  <c:v>470</c:v>
                </c:pt>
                <c:pt idx="518">
                  <c:v>470</c:v>
                </c:pt>
                <c:pt idx="519">
                  <c:v>467</c:v>
                </c:pt>
                <c:pt idx="520">
                  <c:v>463</c:v>
                </c:pt>
                <c:pt idx="521">
                  <c:v>463</c:v>
                </c:pt>
                <c:pt idx="522">
                  <c:v>463</c:v>
                </c:pt>
                <c:pt idx="523">
                  <c:v>463</c:v>
                </c:pt>
                <c:pt idx="524">
                  <c:v>460</c:v>
                </c:pt>
                <c:pt idx="525">
                  <c:v>460</c:v>
                </c:pt>
                <c:pt idx="526">
                  <c:v>460</c:v>
                </c:pt>
                <c:pt idx="527">
                  <c:v>460</c:v>
                </c:pt>
                <c:pt idx="528">
                  <c:v>460</c:v>
                </c:pt>
              </c:numCache>
            </c:numRef>
          </c:yVal>
          <c:smooth val="0"/>
          <c:extLst>
            <c:ext xmlns:c16="http://schemas.microsoft.com/office/drawing/2014/chart" uri="{C3380CC4-5D6E-409C-BE32-E72D297353CC}">
              <c16:uniqueId val="{00000000-385C-43EC-B66E-2D5F0CA3D4E7}"/>
            </c:ext>
          </c:extLst>
        </c:ser>
        <c:ser>
          <c:idx val="6"/>
          <c:order val="1"/>
          <c:tx>
            <c:strRef>
              <c:f>Gage_and_Event!$R$2</c:f>
              <c:strCache>
                <c:ptCount val="1"/>
                <c:pt idx="0">
                  <c:v>Adopted</c:v>
                </c:pt>
              </c:strCache>
            </c:strRef>
          </c:tx>
          <c:spPr>
            <a:ln>
              <a:solidFill>
                <a:srgbClr val="FF0000"/>
              </a:solidFill>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Gage_and_Event!$S$5:$S$2000</c:f>
              <c:numCache>
                <c:formatCode>General</c:formatCode>
                <c:ptCount val="1996"/>
                <c:pt idx="1">
                  <c:v>627.71</c:v>
                </c:pt>
                <c:pt idx="2">
                  <c:v>626.36</c:v>
                </c:pt>
                <c:pt idx="3">
                  <c:v>628.32000000000005</c:v>
                </c:pt>
                <c:pt idx="4">
                  <c:v>659.51</c:v>
                </c:pt>
                <c:pt idx="5">
                  <c:v>702.32</c:v>
                </c:pt>
                <c:pt idx="6">
                  <c:v>749.68</c:v>
                </c:pt>
                <c:pt idx="7">
                  <c:v>783.65</c:v>
                </c:pt>
                <c:pt idx="8">
                  <c:v>802.7</c:v>
                </c:pt>
                <c:pt idx="9">
                  <c:v>813.05</c:v>
                </c:pt>
                <c:pt idx="10">
                  <c:v>824.14</c:v>
                </c:pt>
                <c:pt idx="11">
                  <c:v>837.05</c:v>
                </c:pt>
                <c:pt idx="12">
                  <c:v>852.7</c:v>
                </c:pt>
                <c:pt idx="13">
                  <c:v>877.28</c:v>
                </c:pt>
                <c:pt idx="14">
                  <c:v>921.87</c:v>
                </c:pt>
                <c:pt idx="15">
                  <c:v>949.78</c:v>
                </c:pt>
                <c:pt idx="16">
                  <c:v>979.74</c:v>
                </c:pt>
                <c:pt idx="17">
                  <c:v>1010.43</c:v>
                </c:pt>
                <c:pt idx="18">
                  <c:v>1024.97</c:v>
                </c:pt>
                <c:pt idx="19">
                  <c:v>1039.18</c:v>
                </c:pt>
                <c:pt idx="20">
                  <c:v>1047.72</c:v>
                </c:pt>
                <c:pt idx="21">
                  <c:v>1054.1199999999999</c:v>
                </c:pt>
                <c:pt idx="22">
                  <c:v>1059.43</c:v>
                </c:pt>
                <c:pt idx="23">
                  <c:v>1066.8599999999999</c:v>
                </c:pt>
                <c:pt idx="24">
                  <c:v>1068.43</c:v>
                </c:pt>
                <c:pt idx="25">
                  <c:v>1069.3800000000001</c:v>
                </c:pt>
                <c:pt idx="26">
                  <c:v>1067.45</c:v>
                </c:pt>
                <c:pt idx="27">
                  <c:v>1066.7</c:v>
                </c:pt>
                <c:pt idx="28">
                  <c:v>1062.42</c:v>
                </c:pt>
                <c:pt idx="29">
                  <c:v>1062.51</c:v>
                </c:pt>
                <c:pt idx="30">
                  <c:v>1062.6099999999999</c:v>
                </c:pt>
                <c:pt idx="31">
                  <c:v>1069.04</c:v>
                </c:pt>
                <c:pt idx="32">
                  <c:v>1054.54</c:v>
                </c:pt>
                <c:pt idx="33">
                  <c:v>1054.75</c:v>
                </c:pt>
                <c:pt idx="34">
                  <c:v>1050.1600000000001</c:v>
                </c:pt>
                <c:pt idx="35">
                  <c:v>1043.9000000000001</c:v>
                </c:pt>
                <c:pt idx="36">
                  <c:v>1039.81</c:v>
                </c:pt>
                <c:pt idx="37">
                  <c:v>1034.95</c:v>
                </c:pt>
                <c:pt idx="38">
                  <c:v>1028.8</c:v>
                </c:pt>
                <c:pt idx="39">
                  <c:v>1022.41</c:v>
                </c:pt>
                <c:pt idx="40">
                  <c:v>1015</c:v>
                </c:pt>
                <c:pt idx="41">
                  <c:v>1007.05</c:v>
                </c:pt>
                <c:pt idx="42">
                  <c:v>999.88</c:v>
                </c:pt>
                <c:pt idx="43">
                  <c:v>992.72</c:v>
                </c:pt>
                <c:pt idx="44">
                  <c:v>985.44</c:v>
                </c:pt>
                <c:pt idx="45">
                  <c:v>977.87</c:v>
                </c:pt>
                <c:pt idx="46">
                  <c:v>971.14</c:v>
                </c:pt>
                <c:pt idx="47">
                  <c:v>962.63</c:v>
                </c:pt>
                <c:pt idx="48">
                  <c:v>960.92</c:v>
                </c:pt>
                <c:pt idx="49">
                  <c:v>958.13</c:v>
                </c:pt>
                <c:pt idx="50">
                  <c:v>951.2</c:v>
                </c:pt>
                <c:pt idx="51">
                  <c:v>946.58</c:v>
                </c:pt>
                <c:pt idx="52">
                  <c:v>943.28</c:v>
                </c:pt>
                <c:pt idx="53">
                  <c:v>940.44</c:v>
                </c:pt>
                <c:pt idx="54">
                  <c:v>938.14</c:v>
                </c:pt>
                <c:pt idx="55">
                  <c:v>935.34</c:v>
                </c:pt>
                <c:pt idx="56">
                  <c:v>933.51</c:v>
                </c:pt>
                <c:pt idx="57">
                  <c:v>930.76</c:v>
                </c:pt>
                <c:pt idx="58">
                  <c:v>927.99</c:v>
                </c:pt>
                <c:pt idx="59">
                  <c:v>922.85</c:v>
                </c:pt>
                <c:pt idx="60">
                  <c:v>916.68</c:v>
                </c:pt>
                <c:pt idx="61">
                  <c:v>910.38</c:v>
                </c:pt>
                <c:pt idx="62">
                  <c:v>903.89</c:v>
                </c:pt>
                <c:pt idx="63">
                  <c:v>897.42</c:v>
                </c:pt>
                <c:pt idx="64">
                  <c:v>891.32</c:v>
                </c:pt>
                <c:pt idx="65">
                  <c:v>885.36</c:v>
                </c:pt>
                <c:pt idx="66">
                  <c:v>879.08</c:v>
                </c:pt>
                <c:pt idx="67">
                  <c:v>872.21</c:v>
                </c:pt>
                <c:pt idx="68">
                  <c:v>864.43</c:v>
                </c:pt>
                <c:pt idx="69">
                  <c:v>856.81</c:v>
                </c:pt>
                <c:pt idx="70">
                  <c:v>848.58</c:v>
                </c:pt>
                <c:pt idx="71">
                  <c:v>840.23</c:v>
                </c:pt>
                <c:pt idx="72">
                  <c:v>832.4</c:v>
                </c:pt>
                <c:pt idx="73">
                  <c:v>824.33</c:v>
                </c:pt>
                <c:pt idx="74">
                  <c:v>815.99</c:v>
                </c:pt>
                <c:pt idx="75">
                  <c:v>808.16</c:v>
                </c:pt>
                <c:pt idx="76">
                  <c:v>800.37</c:v>
                </c:pt>
                <c:pt idx="77">
                  <c:v>792.49</c:v>
                </c:pt>
                <c:pt idx="78">
                  <c:v>784.46</c:v>
                </c:pt>
                <c:pt idx="79">
                  <c:v>776.74</c:v>
                </c:pt>
                <c:pt idx="80">
                  <c:v>769.17</c:v>
                </c:pt>
                <c:pt idx="81">
                  <c:v>761.7</c:v>
                </c:pt>
                <c:pt idx="82">
                  <c:v>755.33</c:v>
                </c:pt>
                <c:pt idx="83">
                  <c:v>748.87</c:v>
                </c:pt>
                <c:pt idx="84">
                  <c:v>741.62</c:v>
                </c:pt>
                <c:pt idx="85">
                  <c:v>733.68</c:v>
                </c:pt>
                <c:pt idx="86">
                  <c:v>726.13</c:v>
                </c:pt>
                <c:pt idx="87">
                  <c:v>719.02</c:v>
                </c:pt>
                <c:pt idx="88">
                  <c:v>712.26</c:v>
                </c:pt>
                <c:pt idx="89">
                  <c:v>705.7</c:v>
                </c:pt>
                <c:pt idx="90">
                  <c:v>702.23</c:v>
                </c:pt>
                <c:pt idx="91">
                  <c:v>692.77</c:v>
                </c:pt>
                <c:pt idx="92">
                  <c:v>685.62</c:v>
                </c:pt>
                <c:pt idx="93">
                  <c:v>679.87</c:v>
                </c:pt>
                <c:pt idx="94">
                  <c:v>673.63</c:v>
                </c:pt>
                <c:pt idx="95">
                  <c:v>667.34</c:v>
                </c:pt>
                <c:pt idx="96">
                  <c:v>661.86</c:v>
                </c:pt>
                <c:pt idx="97">
                  <c:v>656.05</c:v>
                </c:pt>
                <c:pt idx="98">
                  <c:v>649.29999999999995</c:v>
                </c:pt>
                <c:pt idx="99">
                  <c:v>643.09</c:v>
                </c:pt>
                <c:pt idx="100">
                  <c:v>637.49</c:v>
                </c:pt>
                <c:pt idx="101">
                  <c:v>634.1</c:v>
                </c:pt>
                <c:pt idx="102">
                  <c:v>626.76</c:v>
                </c:pt>
                <c:pt idx="103">
                  <c:v>623.12</c:v>
                </c:pt>
                <c:pt idx="104">
                  <c:v>617.73</c:v>
                </c:pt>
                <c:pt idx="105">
                  <c:v>607.39</c:v>
                </c:pt>
                <c:pt idx="106">
                  <c:v>606.04</c:v>
                </c:pt>
                <c:pt idx="107">
                  <c:v>602.32000000000005</c:v>
                </c:pt>
                <c:pt idx="108">
                  <c:v>594.37</c:v>
                </c:pt>
                <c:pt idx="109">
                  <c:v>590.22</c:v>
                </c:pt>
                <c:pt idx="110">
                  <c:v>582.54999999999995</c:v>
                </c:pt>
                <c:pt idx="111">
                  <c:v>581.19000000000005</c:v>
                </c:pt>
                <c:pt idx="112">
                  <c:v>573.77</c:v>
                </c:pt>
                <c:pt idx="113">
                  <c:v>571.08000000000004</c:v>
                </c:pt>
                <c:pt idx="114">
                  <c:v>564.78</c:v>
                </c:pt>
                <c:pt idx="115">
                  <c:v>559.54999999999995</c:v>
                </c:pt>
                <c:pt idx="116">
                  <c:v>554.33000000000004</c:v>
                </c:pt>
                <c:pt idx="117">
                  <c:v>548.73</c:v>
                </c:pt>
                <c:pt idx="118">
                  <c:v>545.5</c:v>
                </c:pt>
                <c:pt idx="119">
                  <c:v>541.98</c:v>
                </c:pt>
                <c:pt idx="120">
                  <c:v>535.99</c:v>
                </c:pt>
                <c:pt idx="121">
                  <c:v>531.88</c:v>
                </c:pt>
                <c:pt idx="122">
                  <c:v>527.44000000000005</c:v>
                </c:pt>
                <c:pt idx="123">
                  <c:v>524.04</c:v>
                </c:pt>
                <c:pt idx="124">
                  <c:v>519.11</c:v>
                </c:pt>
                <c:pt idx="125">
                  <c:v>514.01</c:v>
                </c:pt>
                <c:pt idx="126">
                  <c:v>508.55</c:v>
                </c:pt>
                <c:pt idx="127">
                  <c:v>505.87</c:v>
                </c:pt>
                <c:pt idx="128">
                  <c:v>501.5</c:v>
                </c:pt>
                <c:pt idx="129">
                  <c:v>497.69</c:v>
                </c:pt>
                <c:pt idx="130">
                  <c:v>494.06</c:v>
                </c:pt>
                <c:pt idx="131">
                  <c:v>488.65</c:v>
                </c:pt>
                <c:pt idx="132">
                  <c:v>485.63</c:v>
                </c:pt>
                <c:pt idx="133">
                  <c:v>481.91</c:v>
                </c:pt>
                <c:pt idx="134">
                  <c:v>477.22</c:v>
                </c:pt>
                <c:pt idx="135">
                  <c:v>473.94</c:v>
                </c:pt>
                <c:pt idx="136">
                  <c:v>469.14</c:v>
                </c:pt>
                <c:pt idx="137">
                  <c:v>466.75</c:v>
                </c:pt>
                <c:pt idx="138">
                  <c:v>462.06</c:v>
                </c:pt>
                <c:pt idx="139">
                  <c:v>458.14</c:v>
                </c:pt>
                <c:pt idx="140">
                  <c:v>455.08</c:v>
                </c:pt>
                <c:pt idx="141">
                  <c:v>450</c:v>
                </c:pt>
                <c:pt idx="142">
                  <c:v>447.72</c:v>
                </c:pt>
                <c:pt idx="143">
                  <c:v>444.47</c:v>
                </c:pt>
                <c:pt idx="144">
                  <c:v>441.8</c:v>
                </c:pt>
                <c:pt idx="145">
                  <c:v>436.95</c:v>
                </c:pt>
                <c:pt idx="146">
                  <c:v>433.95</c:v>
                </c:pt>
                <c:pt idx="147">
                  <c:v>430.11</c:v>
                </c:pt>
                <c:pt idx="148">
                  <c:v>426.52</c:v>
                </c:pt>
                <c:pt idx="149">
                  <c:v>423.14</c:v>
                </c:pt>
                <c:pt idx="150">
                  <c:v>419.8</c:v>
                </c:pt>
                <c:pt idx="151">
                  <c:v>416.32</c:v>
                </c:pt>
                <c:pt idx="152">
                  <c:v>413.63</c:v>
                </c:pt>
                <c:pt idx="153">
                  <c:v>411.35</c:v>
                </c:pt>
                <c:pt idx="154">
                  <c:v>408.28</c:v>
                </c:pt>
                <c:pt idx="155">
                  <c:v>405.07</c:v>
                </c:pt>
                <c:pt idx="156">
                  <c:v>403.76</c:v>
                </c:pt>
                <c:pt idx="157">
                  <c:v>467.18</c:v>
                </c:pt>
                <c:pt idx="158">
                  <c:v>523.99</c:v>
                </c:pt>
                <c:pt idx="159">
                  <c:v>670.11</c:v>
                </c:pt>
                <c:pt idx="160">
                  <c:v>785.03</c:v>
                </c:pt>
                <c:pt idx="161">
                  <c:v>714.16</c:v>
                </c:pt>
                <c:pt idx="162">
                  <c:v>656.17</c:v>
                </c:pt>
                <c:pt idx="163">
                  <c:v>698.45</c:v>
                </c:pt>
                <c:pt idx="164">
                  <c:v>801.47</c:v>
                </c:pt>
                <c:pt idx="165">
                  <c:v>909.42</c:v>
                </c:pt>
                <c:pt idx="166">
                  <c:v>961.24</c:v>
                </c:pt>
                <c:pt idx="167">
                  <c:v>897.56</c:v>
                </c:pt>
                <c:pt idx="168">
                  <c:v>841.02</c:v>
                </c:pt>
                <c:pt idx="169">
                  <c:v>817.38</c:v>
                </c:pt>
                <c:pt idx="170">
                  <c:v>769.88</c:v>
                </c:pt>
                <c:pt idx="171">
                  <c:v>757.67</c:v>
                </c:pt>
                <c:pt idx="172">
                  <c:v>742.94</c:v>
                </c:pt>
                <c:pt idx="173">
                  <c:v>734.04</c:v>
                </c:pt>
                <c:pt idx="174">
                  <c:v>829.17</c:v>
                </c:pt>
                <c:pt idx="175">
                  <c:v>710.51</c:v>
                </c:pt>
                <c:pt idx="176">
                  <c:v>699.24</c:v>
                </c:pt>
                <c:pt idx="177">
                  <c:v>692.57</c:v>
                </c:pt>
                <c:pt idx="178">
                  <c:v>680.95</c:v>
                </c:pt>
                <c:pt idx="179">
                  <c:v>665.52</c:v>
                </c:pt>
                <c:pt idx="180">
                  <c:v>651.53</c:v>
                </c:pt>
                <c:pt idx="181">
                  <c:v>647.38</c:v>
                </c:pt>
                <c:pt idx="182">
                  <c:v>631.32000000000005</c:v>
                </c:pt>
                <c:pt idx="183">
                  <c:v>620.61</c:v>
                </c:pt>
                <c:pt idx="184">
                  <c:v>614.54</c:v>
                </c:pt>
                <c:pt idx="185">
                  <c:v>602.54999999999995</c:v>
                </c:pt>
                <c:pt idx="186">
                  <c:v>594.03</c:v>
                </c:pt>
                <c:pt idx="187">
                  <c:v>588.41</c:v>
                </c:pt>
                <c:pt idx="188">
                  <c:v>577.76</c:v>
                </c:pt>
                <c:pt idx="189">
                  <c:v>569.79999999999995</c:v>
                </c:pt>
                <c:pt idx="190">
                  <c:v>561.83000000000004</c:v>
                </c:pt>
                <c:pt idx="191">
                  <c:v>553.98</c:v>
                </c:pt>
                <c:pt idx="192">
                  <c:v>547.29</c:v>
                </c:pt>
                <c:pt idx="193">
                  <c:v>534.86</c:v>
                </c:pt>
                <c:pt idx="194">
                  <c:v>533.85</c:v>
                </c:pt>
                <c:pt idx="195">
                  <c:v>530.16</c:v>
                </c:pt>
                <c:pt idx="196">
                  <c:v>529.74</c:v>
                </c:pt>
                <c:pt idx="197">
                  <c:v>525.84</c:v>
                </c:pt>
                <c:pt idx="198">
                  <c:v>518.89</c:v>
                </c:pt>
                <c:pt idx="199">
                  <c:v>512.99</c:v>
                </c:pt>
                <c:pt idx="200">
                  <c:v>509.19</c:v>
                </c:pt>
                <c:pt idx="201">
                  <c:v>504.57</c:v>
                </c:pt>
                <c:pt idx="202">
                  <c:v>500.11</c:v>
                </c:pt>
                <c:pt idx="203">
                  <c:v>496.28</c:v>
                </c:pt>
                <c:pt idx="204">
                  <c:v>492.15</c:v>
                </c:pt>
                <c:pt idx="205">
                  <c:v>487.14</c:v>
                </c:pt>
                <c:pt idx="206">
                  <c:v>483.16</c:v>
                </c:pt>
                <c:pt idx="207">
                  <c:v>478.09</c:v>
                </c:pt>
                <c:pt idx="208">
                  <c:v>473.6</c:v>
                </c:pt>
                <c:pt idx="209">
                  <c:v>468.94</c:v>
                </c:pt>
                <c:pt idx="210">
                  <c:v>464.11</c:v>
                </c:pt>
                <c:pt idx="211">
                  <c:v>458.81</c:v>
                </c:pt>
                <c:pt idx="212">
                  <c:v>453.25</c:v>
                </c:pt>
                <c:pt idx="213">
                  <c:v>447.83</c:v>
                </c:pt>
                <c:pt idx="214">
                  <c:v>442.1</c:v>
                </c:pt>
                <c:pt idx="215">
                  <c:v>437.61</c:v>
                </c:pt>
                <c:pt idx="216">
                  <c:v>432.47</c:v>
                </c:pt>
                <c:pt idx="217">
                  <c:v>427.56</c:v>
                </c:pt>
                <c:pt idx="218">
                  <c:v>422.41</c:v>
                </c:pt>
                <c:pt idx="219">
                  <c:v>429.82</c:v>
                </c:pt>
                <c:pt idx="220">
                  <c:v>441.16</c:v>
                </c:pt>
                <c:pt idx="221">
                  <c:v>453.01</c:v>
                </c:pt>
                <c:pt idx="222">
                  <c:v>459.16</c:v>
                </c:pt>
                <c:pt idx="223">
                  <c:v>456.25</c:v>
                </c:pt>
                <c:pt idx="224">
                  <c:v>456.92</c:v>
                </c:pt>
                <c:pt idx="225">
                  <c:v>455.74</c:v>
                </c:pt>
                <c:pt idx="226">
                  <c:v>453.74</c:v>
                </c:pt>
                <c:pt idx="227">
                  <c:v>448.48</c:v>
                </c:pt>
                <c:pt idx="228">
                  <c:v>445.74</c:v>
                </c:pt>
                <c:pt idx="229">
                  <c:v>451.29</c:v>
                </c:pt>
                <c:pt idx="230">
                  <c:v>449.3</c:v>
                </c:pt>
                <c:pt idx="231">
                  <c:v>444.06</c:v>
                </c:pt>
                <c:pt idx="232">
                  <c:v>441.79</c:v>
                </c:pt>
                <c:pt idx="233">
                  <c:v>442.84</c:v>
                </c:pt>
                <c:pt idx="234">
                  <c:v>444.2</c:v>
                </c:pt>
                <c:pt idx="235">
                  <c:v>445.6</c:v>
                </c:pt>
                <c:pt idx="236">
                  <c:v>446.81</c:v>
                </c:pt>
                <c:pt idx="237">
                  <c:v>442.84</c:v>
                </c:pt>
                <c:pt idx="238">
                  <c:v>441.65</c:v>
                </c:pt>
                <c:pt idx="239">
                  <c:v>438.81</c:v>
                </c:pt>
                <c:pt idx="240">
                  <c:v>436.24</c:v>
                </c:pt>
                <c:pt idx="241">
                  <c:v>432.16</c:v>
                </c:pt>
                <c:pt idx="242">
                  <c:v>430.39</c:v>
                </c:pt>
                <c:pt idx="243">
                  <c:v>429.44</c:v>
                </c:pt>
                <c:pt idx="244">
                  <c:v>427.93</c:v>
                </c:pt>
                <c:pt idx="245">
                  <c:v>426.05</c:v>
                </c:pt>
                <c:pt idx="246">
                  <c:v>423.66</c:v>
                </c:pt>
                <c:pt idx="247">
                  <c:v>421.21</c:v>
                </c:pt>
                <c:pt idx="248">
                  <c:v>418.35</c:v>
                </c:pt>
                <c:pt idx="249">
                  <c:v>416.4</c:v>
                </c:pt>
                <c:pt idx="250">
                  <c:v>414.61</c:v>
                </c:pt>
                <c:pt idx="251">
                  <c:v>411.17</c:v>
                </c:pt>
                <c:pt idx="252">
                  <c:v>407.98</c:v>
                </c:pt>
                <c:pt idx="253">
                  <c:v>404.76</c:v>
                </c:pt>
                <c:pt idx="254">
                  <c:v>400.45</c:v>
                </c:pt>
                <c:pt idx="255">
                  <c:v>398.26</c:v>
                </c:pt>
                <c:pt idx="256">
                  <c:v>396.21</c:v>
                </c:pt>
                <c:pt idx="257">
                  <c:v>392.34</c:v>
                </c:pt>
                <c:pt idx="258">
                  <c:v>389.09</c:v>
                </c:pt>
                <c:pt idx="259">
                  <c:v>386.01</c:v>
                </c:pt>
                <c:pt idx="260">
                  <c:v>383</c:v>
                </c:pt>
                <c:pt idx="261">
                  <c:v>380.55</c:v>
                </c:pt>
                <c:pt idx="262">
                  <c:v>378.71</c:v>
                </c:pt>
                <c:pt idx="263">
                  <c:v>376.29</c:v>
                </c:pt>
                <c:pt idx="264">
                  <c:v>372.77</c:v>
                </c:pt>
                <c:pt idx="265">
                  <c:v>369.03</c:v>
                </c:pt>
                <c:pt idx="266">
                  <c:v>365.16</c:v>
                </c:pt>
                <c:pt idx="267">
                  <c:v>362.22</c:v>
                </c:pt>
                <c:pt idx="268">
                  <c:v>358.55</c:v>
                </c:pt>
                <c:pt idx="269">
                  <c:v>356.63</c:v>
                </c:pt>
                <c:pt idx="270">
                  <c:v>353.75</c:v>
                </c:pt>
                <c:pt idx="271">
                  <c:v>350.96</c:v>
                </c:pt>
                <c:pt idx="272">
                  <c:v>348.16</c:v>
                </c:pt>
                <c:pt idx="273">
                  <c:v>345.2</c:v>
                </c:pt>
                <c:pt idx="274">
                  <c:v>342.29</c:v>
                </c:pt>
                <c:pt idx="275">
                  <c:v>339.48</c:v>
                </c:pt>
                <c:pt idx="276">
                  <c:v>336.77</c:v>
                </c:pt>
                <c:pt idx="277">
                  <c:v>334.05</c:v>
                </c:pt>
                <c:pt idx="278">
                  <c:v>331.36</c:v>
                </c:pt>
                <c:pt idx="279">
                  <c:v>328.96</c:v>
                </c:pt>
                <c:pt idx="280">
                  <c:v>326.83999999999997</c:v>
                </c:pt>
                <c:pt idx="281">
                  <c:v>324.2</c:v>
                </c:pt>
                <c:pt idx="282">
                  <c:v>322.14</c:v>
                </c:pt>
                <c:pt idx="283">
                  <c:v>319.77999999999997</c:v>
                </c:pt>
                <c:pt idx="284">
                  <c:v>317.70999999999998</c:v>
                </c:pt>
                <c:pt idx="285">
                  <c:v>315.37</c:v>
                </c:pt>
                <c:pt idx="286">
                  <c:v>312.70999999999998</c:v>
                </c:pt>
                <c:pt idx="287">
                  <c:v>310</c:v>
                </c:pt>
                <c:pt idx="288">
                  <c:v>307.98</c:v>
                </c:pt>
                <c:pt idx="289">
                  <c:v>306.5</c:v>
                </c:pt>
                <c:pt idx="290">
                  <c:v>303.92</c:v>
                </c:pt>
                <c:pt idx="291">
                  <c:v>301.7</c:v>
                </c:pt>
                <c:pt idx="292">
                  <c:v>299.64999999999998</c:v>
                </c:pt>
                <c:pt idx="293">
                  <c:v>297.74</c:v>
                </c:pt>
                <c:pt idx="294">
                  <c:v>295.83</c:v>
                </c:pt>
                <c:pt idx="295">
                  <c:v>293.95</c:v>
                </c:pt>
                <c:pt idx="296">
                  <c:v>292.10000000000002</c:v>
                </c:pt>
                <c:pt idx="297">
                  <c:v>290.27</c:v>
                </c:pt>
                <c:pt idx="298">
                  <c:v>288.51</c:v>
                </c:pt>
                <c:pt idx="299">
                  <c:v>286.76</c:v>
                </c:pt>
                <c:pt idx="300">
                  <c:v>290.06</c:v>
                </c:pt>
                <c:pt idx="301">
                  <c:v>283.32</c:v>
                </c:pt>
                <c:pt idx="302">
                  <c:v>281.31</c:v>
                </c:pt>
                <c:pt idx="303">
                  <c:v>279.62</c:v>
                </c:pt>
                <c:pt idx="304">
                  <c:v>278.04000000000002</c:v>
                </c:pt>
                <c:pt idx="305">
                  <c:v>284.73</c:v>
                </c:pt>
                <c:pt idx="306">
                  <c:v>325.76</c:v>
                </c:pt>
                <c:pt idx="307">
                  <c:v>394.65</c:v>
                </c:pt>
                <c:pt idx="308">
                  <c:v>528.04999999999995</c:v>
                </c:pt>
                <c:pt idx="309">
                  <c:v>783.76</c:v>
                </c:pt>
                <c:pt idx="310">
                  <c:v>1089</c:v>
                </c:pt>
                <c:pt idx="311">
                  <c:v>2005.63</c:v>
                </c:pt>
                <c:pt idx="312">
                  <c:v>3056.95</c:v>
                </c:pt>
                <c:pt idx="313">
                  <c:v>5893.74</c:v>
                </c:pt>
                <c:pt idx="314">
                  <c:v>11596.07</c:v>
                </c:pt>
                <c:pt idx="315">
                  <c:v>15788.38</c:v>
                </c:pt>
                <c:pt idx="316">
                  <c:v>20101.54</c:v>
                </c:pt>
                <c:pt idx="317">
                  <c:v>21086.49</c:v>
                </c:pt>
                <c:pt idx="318">
                  <c:v>18671.41</c:v>
                </c:pt>
                <c:pt idx="319">
                  <c:v>16823.23</c:v>
                </c:pt>
                <c:pt idx="320">
                  <c:v>14364</c:v>
                </c:pt>
                <c:pt idx="321">
                  <c:v>12666.53</c:v>
                </c:pt>
                <c:pt idx="322">
                  <c:v>11208.14</c:v>
                </c:pt>
                <c:pt idx="323">
                  <c:v>11462.98</c:v>
                </c:pt>
                <c:pt idx="324">
                  <c:v>9902.14</c:v>
                </c:pt>
                <c:pt idx="325">
                  <c:v>9670.26</c:v>
                </c:pt>
                <c:pt idx="326">
                  <c:v>9869.5</c:v>
                </c:pt>
                <c:pt idx="327">
                  <c:v>9450.0400000000009</c:v>
                </c:pt>
                <c:pt idx="328">
                  <c:v>9736.73</c:v>
                </c:pt>
                <c:pt idx="329">
                  <c:v>9450.26</c:v>
                </c:pt>
                <c:pt idx="330">
                  <c:v>9807.58</c:v>
                </c:pt>
                <c:pt idx="331">
                  <c:v>9886.42</c:v>
                </c:pt>
                <c:pt idx="332">
                  <c:v>10419.15</c:v>
                </c:pt>
                <c:pt idx="333">
                  <c:v>10592.06</c:v>
                </c:pt>
                <c:pt idx="334">
                  <c:v>10570.93</c:v>
                </c:pt>
                <c:pt idx="335">
                  <c:v>10624.63</c:v>
                </c:pt>
                <c:pt idx="336">
                  <c:v>9966.1299999999992</c:v>
                </c:pt>
                <c:pt idx="337">
                  <c:v>9815.4</c:v>
                </c:pt>
                <c:pt idx="338">
                  <c:v>9306.14</c:v>
                </c:pt>
                <c:pt idx="339">
                  <c:v>8868.01</c:v>
                </c:pt>
                <c:pt idx="340">
                  <c:v>8428.0499999999993</c:v>
                </c:pt>
                <c:pt idx="341">
                  <c:v>7965.76</c:v>
                </c:pt>
                <c:pt idx="342">
                  <c:v>7574.01</c:v>
                </c:pt>
                <c:pt idx="343">
                  <c:v>7207.29</c:v>
                </c:pt>
                <c:pt idx="344">
                  <c:v>6847.7</c:v>
                </c:pt>
                <c:pt idx="345">
                  <c:v>6443.41</c:v>
                </c:pt>
                <c:pt idx="346">
                  <c:v>6189.54</c:v>
                </c:pt>
                <c:pt idx="347">
                  <c:v>5925.8</c:v>
                </c:pt>
                <c:pt idx="348">
                  <c:v>5647.93</c:v>
                </c:pt>
                <c:pt idx="349">
                  <c:v>5322.78</c:v>
                </c:pt>
                <c:pt idx="350">
                  <c:v>5103.4399999999996</c:v>
                </c:pt>
                <c:pt idx="351">
                  <c:v>4854.54</c:v>
                </c:pt>
                <c:pt idx="352">
                  <c:v>4629.09</c:v>
                </c:pt>
                <c:pt idx="353">
                  <c:v>4414.54</c:v>
                </c:pt>
                <c:pt idx="354">
                  <c:v>4169.3900000000003</c:v>
                </c:pt>
                <c:pt idx="355">
                  <c:v>3975.65</c:v>
                </c:pt>
                <c:pt idx="356">
                  <c:v>3814.11</c:v>
                </c:pt>
                <c:pt idx="357">
                  <c:v>3662.05</c:v>
                </c:pt>
                <c:pt idx="358">
                  <c:v>3550.51</c:v>
                </c:pt>
                <c:pt idx="359">
                  <c:v>3409.51</c:v>
                </c:pt>
                <c:pt idx="360">
                  <c:v>3323.49</c:v>
                </c:pt>
                <c:pt idx="361">
                  <c:v>3186.82</c:v>
                </c:pt>
                <c:pt idx="362">
                  <c:v>3098.73</c:v>
                </c:pt>
                <c:pt idx="363">
                  <c:v>2999.82</c:v>
                </c:pt>
                <c:pt idx="364">
                  <c:v>2934.96</c:v>
                </c:pt>
                <c:pt idx="365">
                  <c:v>2841.24</c:v>
                </c:pt>
                <c:pt idx="366">
                  <c:v>2783.16</c:v>
                </c:pt>
                <c:pt idx="367">
                  <c:v>2706.43</c:v>
                </c:pt>
                <c:pt idx="368">
                  <c:v>2638.61</c:v>
                </c:pt>
                <c:pt idx="369">
                  <c:v>2582.42</c:v>
                </c:pt>
                <c:pt idx="370">
                  <c:v>2527.96</c:v>
                </c:pt>
                <c:pt idx="371">
                  <c:v>2474.11</c:v>
                </c:pt>
                <c:pt idx="372">
                  <c:v>2430.46</c:v>
                </c:pt>
                <c:pt idx="373">
                  <c:v>2382.71</c:v>
                </c:pt>
                <c:pt idx="374">
                  <c:v>2313.67</c:v>
                </c:pt>
                <c:pt idx="375">
                  <c:v>2273.9699999999998</c:v>
                </c:pt>
                <c:pt idx="376">
                  <c:v>2224.9299999999998</c:v>
                </c:pt>
                <c:pt idx="377">
                  <c:v>2199.8000000000002</c:v>
                </c:pt>
                <c:pt idx="378">
                  <c:v>2146.4299999999998</c:v>
                </c:pt>
                <c:pt idx="379">
                  <c:v>2100.04</c:v>
                </c:pt>
                <c:pt idx="380">
                  <c:v>2069.04</c:v>
                </c:pt>
                <c:pt idx="381">
                  <c:v>2020.64</c:v>
                </c:pt>
                <c:pt idx="382">
                  <c:v>1985.67</c:v>
                </c:pt>
                <c:pt idx="383">
                  <c:v>1970.73</c:v>
                </c:pt>
                <c:pt idx="384">
                  <c:v>1935</c:v>
                </c:pt>
                <c:pt idx="385">
                  <c:v>1902.61</c:v>
                </c:pt>
                <c:pt idx="386">
                  <c:v>1883.52</c:v>
                </c:pt>
                <c:pt idx="387">
                  <c:v>1840.93</c:v>
                </c:pt>
                <c:pt idx="388">
                  <c:v>1816.89</c:v>
                </c:pt>
                <c:pt idx="389">
                  <c:v>1775.6</c:v>
                </c:pt>
                <c:pt idx="390">
                  <c:v>1764.62</c:v>
                </c:pt>
                <c:pt idx="391">
                  <c:v>1744.01</c:v>
                </c:pt>
                <c:pt idx="392">
                  <c:v>1709.81</c:v>
                </c:pt>
                <c:pt idx="393">
                  <c:v>1683.2</c:v>
                </c:pt>
                <c:pt idx="394">
                  <c:v>1676.09</c:v>
                </c:pt>
                <c:pt idx="395">
                  <c:v>1646.67</c:v>
                </c:pt>
                <c:pt idx="396">
                  <c:v>1624.91</c:v>
                </c:pt>
                <c:pt idx="397">
                  <c:v>1603.57</c:v>
                </c:pt>
                <c:pt idx="398">
                  <c:v>1584.7</c:v>
                </c:pt>
                <c:pt idx="399">
                  <c:v>1567.83</c:v>
                </c:pt>
                <c:pt idx="400">
                  <c:v>1546.84</c:v>
                </c:pt>
                <c:pt idx="401">
                  <c:v>1534.38</c:v>
                </c:pt>
                <c:pt idx="402">
                  <c:v>1511.89</c:v>
                </c:pt>
                <c:pt idx="403">
                  <c:v>1488.75</c:v>
                </c:pt>
                <c:pt idx="404">
                  <c:v>1481.47</c:v>
                </c:pt>
                <c:pt idx="405">
                  <c:v>1462.41</c:v>
                </c:pt>
                <c:pt idx="406">
                  <c:v>1447.63</c:v>
                </c:pt>
                <c:pt idx="407">
                  <c:v>1435.82</c:v>
                </c:pt>
                <c:pt idx="408">
                  <c:v>1415.93</c:v>
                </c:pt>
                <c:pt idx="409">
                  <c:v>1399.91</c:v>
                </c:pt>
                <c:pt idx="410">
                  <c:v>1393.17</c:v>
                </c:pt>
                <c:pt idx="411">
                  <c:v>1373.31</c:v>
                </c:pt>
                <c:pt idx="412">
                  <c:v>1359.02</c:v>
                </c:pt>
                <c:pt idx="413">
                  <c:v>1347.78</c:v>
                </c:pt>
                <c:pt idx="414">
                  <c:v>1322.93</c:v>
                </c:pt>
                <c:pt idx="415">
                  <c:v>1321.6</c:v>
                </c:pt>
                <c:pt idx="416">
                  <c:v>1290.6199999999999</c:v>
                </c:pt>
                <c:pt idx="417">
                  <c:v>1286.97</c:v>
                </c:pt>
                <c:pt idx="418">
                  <c:v>1264.78</c:v>
                </c:pt>
                <c:pt idx="419">
                  <c:v>1267.97</c:v>
                </c:pt>
                <c:pt idx="420">
                  <c:v>1244.76</c:v>
                </c:pt>
                <c:pt idx="421">
                  <c:v>1229.07</c:v>
                </c:pt>
                <c:pt idx="422">
                  <c:v>1216.68</c:v>
                </c:pt>
                <c:pt idx="423">
                  <c:v>1209.8800000000001</c:v>
                </c:pt>
                <c:pt idx="424">
                  <c:v>1197.83</c:v>
                </c:pt>
                <c:pt idx="425">
                  <c:v>1172.05</c:v>
                </c:pt>
                <c:pt idx="426">
                  <c:v>1187.78</c:v>
                </c:pt>
                <c:pt idx="427">
                  <c:v>1164.33</c:v>
                </c:pt>
                <c:pt idx="428">
                  <c:v>1151.23</c:v>
                </c:pt>
                <c:pt idx="429">
                  <c:v>1129.4100000000001</c:v>
                </c:pt>
                <c:pt idx="430">
                  <c:v>1124.3</c:v>
                </c:pt>
                <c:pt idx="431">
                  <c:v>1113.45</c:v>
                </c:pt>
                <c:pt idx="432">
                  <c:v>1104.6500000000001</c:v>
                </c:pt>
                <c:pt idx="433">
                  <c:v>1097.53</c:v>
                </c:pt>
                <c:pt idx="434">
                  <c:v>1089.76</c:v>
                </c:pt>
                <c:pt idx="435">
                  <c:v>1074.8</c:v>
                </c:pt>
                <c:pt idx="436">
                  <c:v>1070.6600000000001</c:v>
                </c:pt>
                <c:pt idx="437">
                  <c:v>1049.9100000000001</c:v>
                </c:pt>
                <c:pt idx="438">
                  <c:v>1052.96</c:v>
                </c:pt>
                <c:pt idx="439">
                  <c:v>1037.6199999999999</c:v>
                </c:pt>
                <c:pt idx="440">
                  <c:v>1030.52</c:v>
                </c:pt>
                <c:pt idx="441">
                  <c:v>1026.26</c:v>
                </c:pt>
                <c:pt idx="442">
                  <c:v>1012.86</c:v>
                </c:pt>
                <c:pt idx="443">
                  <c:v>1006.57</c:v>
                </c:pt>
                <c:pt idx="444">
                  <c:v>993.54</c:v>
                </c:pt>
                <c:pt idx="445">
                  <c:v>979.25</c:v>
                </c:pt>
                <c:pt idx="446">
                  <c:v>980.51</c:v>
                </c:pt>
                <c:pt idx="447">
                  <c:v>966.43</c:v>
                </c:pt>
                <c:pt idx="448">
                  <c:v>961.36</c:v>
                </c:pt>
                <c:pt idx="449">
                  <c:v>951.83</c:v>
                </c:pt>
                <c:pt idx="450">
                  <c:v>941.82</c:v>
                </c:pt>
                <c:pt idx="451">
                  <c:v>935.01</c:v>
                </c:pt>
                <c:pt idx="452">
                  <c:v>930.04</c:v>
                </c:pt>
                <c:pt idx="453">
                  <c:v>921.09</c:v>
                </c:pt>
                <c:pt idx="454">
                  <c:v>911.61</c:v>
                </c:pt>
                <c:pt idx="455">
                  <c:v>902.15</c:v>
                </c:pt>
                <c:pt idx="456">
                  <c:v>895.75</c:v>
                </c:pt>
                <c:pt idx="457">
                  <c:v>890.45</c:v>
                </c:pt>
                <c:pt idx="458">
                  <c:v>883.73</c:v>
                </c:pt>
                <c:pt idx="459">
                  <c:v>878.82</c:v>
                </c:pt>
                <c:pt idx="460">
                  <c:v>871.77</c:v>
                </c:pt>
                <c:pt idx="461">
                  <c:v>861.12</c:v>
                </c:pt>
                <c:pt idx="462">
                  <c:v>853.16</c:v>
                </c:pt>
                <c:pt idx="463">
                  <c:v>846</c:v>
                </c:pt>
                <c:pt idx="464">
                  <c:v>838.25</c:v>
                </c:pt>
                <c:pt idx="465">
                  <c:v>828.35</c:v>
                </c:pt>
                <c:pt idx="466">
                  <c:v>824.76</c:v>
                </c:pt>
                <c:pt idx="467">
                  <c:v>815.21</c:v>
                </c:pt>
                <c:pt idx="468">
                  <c:v>810.36</c:v>
                </c:pt>
                <c:pt idx="469">
                  <c:v>803.69</c:v>
                </c:pt>
                <c:pt idx="470">
                  <c:v>797.28</c:v>
                </c:pt>
                <c:pt idx="471">
                  <c:v>793.51</c:v>
                </c:pt>
                <c:pt idx="472">
                  <c:v>789.21</c:v>
                </c:pt>
                <c:pt idx="473">
                  <c:v>782.36</c:v>
                </c:pt>
                <c:pt idx="474">
                  <c:v>774.35</c:v>
                </c:pt>
                <c:pt idx="475">
                  <c:v>766.96</c:v>
                </c:pt>
                <c:pt idx="476">
                  <c:v>760.29</c:v>
                </c:pt>
                <c:pt idx="477">
                  <c:v>753.84</c:v>
                </c:pt>
                <c:pt idx="478">
                  <c:v>747.5</c:v>
                </c:pt>
                <c:pt idx="479">
                  <c:v>741.34</c:v>
                </c:pt>
                <c:pt idx="480">
                  <c:v>735.52</c:v>
                </c:pt>
                <c:pt idx="481">
                  <c:v>729.89</c:v>
                </c:pt>
                <c:pt idx="482">
                  <c:v>724.33</c:v>
                </c:pt>
                <c:pt idx="483">
                  <c:v>718.76</c:v>
                </c:pt>
                <c:pt idx="484">
                  <c:v>714.96</c:v>
                </c:pt>
                <c:pt idx="485">
                  <c:v>708.1</c:v>
                </c:pt>
                <c:pt idx="486">
                  <c:v>702.62</c:v>
                </c:pt>
                <c:pt idx="487">
                  <c:v>697.36</c:v>
                </c:pt>
                <c:pt idx="488">
                  <c:v>692.04</c:v>
                </c:pt>
                <c:pt idx="489">
                  <c:v>686.55</c:v>
                </c:pt>
                <c:pt idx="490">
                  <c:v>681.25</c:v>
                </c:pt>
                <c:pt idx="491">
                  <c:v>676.2</c:v>
                </c:pt>
                <c:pt idx="492">
                  <c:v>671.39</c:v>
                </c:pt>
                <c:pt idx="493">
                  <c:v>666.23</c:v>
                </c:pt>
                <c:pt idx="494">
                  <c:v>660.94</c:v>
                </c:pt>
                <c:pt idx="495">
                  <c:v>655.45</c:v>
                </c:pt>
                <c:pt idx="496">
                  <c:v>650.29</c:v>
                </c:pt>
                <c:pt idx="497">
                  <c:v>645.26</c:v>
                </c:pt>
                <c:pt idx="498">
                  <c:v>640.05999999999995</c:v>
                </c:pt>
                <c:pt idx="499">
                  <c:v>634.92999999999995</c:v>
                </c:pt>
                <c:pt idx="500">
                  <c:v>627.6</c:v>
                </c:pt>
                <c:pt idx="501">
                  <c:v>624.28</c:v>
                </c:pt>
                <c:pt idx="502">
                  <c:v>620.46</c:v>
                </c:pt>
                <c:pt idx="503">
                  <c:v>615.54</c:v>
                </c:pt>
                <c:pt idx="504">
                  <c:v>610.67999999999995</c:v>
                </c:pt>
                <c:pt idx="505">
                  <c:v>606.16</c:v>
                </c:pt>
                <c:pt idx="506">
                  <c:v>601.41</c:v>
                </c:pt>
                <c:pt idx="507">
                  <c:v>596.48</c:v>
                </c:pt>
                <c:pt idx="508">
                  <c:v>591.88</c:v>
                </c:pt>
                <c:pt idx="509">
                  <c:v>592.67999999999995</c:v>
                </c:pt>
                <c:pt idx="510">
                  <c:v>583.20000000000005</c:v>
                </c:pt>
                <c:pt idx="511">
                  <c:v>579.04</c:v>
                </c:pt>
                <c:pt idx="512">
                  <c:v>574.24</c:v>
                </c:pt>
                <c:pt idx="513">
                  <c:v>568.94000000000005</c:v>
                </c:pt>
                <c:pt idx="514">
                  <c:v>563.11</c:v>
                </c:pt>
                <c:pt idx="515">
                  <c:v>564.78</c:v>
                </c:pt>
                <c:pt idx="516">
                  <c:v>557.46</c:v>
                </c:pt>
                <c:pt idx="517">
                  <c:v>556.86</c:v>
                </c:pt>
                <c:pt idx="518">
                  <c:v>552.37</c:v>
                </c:pt>
                <c:pt idx="519">
                  <c:v>544.79</c:v>
                </c:pt>
                <c:pt idx="520">
                  <c:v>541.54999999999995</c:v>
                </c:pt>
                <c:pt idx="521">
                  <c:v>539.64</c:v>
                </c:pt>
                <c:pt idx="522">
                  <c:v>535.54</c:v>
                </c:pt>
                <c:pt idx="523">
                  <c:v>528.41</c:v>
                </c:pt>
                <c:pt idx="524">
                  <c:v>522.22</c:v>
                </c:pt>
                <c:pt idx="525">
                  <c:v>521.16</c:v>
                </c:pt>
                <c:pt idx="526">
                  <c:v>516.04</c:v>
                </c:pt>
                <c:pt idx="527">
                  <c:v>511.01</c:v>
                </c:pt>
                <c:pt idx="528">
                  <c:v>508.35</c:v>
                </c:pt>
              </c:numCache>
            </c:numRef>
          </c:yVal>
          <c:smooth val="0"/>
          <c:extLst xmlns:c15="http://schemas.microsoft.com/office/drawing/2012/chart">
            <c:ext xmlns:c16="http://schemas.microsoft.com/office/drawing/2014/chart" uri="{C3380CC4-5D6E-409C-BE32-E72D297353CC}">
              <c16:uniqueId val="{00000001-385C-43EC-B66E-2D5F0CA3D4E7}"/>
            </c:ext>
          </c:extLst>
        </c:ser>
        <c:ser>
          <c:idx val="7"/>
          <c:order val="7"/>
          <c:tx>
            <c:v>Obs Statistics Range</c:v>
          </c:tx>
          <c:spPr>
            <a:ln>
              <a:noFill/>
            </a:ln>
          </c:spPr>
          <c:marker>
            <c:symbol val="circle"/>
            <c:size val="5"/>
            <c:spPr>
              <a:solidFill>
                <a:schemeClr val="tx1">
                  <a:lumMod val="75000"/>
                  <a:lumOff val="25000"/>
                </a:schemeClr>
              </a:solidFill>
              <a:ln>
                <a:solidFill>
                  <a:schemeClr val="tx1">
                    <a:lumMod val="75000"/>
                    <a:lumOff val="25000"/>
                  </a:schemeClr>
                </a:solidFill>
              </a:ln>
            </c:spPr>
          </c:marker>
          <c:xVal>
            <c:numRef>
              <c:f>Gage_and_Event!$AR$5:$AR$2000</c:f>
              <c:numCache>
                <c:formatCode>m/d/yy\ h:mm;@</c:formatCode>
                <c:ptCount val="1996"/>
                <c:pt idx="0">
                  <c:v>37931.541666666664</c:v>
                </c:pt>
                <c:pt idx="1">
                  <c:v>37931.583333333336</c:v>
                </c:pt>
                <c:pt idx="2">
                  <c:v>37931.625</c:v>
                </c:pt>
                <c:pt idx="3">
                  <c:v>37931.666666666664</c:v>
                </c:pt>
                <c:pt idx="4">
                  <c:v>37931.708333333336</c:v>
                </c:pt>
                <c:pt idx="5">
                  <c:v>37931.75</c:v>
                </c:pt>
                <c:pt idx="6">
                  <c:v>37931.791666666664</c:v>
                </c:pt>
                <c:pt idx="7">
                  <c:v>37931.833333333336</c:v>
                </c:pt>
                <c:pt idx="8">
                  <c:v>37931.875</c:v>
                </c:pt>
                <c:pt idx="9">
                  <c:v>37931.916666666664</c:v>
                </c:pt>
                <c:pt idx="10">
                  <c:v>37931.958333333336</c:v>
                </c:pt>
                <c:pt idx="11">
                  <c:v>37932</c:v>
                </c:pt>
                <c:pt idx="12">
                  <c:v>37932.041666666664</c:v>
                </c:pt>
                <c:pt idx="13">
                  <c:v>37932.083333333336</c:v>
                </c:pt>
                <c:pt idx="14">
                  <c:v>37932.125</c:v>
                </c:pt>
                <c:pt idx="15">
                  <c:v>37932.166666666664</c:v>
                </c:pt>
                <c:pt idx="16">
                  <c:v>37932.208333333336</c:v>
                </c:pt>
                <c:pt idx="17">
                  <c:v>37932.25</c:v>
                </c:pt>
                <c:pt idx="18">
                  <c:v>37932.291666666664</c:v>
                </c:pt>
                <c:pt idx="19">
                  <c:v>37932.333333333336</c:v>
                </c:pt>
                <c:pt idx="20">
                  <c:v>37932.375</c:v>
                </c:pt>
                <c:pt idx="21">
                  <c:v>37932.416666666664</c:v>
                </c:pt>
                <c:pt idx="22">
                  <c:v>37932.458333333336</c:v>
                </c:pt>
                <c:pt idx="23">
                  <c:v>37932.5</c:v>
                </c:pt>
                <c:pt idx="24">
                  <c:v>37932.541666666664</c:v>
                </c:pt>
                <c:pt idx="25">
                  <c:v>37932.583333333336</c:v>
                </c:pt>
                <c:pt idx="26">
                  <c:v>37932.625</c:v>
                </c:pt>
                <c:pt idx="27">
                  <c:v>37932.666666666664</c:v>
                </c:pt>
                <c:pt idx="28">
                  <c:v>37932.708333333336</c:v>
                </c:pt>
                <c:pt idx="29">
                  <c:v>37932.75</c:v>
                </c:pt>
                <c:pt idx="30">
                  <c:v>37932.791666666664</c:v>
                </c:pt>
                <c:pt idx="31">
                  <c:v>37932.833333333336</c:v>
                </c:pt>
                <c:pt idx="32">
                  <c:v>37932.875</c:v>
                </c:pt>
                <c:pt idx="33">
                  <c:v>37932.916666666664</c:v>
                </c:pt>
                <c:pt idx="34">
                  <c:v>37932.958333333336</c:v>
                </c:pt>
                <c:pt idx="35">
                  <c:v>37933</c:v>
                </c:pt>
                <c:pt idx="36">
                  <c:v>37933.041666666664</c:v>
                </c:pt>
                <c:pt idx="37">
                  <c:v>37933.083333333336</c:v>
                </c:pt>
                <c:pt idx="38">
                  <c:v>37933.125</c:v>
                </c:pt>
                <c:pt idx="39">
                  <c:v>37933.166666666664</c:v>
                </c:pt>
                <c:pt idx="40">
                  <c:v>37933.208333333336</c:v>
                </c:pt>
                <c:pt idx="41">
                  <c:v>37933.25</c:v>
                </c:pt>
                <c:pt idx="42">
                  <c:v>37933.291666666664</c:v>
                </c:pt>
                <c:pt idx="43">
                  <c:v>37933.333333333336</c:v>
                </c:pt>
                <c:pt idx="44">
                  <c:v>37933.375</c:v>
                </c:pt>
                <c:pt idx="45">
                  <c:v>37933.416666666664</c:v>
                </c:pt>
                <c:pt idx="46">
                  <c:v>37933.458333333336</c:v>
                </c:pt>
                <c:pt idx="47">
                  <c:v>37933.5</c:v>
                </c:pt>
                <c:pt idx="48">
                  <c:v>37933.541666666664</c:v>
                </c:pt>
                <c:pt idx="49">
                  <c:v>37933.583333333336</c:v>
                </c:pt>
                <c:pt idx="50">
                  <c:v>37933.625</c:v>
                </c:pt>
                <c:pt idx="51">
                  <c:v>37933.666666666664</c:v>
                </c:pt>
                <c:pt idx="52">
                  <c:v>37933.708333333336</c:v>
                </c:pt>
                <c:pt idx="53">
                  <c:v>37933.75</c:v>
                </c:pt>
                <c:pt idx="54">
                  <c:v>37933.791666666664</c:v>
                </c:pt>
                <c:pt idx="55">
                  <c:v>37933.833333333336</c:v>
                </c:pt>
                <c:pt idx="56">
                  <c:v>37933.875</c:v>
                </c:pt>
                <c:pt idx="57">
                  <c:v>37933.916666666664</c:v>
                </c:pt>
                <c:pt idx="58">
                  <c:v>37933.958333333336</c:v>
                </c:pt>
                <c:pt idx="59">
                  <c:v>37934</c:v>
                </c:pt>
                <c:pt idx="60">
                  <c:v>37934.041666666664</c:v>
                </c:pt>
                <c:pt idx="61">
                  <c:v>37934.083333333336</c:v>
                </c:pt>
                <c:pt idx="62">
                  <c:v>37934.125</c:v>
                </c:pt>
                <c:pt idx="63">
                  <c:v>37934.166666666664</c:v>
                </c:pt>
                <c:pt idx="64">
                  <c:v>37934.208333333336</c:v>
                </c:pt>
                <c:pt idx="65">
                  <c:v>37934.25</c:v>
                </c:pt>
                <c:pt idx="66">
                  <c:v>37934.291666666664</c:v>
                </c:pt>
                <c:pt idx="67">
                  <c:v>37934.333333333336</c:v>
                </c:pt>
                <c:pt idx="68">
                  <c:v>37934.375</c:v>
                </c:pt>
                <c:pt idx="69">
                  <c:v>37934.416666666664</c:v>
                </c:pt>
                <c:pt idx="70">
                  <c:v>37934.458333333336</c:v>
                </c:pt>
                <c:pt idx="71">
                  <c:v>37934.5</c:v>
                </c:pt>
                <c:pt idx="72">
                  <c:v>37934.541666666664</c:v>
                </c:pt>
                <c:pt idx="73">
                  <c:v>37934.583333333336</c:v>
                </c:pt>
                <c:pt idx="74">
                  <c:v>37934.625</c:v>
                </c:pt>
                <c:pt idx="75">
                  <c:v>37934.666666666664</c:v>
                </c:pt>
                <c:pt idx="76">
                  <c:v>37934.708333333336</c:v>
                </c:pt>
                <c:pt idx="77">
                  <c:v>37934.75</c:v>
                </c:pt>
                <c:pt idx="78">
                  <c:v>37934.791666666664</c:v>
                </c:pt>
                <c:pt idx="79">
                  <c:v>37934.833333333336</c:v>
                </c:pt>
                <c:pt idx="80">
                  <c:v>37934.875</c:v>
                </c:pt>
                <c:pt idx="81">
                  <c:v>37934.916666666664</c:v>
                </c:pt>
                <c:pt idx="82">
                  <c:v>37934.958333333336</c:v>
                </c:pt>
                <c:pt idx="83">
                  <c:v>37935</c:v>
                </c:pt>
                <c:pt idx="84">
                  <c:v>37935.041666666664</c:v>
                </c:pt>
                <c:pt idx="85">
                  <c:v>37935.083333333336</c:v>
                </c:pt>
                <c:pt idx="86">
                  <c:v>37935.125</c:v>
                </c:pt>
                <c:pt idx="87">
                  <c:v>37935.166666666664</c:v>
                </c:pt>
                <c:pt idx="88">
                  <c:v>37935.208333333336</c:v>
                </c:pt>
                <c:pt idx="89">
                  <c:v>37935.25</c:v>
                </c:pt>
                <c:pt idx="90">
                  <c:v>37935.291666666664</c:v>
                </c:pt>
                <c:pt idx="91">
                  <c:v>37935.333333333336</c:v>
                </c:pt>
                <c:pt idx="92">
                  <c:v>37935.375</c:v>
                </c:pt>
                <c:pt idx="93">
                  <c:v>37935.416666666664</c:v>
                </c:pt>
                <c:pt idx="94">
                  <c:v>37935.458333333336</c:v>
                </c:pt>
                <c:pt idx="95">
                  <c:v>37935.5</c:v>
                </c:pt>
                <c:pt idx="96">
                  <c:v>37935.541666666664</c:v>
                </c:pt>
                <c:pt idx="97">
                  <c:v>37935.583333333336</c:v>
                </c:pt>
                <c:pt idx="98">
                  <c:v>37935.625</c:v>
                </c:pt>
                <c:pt idx="99">
                  <c:v>37935.666666666664</c:v>
                </c:pt>
                <c:pt idx="100">
                  <c:v>37935.708333333336</c:v>
                </c:pt>
                <c:pt idx="101">
                  <c:v>37935.75</c:v>
                </c:pt>
                <c:pt idx="102">
                  <c:v>37935.791666666664</c:v>
                </c:pt>
                <c:pt idx="103">
                  <c:v>37935.833333333336</c:v>
                </c:pt>
                <c:pt idx="104">
                  <c:v>37935.875</c:v>
                </c:pt>
                <c:pt idx="105">
                  <c:v>37935.916666666664</c:v>
                </c:pt>
                <c:pt idx="106">
                  <c:v>37935.958333333336</c:v>
                </c:pt>
                <c:pt idx="107">
                  <c:v>37936</c:v>
                </c:pt>
                <c:pt idx="108">
                  <c:v>37936.041666666664</c:v>
                </c:pt>
                <c:pt idx="109">
                  <c:v>37936.083333333336</c:v>
                </c:pt>
                <c:pt idx="110">
                  <c:v>37936.125</c:v>
                </c:pt>
                <c:pt idx="111">
                  <c:v>37936.166666666664</c:v>
                </c:pt>
                <c:pt idx="112">
                  <c:v>37936.208333333336</c:v>
                </c:pt>
                <c:pt idx="113">
                  <c:v>37936.25</c:v>
                </c:pt>
                <c:pt idx="114">
                  <c:v>37936.291666666664</c:v>
                </c:pt>
                <c:pt idx="115">
                  <c:v>37936.333333333336</c:v>
                </c:pt>
                <c:pt idx="116">
                  <c:v>37936.375</c:v>
                </c:pt>
                <c:pt idx="117">
                  <c:v>37936.416666666664</c:v>
                </c:pt>
                <c:pt idx="118">
                  <c:v>37936.458333333336</c:v>
                </c:pt>
                <c:pt idx="119">
                  <c:v>37936.5</c:v>
                </c:pt>
                <c:pt idx="120">
                  <c:v>37936.541666666664</c:v>
                </c:pt>
                <c:pt idx="121">
                  <c:v>37936.583333333336</c:v>
                </c:pt>
                <c:pt idx="122">
                  <c:v>37936.625</c:v>
                </c:pt>
                <c:pt idx="123">
                  <c:v>37936.666666666664</c:v>
                </c:pt>
                <c:pt idx="124">
                  <c:v>37936.708333333336</c:v>
                </c:pt>
                <c:pt idx="125">
                  <c:v>37936.75</c:v>
                </c:pt>
                <c:pt idx="126">
                  <c:v>37936.791666666664</c:v>
                </c:pt>
                <c:pt idx="127">
                  <c:v>37936.833333333336</c:v>
                </c:pt>
                <c:pt idx="128">
                  <c:v>37936.875</c:v>
                </c:pt>
                <c:pt idx="129">
                  <c:v>37936.916666666664</c:v>
                </c:pt>
                <c:pt idx="130">
                  <c:v>37936.958333333336</c:v>
                </c:pt>
                <c:pt idx="131">
                  <c:v>37937</c:v>
                </c:pt>
                <c:pt idx="132">
                  <c:v>37937.041666666664</c:v>
                </c:pt>
                <c:pt idx="133">
                  <c:v>37937.083333333336</c:v>
                </c:pt>
                <c:pt idx="134">
                  <c:v>37937.125</c:v>
                </c:pt>
                <c:pt idx="135">
                  <c:v>37937.166666666664</c:v>
                </c:pt>
                <c:pt idx="136">
                  <c:v>37937.208333333336</c:v>
                </c:pt>
                <c:pt idx="137">
                  <c:v>37937.25</c:v>
                </c:pt>
                <c:pt idx="138">
                  <c:v>37937.291666666664</c:v>
                </c:pt>
                <c:pt idx="139">
                  <c:v>37937.333333333336</c:v>
                </c:pt>
                <c:pt idx="140">
                  <c:v>37937.375</c:v>
                </c:pt>
                <c:pt idx="141">
                  <c:v>37937.416666666664</c:v>
                </c:pt>
                <c:pt idx="142">
                  <c:v>37937.458333333336</c:v>
                </c:pt>
                <c:pt idx="143">
                  <c:v>37937.5</c:v>
                </c:pt>
                <c:pt idx="144">
                  <c:v>37937.541666666664</c:v>
                </c:pt>
                <c:pt idx="145">
                  <c:v>37937.583333333336</c:v>
                </c:pt>
                <c:pt idx="146">
                  <c:v>37937.625</c:v>
                </c:pt>
                <c:pt idx="147">
                  <c:v>37937.666666666664</c:v>
                </c:pt>
                <c:pt idx="148">
                  <c:v>37937.708333333336</c:v>
                </c:pt>
                <c:pt idx="149">
                  <c:v>37937.75</c:v>
                </c:pt>
                <c:pt idx="150">
                  <c:v>37937.791666666664</c:v>
                </c:pt>
                <c:pt idx="151">
                  <c:v>37937.833333333336</c:v>
                </c:pt>
                <c:pt idx="152">
                  <c:v>37937.875</c:v>
                </c:pt>
                <c:pt idx="153">
                  <c:v>37937.916666666664</c:v>
                </c:pt>
                <c:pt idx="154">
                  <c:v>37937.958333333336</c:v>
                </c:pt>
                <c:pt idx="155">
                  <c:v>37938</c:v>
                </c:pt>
                <c:pt idx="156">
                  <c:v>37938.041666666664</c:v>
                </c:pt>
                <c:pt idx="157">
                  <c:v>37938.083333333336</c:v>
                </c:pt>
                <c:pt idx="158">
                  <c:v>37938.125</c:v>
                </c:pt>
                <c:pt idx="159">
                  <c:v>37938.166666666664</c:v>
                </c:pt>
                <c:pt idx="160">
                  <c:v>37938.208333333336</c:v>
                </c:pt>
                <c:pt idx="161">
                  <c:v>37938.25</c:v>
                </c:pt>
                <c:pt idx="162">
                  <c:v>37938.291666666664</c:v>
                </c:pt>
                <c:pt idx="163">
                  <c:v>37938.333333333336</c:v>
                </c:pt>
                <c:pt idx="164">
                  <c:v>37938.375</c:v>
                </c:pt>
                <c:pt idx="165">
                  <c:v>37938.416666666664</c:v>
                </c:pt>
                <c:pt idx="166">
                  <c:v>37938.458333333336</c:v>
                </c:pt>
                <c:pt idx="167">
                  <c:v>37938.5</c:v>
                </c:pt>
                <c:pt idx="168">
                  <c:v>37938.541666666664</c:v>
                </c:pt>
                <c:pt idx="169">
                  <c:v>37938.583333333336</c:v>
                </c:pt>
                <c:pt idx="170">
                  <c:v>37938.625</c:v>
                </c:pt>
                <c:pt idx="171">
                  <c:v>37938.666666666664</c:v>
                </c:pt>
                <c:pt idx="172">
                  <c:v>37938.708333333336</c:v>
                </c:pt>
                <c:pt idx="173">
                  <c:v>37938.75</c:v>
                </c:pt>
                <c:pt idx="174">
                  <c:v>37938.791666666664</c:v>
                </c:pt>
                <c:pt idx="175">
                  <c:v>37938.833333333336</c:v>
                </c:pt>
                <c:pt idx="176">
                  <c:v>37938.875</c:v>
                </c:pt>
                <c:pt idx="177">
                  <c:v>37938.916666666664</c:v>
                </c:pt>
                <c:pt idx="178">
                  <c:v>37938.958333333336</c:v>
                </c:pt>
                <c:pt idx="179">
                  <c:v>37939</c:v>
                </c:pt>
                <c:pt idx="180">
                  <c:v>37939.041666666664</c:v>
                </c:pt>
                <c:pt idx="181">
                  <c:v>37939.083333333336</c:v>
                </c:pt>
                <c:pt idx="182">
                  <c:v>37939.125</c:v>
                </c:pt>
                <c:pt idx="183">
                  <c:v>37939.166666666664</c:v>
                </c:pt>
                <c:pt idx="184">
                  <c:v>37939.208333333336</c:v>
                </c:pt>
                <c:pt idx="185">
                  <c:v>37939.25</c:v>
                </c:pt>
                <c:pt idx="186">
                  <c:v>37939.291666666664</c:v>
                </c:pt>
                <c:pt idx="187">
                  <c:v>37939.333333333336</c:v>
                </c:pt>
                <c:pt idx="188">
                  <c:v>37939.375</c:v>
                </c:pt>
                <c:pt idx="189">
                  <c:v>37939.416666666664</c:v>
                </c:pt>
                <c:pt idx="190">
                  <c:v>37939.458333333336</c:v>
                </c:pt>
                <c:pt idx="191">
                  <c:v>37939.5</c:v>
                </c:pt>
                <c:pt idx="192">
                  <c:v>37939.541666666664</c:v>
                </c:pt>
                <c:pt idx="193">
                  <c:v>37939.583333333336</c:v>
                </c:pt>
                <c:pt idx="194">
                  <c:v>37939.625</c:v>
                </c:pt>
                <c:pt idx="195">
                  <c:v>37939.666666666664</c:v>
                </c:pt>
                <c:pt idx="196">
                  <c:v>37939.708333333336</c:v>
                </c:pt>
                <c:pt idx="197">
                  <c:v>37939.75</c:v>
                </c:pt>
                <c:pt idx="198">
                  <c:v>37939.791666666664</c:v>
                </c:pt>
                <c:pt idx="199">
                  <c:v>37939.833333333336</c:v>
                </c:pt>
                <c:pt idx="200">
                  <c:v>37939.875</c:v>
                </c:pt>
                <c:pt idx="201">
                  <c:v>37939.916666666664</c:v>
                </c:pt>
                <c:pt idx="202">
                  <c:v>37939.958333333336</c:v>
                </c:pt>
                <c:pt idx="203">
                  <c:v>37940</c:v>
                </c:pt>
                <c:pt idx="204">
                  <c:v>37940.041666666664</c:v>
                </c:pt>
                <c:pt idx="205">
                  <c:v>37940.083333333336</c:v>
                </c:pt>
                <c:pt idx="206">
                  <c:v>37940.125</c:v>
                </c:pt>
                <c:pt idx="207">
                  <c:v>37940.166666666664</c:v>
                </c:pt>
                <c:pt idx="208">
                  <c:v>37940.208333333336</c:v>
                </c:pt>
                <c:pt idx="209">
                  <c:v>37940.25</c:v>
                </c:pt>
                <c:pt idx="210">
                  <c:v>37940.291666666664</c:v>
                </c:pt>
                <c:pt idx="211">
                  <c:v>37940.333333333336</c:v>
                </c:pt>
                <c:pt idx="212">
                  <c:v>37940.375</c:v>
                </c:pt>
                <c:pt idx="213">
                  <c:v>37940.416666666664</c:v>
                </c:pt>
                <c:pt idx="214">
                  <c:v>37940.458333333336</c:v>
                </c:pt>
                <c:pt idx="215">
                  <c:v>37940.5</c:v>
                </c:pt>
                <c:pt idx="216">
                  <c:v>37940.541666666664</c:v>
                </c:pt>
                <c:pt idx="217">
                  <c:v>37940.583333333336</c:v>
                </c:pt>
                <c:pt idx="218">
                  <c:v>37940.625</c:v>
                </c:pt>
                <c:pt idx="219">
                  <c:v>37940.666666666664</c:v>
                </c:pt>
                <c:pt idx="220">
                  <c:v>37940.708333333336</c:v>
                </c:pt>
                <c:pt idx="221">
                  <c:v>37940.75</c:v>
                </c:pt>
                <c:pt idx="222">
                  <c:v>37940.791666666664</c:v>
                </c:pt>
                <c:pt idx="223">
                  <c:v>37940.833333333336</c:v>
                </c:pt>
                <c:pt idx="224">
                  <c:v>37940.875</c:v>
                </c:pt>
                <c:pt idx="225">
                  <c:v>37940.916666666664</c:v>
                </c:pt>
                <c:pt idx="226">
                  <c:v>37940.958333333336</c:v>
                </c:pt>
                <c:pt idx="227">
                  <c:v>37941</c:v>
                </c:pt>
                <c:pt idx="228">
                  <c:v>37941.041666666664</c:v>
                </c:pt>
                <c:pt idx="229">
                  <c:v>37941.083333333336</c:v>
                </c:pt>
                <c:pt idx="230">
                  <c:v>37941.125</c:v>
                </c:pt>
                <c:pt idx="231">
                  <c:v>37941.166666666664</c:v>
                </c:pt>
                <c:pt idx="232">
                  <c:v>37941.208333333336</c:v>
                </c:pt>
                <c:pt idx="233">
                  <c:v>37941.25</c:v>
                </c:pt>
                <c:pt idx="234">
                  <c:v>37941.291666666664</c:v>
                </c:pt>
                <c:pt idx="235">
                  <c:v>37941.333333333336</c:v>
                </c:pt>
                <c:pt idx="236">
                  <c:v>37941.375</c:v>
                </c:pt>
                <c:pt idx="237">
                  <c:v>37941.416666666664</c:v>
                </c:pt>
                <c:pt idx="238">
                  <c:v>37941.458333333336</c:v>
                </c:pt>
                <c:pt idx="239">
                  <c:v>37941.5</c:v>
                </c:pt>
                <c:pt idx="240">
                  <c:v>37941.541666666664</c:v>
                </c:pt>
                <c:pt idx="241">
                  <c:v>37941.583333333336</c:v>
                </c:pt>
                <c:pt idx="242">
                  <c:v>37941.625</c:v>
                </c:pt>
                <c:pt idx="243">
                  <c:v>37941.666666666664</c:v>
                </c:pt>
                <c:pt idx="244">
                  <c:v>37941.708333333336</c:v>
                </c:pt>
                <c:pt idx="245">
                  <c:v>37941.75</c:v>
                </c:pt>
                <c:pt idx="246">
                  <c:v>37941.791666666664</c:v>
                </c:pt>
                <c:pt idx="247">
                  <c:v>37941.833333333336</c:v>
                </c:pt>
                <c:pt idx="248">
                  <c:v>37941.875</c:v>
                </c:pt>
                <c:pt idx="249">
                  <c:v>37941.916666666664</c:v>
                </c:pt>
                <c:pt idx="250">
                  <c:v>37941.958333333336</c:v>
                </c:pt>
                <c:pt idx="251">
                  <c:v>37942</c:v>
                </c:pt>
                <c:pt idx="252">
                  <c:v>37942.041666666664</c:v>
                </c:pt>
                <c:pt idx="253">
                  <c:v>37942.083333333336</c:v>
                </c:pt>
                <c:pt idx="254">
                  <c:v>37942.125</c:v>
                </c:pt>
                <c:pt idx="255">
                  <c:v>37942.166666666664</c:v>
                </c:pt>
                <c:pt idx="256">
                  <c:v>37942.208333333336</c:v>
                </c:pt>
                <c:pt idx="257">
                  <c:v>37942.25</c:v>
                </c:pt>
                <c:pt idx="258">
                  <c:v>37942.291666666664</c:v>
                </c:pt>
                <c:pt idx="259">
                  <c:v>37942.333333333336</c:v>
                </c:pt>
                <c:pt idx="260">
                  <c:v>37942.375</c:v>
                </c:pt>
                <c:pt idx="261">
                  <c:v>37942.416666666664</c:v>
                </c:pt>
                <c:pt idx="262">
                  <c:v>37942.458333333336</c:v>
                </c:pt>
                <c:pt idx="263">
                  <c:v>37942.5</c:v>
                </c:pt>
                <c:pt idx="264">
                  <c:v>37942.541666666664</c:v>
                </c:pt>
                <c:pt idx="265">
                  <c:v>37942.583333333336</c:v>
                </c:pt>
                <c:pt idx="266">
                  <c:v>37942.625</c:v>
                </c:pt>
                <c:pt idx="267">
                  <c:v>37942.666666666664</c:v>
                </c:pt>
                <c:pt idx="268">
                  <c:v>37942.708333333336</c:v>
                </c:pt>
                <c:pt idx="269">
                  <c:v>37942.75</c:v>
                </c:pt>
                <c:pt idx="270">
                  <c:v>37942.791666666664</c:v>
                </c:pt>
                <c:pt idx="271">
                  <c:v>37942.833333333336</c:v>
                </c:pt>
                <c:pt idx="272">
                  <c:v>37942.875</c:v>
                </c:pt>
                <c:pt idx="273">
                  <c:v>37942.916666666664</c:v>
                </c:pt>
                <c:pt idx="274">
                  <c:v>37942.958333333336</c:v>
                </c:pt>
                <c:pt idx="275">
                  <c:v>37943</c:v>
                </c:pt>
                <c:pt idx="276">
                  <c:v>37943.041666666664</c:v>
                </c:pt>
                <c:pt idx="277">
                  <c:v>37943.083333333336</c:v>
                </c:pt>
                <c:pt idx="278">
                  <c:v>37943.125</c:v>
                </c:pt>
                <c:pt idx="279">
                  <c:v>37943.166666666664</c:v>
                </c:pt>
                <c:pt idx="280">
                  <c:v>37943.208333333336</c:v>
                </c:pt>
                <c:pt idx="281">
                  <c:v>37943.25</c:v>
                </c:pt>
                <c:pt idx="282">
                  <c:v>37943.291666666664</c:v>
                </c:pt>
                <c:pt idx="283">
                  <c:v>37943.333333333336</c:v>
                </c:pt>
                <c:pt idx="284">
                  <c:v>37943.375</c:v>
                </c:pt>
                <c:pt idx="285">
                  <c:v>37943.416666666664</c:v>
                </c:pt>
                <c:pt idx="286">
                  <c:v>37943.458333333336</c:v>
                </c:pt>
                <c:pt idx="287">
                  <c:v>37943.5</c:v>
                </c:pt>
                <c:pt idx="288">
                  <c:v>37943.541666666664</c:v>
                </c:pt>
                <c:pt idx="289">
                  <c:v>37943.583333333336</c:v>
                </c:pt>
                <c:pt idx="290">
                  <c:v>37943.625</c:v>
                </c:pt>
                <c:pt idx="291">
                  <c:v>37943.666666666664</c:v>
                </c:pt>
                <c:pt idx="292">
                  <c:v>37943.708333333336</c:v>
                </c:pt>
                <c:pt idx="293">
                  <c:v>37943.75</c:v>
                </c:pt>
                <c:pt idx="294">
                  <c:v>37943.791666666664</c:v>
                </c:pt>
                <c:pt idx="295">
                  <c:v>37943.833333333336</c:v>
                </c:pt>
                <c:pt idx="296">
                  <c:v>37943.875</c:v>
                </c:pt>
                <c:pt idx="297">
                  <c:v>37943.916666666664</c:v>
                </c:pt>
                <c:pt idx="298">
                  <c:v>37943.958333333336</c:v>
                </c:pt>
                <c:pt idx="299">
                  <c:v>37944</c:v>
                </c:pt>
                <c:pt idx="300">
                  <c:v>37944.041666666664</c:v>
                </c:pt>
                <c:pt idx="301">
                  <c:v>37944.083333333336</c:v>
                </c:pt>
                <c:pt idx="302">
                  <c:v>37944.125</c:v>
                </c:pt>
                <c:pt idx="303">
                  <c:v>37944.166666666664</c:v>
                </c:pt>
                <c:pt idx="304">
                  <c:v>37944.208333333336</c:v>
                </c:pt>
                <c:pt idx="305">
                  <c:v>37944.25</c:v>
                </c:pt>
                <c:pt idx="306">
                  <c:v>37944.291666666664</c:v>
                </c:pt>
                <c:pt idx="307">
                  <c:v>37944.333333333336</c:v>
                </c:pt>
                <c:pt idx="308">
                  <c:v>37944.375</c:v>
                </c:pt>
                <c:pt idx="309">
                  <c:v>37944.416666666664</c:v>
                </c:pt>
                <c:pt idx="310">
                  <c:v>37944.458333333336</c:v>
                </c:pt>
                <c:pt idx="311">
                  <c:v>37944.5</c:v>
                </c:pt>
                <c:pt idx="312">
                  <c:v>37944.541666666664</c:v>
                </c:pt>
                <c:pt idx="313">
                  <c:v>37944.583333333336</c:v>
                </c:pt>
                <c:pt idx="314">
                  <c:v>37944.625</c:v>
                </c:pt>
                <c:pt idx="315">
                  <c:v>37944.666666666664</c:v>
                </c:pt>
                <c:pt idx="316">
                  <c:v>37944.708333333336</c:v>
                </c:pt>
                <c:pt idx="317">
                  <c:v>37944.75</c:v>
                </c:pt>
                <c:pt idx="318">
                  <c:v>37944.791666666664</c:v>
                </c:pt>
                <c:pt idx="319">
                  <c:v>37944.833333333336</c:v>
                </c:pt>
                <c:pt idx="320">
                  <c:v>37944.875</c:v>
                </c:pt>
                <c:pt idx="321">
                  <c:v>37944.916666666664</c:v>
                </c:pt>
                <c:pt idx="322">
                  <c:v>37944.958333333336</c:v>
                </c:pt>
                <c:pt idx="323">
                  <c:v>37945</c:v>
                </c:pt>
                <c:pt idx="324">
                  <c:v>37945.041666666664</c:v>
                </c:pt>
                <c:pt idx="325">
                  <c:v>37945.083333333336</c:v>
                </c:pt>
                <c:pt idx="326">
                  <c:v>37945.125</c:v>
                </c:pt>
                <c:pt idx="327">
                  <c:v>37945.166666666664</c:v>
                </c:pt>
                <c:pt idx="328">
                  <c:v>37945.208333333336</c:v>
                </c:pt>
                <c:pt idx="329">
                  <c:v>37945.25</c:v>
                </c:pt>
                <c:pt idx="330">
                  <c:v>37945.291666666664</c:v>
                </c:pt>
                <c:pt idx="331">
                  <c:v>37945.333333333336</c:v>
                </c:pt>
                <c:pt idx="332">
                  <c:v>37945.375</c:v>
                </c:pt>
                <c:pt idx="333">
                  <c:v>37945.416666666664</c:v>
                </c:pt>
                <c:pt idx="334">
                  <c:v>37945.458333333336</c:v>
                </c:pt>
                <c:pt idx="335">
                  <c:v>37945.5</c:v>
                </c:pt>
                <c:pt idx="336">
                  <c:v>37945.541666666664</c:v>
                </c:pt>
                <c:pt idx="337">
                  <c:v>37945.583333333336</c:v>
                </c:pt>
                <c:pt idx="338">
                  <c:v>37945.625</c:v>
                </c:pt>
                <c:pt idx="339">
                  <c:v>37945.666666666664</c:v>
                </c:pt>
                <c:pt idx="340">
                  <c:v>37945.708333333336</c:v>
                </c:pt>
                <c:pt idx="341">
                  <c:v>37945.75</c:v>
                </c:pt>
                <c:pt idx="342">
                  <c:v>37945.791666666664</c:v>
                </c:pt>
                <c:pt idx="343">
                  <c:v>37945.833333333336</c:v>
                </c:pt>
                <c:pt idx="344">
                  <c:v>37945.875</c:v>
                </c:pt>
                <c:pt idx="345">
                  <c:v>37945.916666666664</c:v>
                </c:pt>
                <c:pt idx="346">
                  <c:v>37945.958333333336</c:v>
                </c:pt>
                <c:pt idx="347">
                  <c:v>37946</c:v>
                </c:pt>
                <c:pt idx="348">
                  <c:v>37946.041666666664</c:v>
                </c:pt>
                <c:pt idx="349">
                  <c:v>37946.083333333336</c:v>
                </c:pt>
                <c:pt idx="350">
                  <c:v>37946.125</c:v>
                </c:pt>
                <c:pt idx="351">
                  <c:v>37946.166666666664</c:v>
                </c:pt>
                <c:pt idx="352">
                  <c:v>37946.208333333336</c:v>
                </c:pt>
                <c:pt idx="353">
                  <c:v>37946.25</c:v>
                </c:pt>
                <c:pt idx="354">
                  <c:v>37946.291666666664</c:v>
                </c:pt>
                <c:pt idx="355">
                  <c:v>37946.333333333336</c:v>
                </c:pt>
                <c:pt idx="356">
                  <c:v>37946.375</c:v>
                </c:pt>
                <c:pt idx="357">
                  <c:v>37946.416666666664</c:v>
                </c:pt>
                <c:pt idx="358">
                  <c:v>37946.458333333336</c:v>
                </c:pt>
                <c:pt idx="359">
                  <c:v>37946.5</c:v>
                </c:pt>
                <c:pt idx="360">
                  <c:v>37946.541666666664</c:v>
                </c:pt>
                <c:pt idx="361">
                  <c:v>37946.583333333336</c:v>
                </c:pt>
                <c:pt idx="362">
                  <c:v>37946.625</c:v>
                </c:pt>
                <c:pt idx="363">
                  <c:v>37946.666666666664</c:v>
                </c:pt>
                <c:pt idx="364">
                  <c:v>37946.708333333336</c:v>
                </c:pt>
                <c:pt idx="365">
                  <c:v>37946.75</c:v>
                </c:pt>
                <c:pt idx="366">
                  <c:v>37946.791666666664</c:v>
                </c:pt>
                <c:pt idx="367">
                  <c:v>37946.833333333336</c:v>
                </c:pt>
                <c:pt idx="368">
                  <c:v>37946.875</c:v>
                </c:pt>
                <c:pt idx="369">
                  <c:v>37946.916666666664</c:v>
                </c:pt>
                <c:pt idx="370">
                  <c:v>37946.958333333336</c:v>
                </c:pt>
                <c:pt idx="371">
                  <c:v>37947</c:v>
                </c:pt>
                <c:pt idx="372">
                  <c:v>37947.041666666664</c:v>
                </c:pt>
                <c:pt idx="373">
                  <c:v>37947.083333333336</c:v>
                </c:pt>
                <c:pt idx="374">
                  <c:v>37947.125</c:v>
                </c:pt>
                <c:pt idx="375">
                  <c:v>37947.166666666664</c:v>
                </c:pt>
                <c:pt idx="376">
                  <c:v>37947.208333333336</c:v>
                </c:pt>
                <c:pt idx="377">
                  <c:v>37947.25</c:v>
                </c:pt>
                <c:pt idx="378">
                  <c:v>37947.291666666664</c:v>
                </c:pt>
                <c:pt idx="379">
                  <c:v>37947.333333333336</c:v>
                </c:pt>
                <c:pt idx="380">
                  <c:v>37947.375</c:v>
                </c:pt>
                <c:pt idx="381">
                  <c:v>37947.416666666664</c:v>
                </c:pt>
                <c:pt idx="382">
                  <c:v>37947.458333333336</c:v>
                </c:pt>
                <c:pt idx="383">
                  <c:v>37947.5</c:v>
                </c:pt>
                <c:pt idx="384">
                  <c:v>37947.541666666664</c:v>
                </c:pt>
                <c:pt idx="385">
                  <c:v>37947.583333333336</c:v>
                </c:pt>
                <c:pt idx="386">
                  <c:v>37947.625</c:v>
                </c:pt>
                <c:pt idx="387">
                  <c:v>37947.666666666664</c:v>
                </c:pt>
                <c:pt idx="388">
                  <c:v>37947.708333333336</c:v>
                </c:pt>
                <c:pt idx="389">
                  <c:v>37947.75</c:v>
                </c:pt>
                <c:pt idx="390">
                  <c:v>37947.791666666664</c:v>
                </c:pt>
                <c:pt idx="391">
                  <c:v>37947.833333333336</c:v>
                </c:pt>
                <c:pt idx="392">
                  <c:v>37947.875</c:v>
                </c:pt>
                <c:pt idx="393">
                  <c:v>37947.916666666664</c:v>
                </c:pt>
                <c:pt idx="394">
                  <c:v>37947.958333333336</c:v>
                </c:pt>
                <c:pt idx="395">
                  <c:v>37948</c:v>
                </c:pt>
                <c:pt idx="396">
                  <c:v>37948.041666666664</c:v>
                </c:pt>
                <c:pt idx="397">
                  <c:v>37948.083333333336</c:v>
                </c:pt>
                <c:pt idx="398">
                  <c:v>37948.125</c:v>
                </c:pt>
                <c:pt idx="399">
                  <c:v>37948.166666666664</c:v>
                </c:pt>
                <c:pt idx="400">
                  <c:v>37948.208333333336</c:v>
                </c:pt>
                <c:pt idx="401">
                  <c:v>37948.25</c:v>
                </c:pt>
                <c:pt idx="402">
                  <c:v>37948.291666666664</c:v>
                </c:pt>
                <c:pt idx="403">
                  <c:v>37948.333333333336</c:v>
                </c:pt>
                <c:pt idx="404">
                  <c:v>37948.375</c:v>
                </c:pt>
                <c:pt idx="405">
                  <c:v>37948.416666666664</c:v>
                </c:pt>
                <c:pt idx="406">
                  <c:v>37948.458333333336</c:v>
                </c:pt>
                <c:pt idx="407">
                  <c:v>37948.5</c:v>
                </c:pt>
                <c:pt idx="408">
                  <c:v>37948.541666666664</c:v>
                </c:pt>
                <c:pt idx="409">
                  <c:v>37948.583333333336</c:v>
                </c:pt>
                <c:pt idx="410">
                  <c:v>37948.625</c:v>
                </c:pt>
                <c:pt idx="411">
                  <c:v>37948.666666666664</c:v>
                </c:pt>
                <c:pt idx="412">
                  <c:v>37948.708333333336</c:v>
                </c:pt>
                <c:pt idx="413">
                  <c:v>37948.75</c:v>
                </c:pt>
                <c:pt idx="414">
                  <c:v>37948.791666666664</c:v>
                </c:pt>
                <c:pt idx="415">
                  <c:v>37948.833333333336</c:v>
                </c:pt>
                <c:pt idx="416">
                  <c:v>37948.875</c:v>
                </c:pt>
                <c:pt idx="417">
                  <c:v>37948.916666666664</c:v>
                </c:pt>
                <c:pt idx="418">
                  <c:v>37948.958333333336</c:v>
                </c:pt>
                <c:pt idx="419">
                  <c:v>37949</c:v>
                </c:pt>
                <c:pt idx="420">
                  <c:v>37949.041666666664</c:v>
                </c:pt>
                <c:pt idx="421">
                  <c:v>37949.083333333336</c:v>
                </c:pt>
                <c:pt idx="422">
                  <c:v>37949.125</c:v>
                </c:pt>
                <c:pt idx="423">
                  <c:v>37949.166666666664</c:v>
                </c:pt>
                <c:pt idx="424">
                  <c:v>37949.208333333336</c:v>
                </c:pt>
                <c:pt idx="425">
                  <c:v>37949.25</c:v>
                </c:pt>
                <c:pt idx="426">
                  <c:v>37949.291666666664</c:v>
                </c:pt>
                <c:pt idx="427">
                  <c:v>37949.333333333336</c:v>
                </c:pt>
                <c:pt idx="428">
                  <c:v>37949.375</c:v>
                </c:pt>
                <c:pt idx="429">
                  <c:v>37949.416666666664</c:v>
                </c:pt>
                <c:pt idx="430">
                  <c:v>37949.458333333336</c:v>
                </c:pt>
                <c:pt idx="431">
                  <c:v>37949.5</c:v>
                </c:pt>
                <c:pt idx="432">
                  <c:v>37949.541666666664</c:v>
                </c:pt>
                <c:pt idx="433">
                  <c:v>37949.583333333336</c:v>
                </c:pt>
                <c:pt idx="434">
                  <c:v>37949.625</c:v>
                </c:pt>
                <c:pt idx="435">
                  <c:v>37949.666666666664</c:v>
                </c:pt>
                <c:pt idx="436">
                  <c:v>37949.708333333336</c:v>
                </c:pt>
                <c:pt idx="437">
                  <c:v>37949.75</c:v>
                </c:pt>
                <c:pt idx="438">
                  <c:v>37949.791666666664</c:v>
                </c:pt>
                <c:pt idx="439">
                  <c:v>37949.833333333336</c:v>
                </c:pt>
                <c:pt idx="440">
                  <c:v>37949.875</c:v>
                </c:pt>
                <c:pt idx="441">
                  <c:v>37949.916666666664</c:v>
                </c:pt>
                <c:pt idx="442">
                  <c:v>37949.958333333336</c:v>
                </c:pt>
                <c:pt idx="443">
                  <c:v>37950</c:v>
                </c:pt>
                <c:pt idx="444">
                  <c:v>37950.041666666664</c:v>
                </c:pt>
                <c:pt idx="445">
                  <c:v>37950.083333333336</c:v>
                </c:pt>
                <c:pt idx="446">
                  <c:v>37950.125</c:v>
                </c:pt>
                <c:pt idx="447">
                  <c:v>37950.166666666664</c:v>
                </c:pt>
                <c:pt idx="448">
                  <c:v>37950.208333333336</c:v>
                </c:pt>
                <c:pt idx="449">
                  <c:v>37950.25</c:v>
                </c:pt>
                <c:pt idx="450">
                  <c:v>37950.291666666664</c:v>
                </c:pt>
                <c:pt idx="451">
                  <c:v>37950.333333333336</c:v>
                </c:pt>
                <c:pt idx="452">
                  <c:v>37950.375</c:v>
                </c:pt>
                <c:pt idx="453">
                  <c:v>37950.416666666664</c:v>
                </c:pt>
                <c:pt idx="454">
                  <c:v>37950.458333333336</c:v>
                </c:pt>
                <c:pt idx="455">
                  <c:v>37950.5</c:v>
                </c:pt>
                <c:pt idx="456">
                  <c:v>37950.541666666664</c:v>
                </c:pt>
                <c:pt idx="457">
                  <c:v>37950.583333333336</c:v>
                </c:pt>
                <c:pt idx="458">
                  <c:v>37950.625</c:v>
                </c:pt>
                <c:pt idx="459">
                  <c:v>37950.666666666664</c:v>
                </c:pt>
                <c:pt idx="460">
                  <c:v>37950.708333333336</c:v>
                </c:pt>
                <c:pt idx="461">
                  <c:v>37950.75</c:v>
                </c:pt>
                <c:pt idx="462">
                  <c:v>37950.791666666664</c:v>
                </c:pt>
                <c:pt idx="463">
                  <c:v>37950.833333333336</c:v>
                </c:pt>
                <c:pt idx="464">
                  <c:v>37950.875</c:v>
                </c:pt>
                <c:pt idx="465">
                  <c:v>37950.916666666664</c:v>
                </c:pt>
                <c:pt idx="466">
                  <c:v>37950.958333333336</c:v>
                </c:pt>
                <c:pt idx="467">
                  <c:v>37951</c:v>
                </c:pt>
                <c:pt idx="468">
                  <c:v>37951.041666666664</c:v>
                </c:pt>
                <c:pt idx="469">
                  <c:v>37951.083333333336</c:v>
                </c:pt>
                <c:pt idx="470">
                  <c:v>37951.125</c:v>
                </c:pt>
                <c:pt idx="471">
                  <c:v>37951.166666666664</c:v>
                </c:pt>
                <c:pt idx="472">
                  <c:v>37951.208333333336</c:v>
                </c:pt>
                <c:pt idx="473">
                  <c:v>37951.25</c:v>
                </c:pt>
                <c:pt idx="474">
                  <c:v>37951.291666666664</c:v>
                </c:pt>
                <c:pt idx="475">
                  <c:v>37951.333333333336</c:v>
                </c:pt>
                <c:pt idx="476">
                  <c:v>37951.375</c:v>
                </c:pt>
                <c:pt idx="477">
                  <c:v>37951.416666666664</c:v>
                </c:pt>
                <c:pt idx="478">
                  <c:v>37951.458333333336</c:v>
                </c:pt>
                <c:pt idx="479">
                  <c:v>37951.5</c:v>
                </c:pt>
                <c:pt idx="480">
                  <c:v>37951.541666666664</c:v>
                </c:pt>
                <c:pt idx="481">
                  <c:v>37951.583333333336</c:v>
                </c:pt>
                <c:pt idx="482">
                  <c:v>37951.625</c:v>
                </c:pt>
                <c:pt idx="483">
                  <c:v>37951.666666666664</c:v>
                </c:pt>
                <c:pt idx="484">
                  <c:v>37951.708333333336</c:v>
                </c:pt>
                <c:pt idx="485">
                  <c:v>37951.75</c:v>
                </c:pt>
                <c:pt idx="486">
                  <c:v>37951.791666666664</c:v>
                </c:pt>
                <c:pt idx="487">
                  <c:v>37951.833333333336</c:v>
                </c:pt>
                <c:pt idx="488">
                  <c:v>37951.875</c:v>
                </c:pt>
                <c:pt idx="489">
                  <c:v>37951.916666666664</c:v>
                </c:pt>
                <c:pt idx="490">
                  <c:v>37951.958333333336</c:v>
                </c:pt>
                <c:pt idx="491">
                  <c:v>37952</c:v>
                </c:pt>
                <c:pt idx="492">
                  <c:v>37952.041666666664</c:v>
                </c:pt>
                <c:pt idx="493">
                  <c:v>37952.083333333336</c:v>
                </c:pt>
                <c:pt idx="494">
                  <c:v>37952.125</c:v>
                </c:pt>
                <c:pt idx="495">
                  <c:v>37952.166666666664</c:v>
                </c:pt>
                <c:pt idx="496">
                  <c:v>37952.208333333336</c:v>
                </c:pt>
                <c:pt idx="497">
                  <c:v>37952.25</c:v>
                </c:pt>
                <c:pt idx="498">
                  <c:v>37952.291666666664</c:v>
                </c:pt>
                <c:pt idx="499">
                  <c:v>37952.333333333336</c:v>
                </c:pt>
                <c:pt idx="500">
                  <c:v>37952.375</c:v>
                </c:pt>
                <c:pt idx="501">
                  <c:v>37952.416666666664</c:v>
                </c:pt>
                <c:pt idx="502">
                  <c:v>37952.458333333336</c:v>
                </c:pt>
                <c:pt idx="503">
                  <c:v>37952.5</c:v>
                </c:pt>
                <c:pt idx="504">
                  <c:v>37952.541666666664</c:v>
                </c:pt>
                <c:pt idx="505">
                  <c:v>37952.583333333336</c:v>
                </c:pt>
                <c:pt idx="506">
                  <c:v>37952.625</c:v>
                </c:pt>
                <c:pt idx="507">
                  <c:v>37952.666666666664</c:v>
                </c:pt>
                <c:pt idx="508">
                  <c:v>37952.708333333336</c:v>
                </c:pt>
                <c:pt idx="509">
                  <c:v>37952.75</c:v>
                </c:pt>
                <c:pt idx="510">
                  <c:v>37952.791666666664</c:v>
                </c:pt>
                <c:pt idx="511">
                  <c:v>37952.833333333336</c:v>
                </c:pt>
                <c:pt idx="512">
                  <c:v>37952.875</c:v>
                </c:pt>
                <c:pt idx="513">
                  <c:v>37952.916666666664</c:v>
                </c:pt>
                <c:pt idx="514">
                  <c:v>37952.958333333336</c:v>
                </c:pt>
                <c:pt idx="515">
                  <c:v>37953</c:v>
                </c:pt>
                <c:pt idx="516">
                  <c:v>37953.041666666664</c:v>
                </c:pt>
                <c:pt idx="517">
                  <c:v>37953.083333333336</c:v>
                </c:pt>
                <c:pt idx="518">
                  <c:v>37953.125</c:v>
                </c:pt>
                <c:pt idx="519">
                  <c:v>37953.166666666664</c:v>
                </c:pt>
                <c:pt idx="520">
                  <c:v>37953.208333333336</c:v>
                </c:pt>
                <c:pt idx="521">
                  <c:v>37953.25</c:v>
                </c:pt>
                <c:pt idx="522">
                  <c:v>37953.291666666664</c:v>
                </c:pt>
                <c:pt idx="523">
                  <c:v>37953.333333333336</c:v>
                </c:pt>
                <c:pt idx="524">
                  <c:v>37953.375</c:v>
                </c:pt>
                <c:pt idx="525">
                  <c:v>37953.416666666664</c:v>
                </c:pt>
                <c:pt idx="526">
                  <c:v>37953.458333333336</c:v>
                </c:pt>
                <c:pt idx="527">
                  <c:v>37953.5</c:v>
                </c:pt>
              </c:numCache>
            </c:numRef>
          </c:xVal>
          <c:yVal>
            <c:numRef>
              <c:f>Gage_and_Event!$AS$5:$AS$2000</c:f>
              <c:numCache>
                <c:formatCode>General</c:formatCode>
                <c:ptCount val="1996"/>
                <c:pt idx="0">
                  <c:v>1010</c:v>
                </c:pt>
                <c:pt idx="1">
                  <c:v>1020</c:v>
                </c:pt>
                <c:pt idx="2">
                  <c:v>1020</c:v>
                </c:pt>
                <c:pt idx="3">
                  <c:v>1040</c:v>
                </c:pt>
                <c:pt idx="4">
                  <c:v>1050</c:v>
                </c:pt>
                <c:pt idx="5">
                  <c:v>1070</c:v>
                </c:pt>
                <c:pt idx="6">
                  <c:v>1140</c:v>
                </c:pt>
                <c:pt idx="7">
                  <c:v>1220</c:v>
                </c:pt>
                <c:pt idx="8">
                  <c:v>1310</c:v>
                </c:pt>
                <c:pt idx="9">
                  <c:v>1390</c:v>
                </c:pt>
                <c:pt idx="10">
                  <c:v>1410</c:v>
                </c:pt>
                <c:pt idx="11">
                  <c:v>1430</c:v>
                </c:pt>
                <c:pt idx="12">
                  <c:v>1460</c:v>
                </c:pt>
                <c:pt idx="13">
                  <c:v>1500</c:v>
                </c:pt>
                <c:pt idx="14">
                  <c:v>1530</c:v>
                </c:pt>
                <c:pt idx="15">
                  <c:v>1560</c:v>
                </c:pt>
                <c:pt idx="16">
                  <c:v>1580</c:v>
                </c:pt>
                <c:pt idx="17">
                  <c:v>1590</c:v>
                </c:pt>
                <c:pt idx="18">
                  <c:v>1590</c:v>
                </c:pt>
                <c:pt idx="19">
                  <c:v>1580</c:v>
                </c:pt>
                <c:pt idx="20">
                  <c:v>1560</c:v>
                </c:pt>
                <c:pt idx="21">
                  <c:v>1560</c:v>
                </c:pt>
                <c:pt idx="22">
                  <c:v>1550</c:v>
                </c:pt>
                <c:pt idx="23">
                  <c:v>1530</c:v>
                </c:pt>
                <c:pt idx="24">
                  <c:v>1530</c:v>
                </c:pt>
                <c:pt idx="25">
                  <c:v>1510</c:v>
                </c:pt>
                <c:pt idx="26">
                  <c:v>1500</c:v>
                </c:pt>
                <c:pt idx="27">
                  <c:v>1500</c:v>
                </c:pt>
                <c:pt idx="28">
                  <c:v>1480</c:v>
                </c:pt>
                <c:pt idx="29">
                  <c:v>1460</c:v>
                </c:pt>
                <c:pt idx="30">
                  <c:v>1430</c:v>
                </c:pt>
                <c:pt idx="31">
                  <c:v>1410</c:v>
                </c:pt>
                <c:pt idx="32">
                  <c:v>1380</c:v>
                </c:pt>
                <c:pt idx="33">
                  <c:v>1350</c:v>
                </c:pt>
                <c:pt idx="34">
                  <c:v>1320</c:v>
                </c:pt>
                <c:pt idx="35">
                  <c:v>1300</c:v>
                </c:pt>
                <c:pt idx="36">
                  <c:v>1260</c:v>
                </c:pt>
                <c:pt idx="37">
                  <c:v>1240</c:v>
                </c:pt>
                <c:pt idx="38">
                  <c:v>1210</c:v>
                </c:pt>
                <c:pt idx="39">
                  <c:v>1190</c:v>
                </c:pt>
                <c:pt idx="40">
                  <c:v>1160</c:v>
                </c:pt>
                <c:pt idx="41">
                  <c:v>1140</c:v>
                </c:pt>
                <c:pt idx="42">
                  <c:v>1110</c:v>
                </c:pt>
                <c:pt idx="43">
                  <c:v>1080</c:v>
                </c:pt>
                <c:pt idx="44">
                  <c:v>1060</c:v>
                </c:pt>
                <c:pt idx="45">
                  <c:v>1040</c:v>
                </c:pt>
                <c:pt idx="46">
                  <c:v>1020</c:v>
                </c:pt>
                <c:pt idx="47">
                  <c:v>999</c:v>
                </c:pt>
                <c:pt idx="48">
                  <c:v>978</c:v>
                </c:pt>
                <c:pt idx="49">
                  <c:v>958</c:v>
                </c:pt>
                <c:pt idx="50">
                  <c:v>939</c:v>
                </c:pt>
                <c:pt idx="51">
                  <c:v>919</c:v>
                </c:pt>
                <c:pt idx="52">
                  <c:v>900</c:v>
                </c:pt>
                <c:pt idx="53">
                  <c:v>880</c:v>
                </c:pt>
                <c:pt idx="54">
                  <c:v>866</c:v>
                </c:pt>
                <c:pt idx="55">
                  <c:v>852</c:v>
                </c:pt>
                <c:pt idx="56">
                  <c:v>834</c:v>
                </c:pt>
                <c:pt idx="57">
                  <c:v>824</c:v>
                </c:pt>
                <c:pt idx="58">
                  <c:v>806</c:v>
                </c:pt>
                <c:pt idx="59">
                  <c:v>788</c:v>
                </c:pt>
                <c:pt idx="60">
                  <c:v>770</c:v>
                </c:pt>
                <c:pt idx="61">
                  <c:v>757</c:v>
                </c:pt>
                <c:pt idx="62">
                  <c:v>744</c:v>
                </c:pt>
                <c:pt idx="63">
                  <c:v>731</c:v>
                </c:pt>
                <c:pt idx="64">
                  <c:v>718</c:v>
                </c:pt>
                <c:pt idx="65">
                  <c:v>706</c:v>
                </c:pt>
                <c:pt idx="66">
                  <c:v>693</c:v>
                </c:pt>
                <c:pt idx="67">
                  <c:v>684</c:v>
                </c:pt>
                <c:pt idx="68">
                  <c:v>671</c:v>
                </c:pt>
                <c:pt idx="69">
                  <c:v>659</c:v>
                </c:pt>
                <c:pt idx="70">
                  <c:v>650</c:v>
                </c:pt>
                <c:pt idx="71">
                  <c:v>642</c:v>
                </c:pt>
                <c:pt idx="72">
                  <c:v>630</c:v>
                </c:pt>
                <c:pt idx="73">
                  <c:v>617</c:v>
                </c:pt>
                <c:pt idx="74">
                  <c:v>609</c:v>
                </c:pt>
                <c:pt idx="75">
                  <c:v>601</c:v>
                </c:pt>
                <c:pt idx="76">
                  <c:v>593</c:v>
                </c:pt>
                <c:pt idx="77">
                  <c:v>582</c:v>
                </c:pt>
                <c:pt idx="78">
                  <c:v>574</c:v>
                </c:pt>
                <c:pt idx="79">
                  <c:v>562</c:v>
                </c:pt>
                <c:pt idx="80">
                  <c:v>558</c:v>
                </c:pt>
                <c:pt idx="81">
                  <c:v>551</c:v>
                </c:pt>
                <c:pt idx="82">
                  <c:v>543</c:v>
                </c:pt>
                <c:pt idx="83">
                  <c:v>536</c:v>
                </c:pt>
                <c:pt idx="84">
                  <c:v>532</c:v>
                </c:pt>
                <c:pt idx="85">
                  <c:v>525</c:v>
                </c:pt>
                <c:pt idx="86">
                  <c:v>517</c:v>
                </c:pt>
                <c:pt idx="87">
                  <c:v>514</c:v>
                </c:pt>
                <c:pt idx="88">
                  <c:v>506</c:v>
                </c:pt>
                <c:pt idx="89">
                  <c:v>503</c:v>
                </c:pt>
                <c:pt idx="90">
                  <c:v>495</c:v>
                </c:pt>
                <c:pt idx="91">
                  <c:v>488</c:v>
                </c:pt>
                <c:pt idx="92">
                  <c:v>481</c:v>
                </c:pt>
                <c:pt idx="93">
                  <c:v>474</c:v>
                </c:pt>
                <c:pt idx="94">
                  <c:v>474</c:v>
                </c:pt>
                <c:pt idx="95">
                  <c:v>467</c:v>
                </c:pt>
                <c:pt idx="96">
                  <c:v>460</c:v>
                </c:pt>
                <c:pt idx="97">
                  <c:v>456</c:v>
                </c:pt>
                <c:pt idx="98">
                  <c:v>453</c:v>
                </c:pt>
                <c:pt idx="99">
                  <c:v>446</c:v>
                </c:pt>
                <c:pt idx="100">
                  <c:v>443</c:v>
                </c:pt>
                <c:pt idx="101">
                  <c:v>439</c:v>
                </c:pt>
                <c:pt idx="102">
                  <c:v>432</c:v>
                </c:pt>
                <c:pt idx="103">
                  <c:v>429</c:v>
                </c:pt>
                <c:pt idx="104">
                  <c:v>422</c:v>
                </c:pt>
                <c:pt idx="105">
                  <c:v>419</c:v>
                </c:pt>
                <c:pt idx="106">
                  <c:v>416</c:v>
                </c:pt>
                <c:pt idx="107">
                  <c:v>413</c:v>
                </c:pt>
                <c:pt idx="108">
                  <c:v>406</c:v>
                </c:pt>
                <c:pt idx="109">
                  <c:v>406</c:v>
                </c:pt>
                <c:pt idx="110">
                  <c:v>403</c:v>
                </c:pt>
                <c:pt idx="111">
                  <c:v>400</c:v>
                </c:pt>
                <c:pt idx="112">
                  <c:v>394</c:v>
                </c:pt>
                <c:pt idx="113">
                  <c:v>394</c:v>
                </c:pt>
                <c:pt idx="114">
                  <c:v>391</c:v>
                </c:pt>
                <c:pt idx="115">
                  <c:v>388</c:v>
                </c:pt>
                <c:pt idx="116">
                  <c:v>385</c:v>
                </c:pt>
                <c:pt idx="117">
                  <c:v>382</c:v>
                </c:pt>
                <c:pt idx="118">
                  <c:v>379</c:v>
                </c:pt>
                <c:pt idx="119">
                  <c:v>376</c:v>
                </c:pt>
                <c:pt idx="120">
                  <c:v>373</c:v>
                </c:pt>
                <c:pt idx="121">
                  <c:v>370</c:v>
                </c:pt>
                <c:pt idx="122">
                  <c:v>370</c:v>
                </c:pt>
                <c:pt idx="123">
                  <c:v>367</c:v>
                </c:pt>
                <c:pt idx="124">
                  <c:v>364</c:v>
                </c:pt>
                <c:pt idx="125">
                  <c:v>364</c:v>
                </c:pt>
                <c:pt idx="126">
                  <c:v>361</c:v>
                </c:pt>
                <c:pt idx="127">
                  <c:v>358</c:v>
                </c:pt>
                <c:pt idx="128">
                  <c:v>355</c:v>
                </c:pt>
                <c:pt idx="129">
                  <c:v>352</c:v>
                </c:pt>
                <c:pt idx="130">
                  <c:v>352</c:v>
                </c:pt>
                <c:pt idx="131">
                  <c:v>350</c:v>
                </c:pt>
                <c:pt idx="132">
                  <c:v>347</c:v>
                </c:pt>
                <c:pt idx="133">
                  <c:v>347</c:v>
                </c:pt>
                <c:pt idx="134">
                  <c:v>347</c:v>
                </c:pt>
                <c:pt idx="135">
                  <c:v>344</c:v>
                </c:pt>
                <c:pt idx="136">
                  <c:v>341</c:v>
                </c:pt>
                <c:pt idx="137">
                  <c:v>341</c:v>
                </c:pt>
                <c:pt idx="138">
                  <c:v>338</c:v>
                </c:pt>
                <c:pt idx="139">
                  <c:v>338</c:v>
                </c:pt>
                <c:pt idx="140">
                  <c:v>335</c:v>
                </c:pt>
                <c:pt idx="141">
                  <c:v>335</c:v>
                </c:pt>
                <c:pt idx="142">
                  <c:v>332</c:v>
                </c:pt>
                <c:pt idx="143">
                  <c:v>330</c:v>
                </c:pt>
                <c:pt idx="144">
                  <c:v>330</c:v>
                </c:pt>
                <c:pt idx="145">
                  <c:v>327</c:v>
                </c:pt>
                <c:pt idx="146">
                  <c:v>324</c:v>
                </c:pt>
                <c:pt idx="147">
                  <c:v>324</c:v>
                </c:pt>
                <c:pt idx="148">
                  <c:v>321</c:v>
                </c:pt>
                <c:pt idx="149">
                  <c:v>319</c:v>
                </c:pt>
                <c:pt idx="150">
                  <c:v>319</c:v>
                </c:pt>
                <c:pt idx="151">
                  <c:v>319</c:v>
                </c:pt>
                <c:pt idx="152">
                  <c:v>321</c:v>
                </c:pt>
                <c:pt idx="153">
                  <c:v>321</c:v>
                </c:pt>
                <c:pt idx="154">
                  <c:v>324</c:v>
                </c:pt>
                <c:pt idx="155">
                  <c:v>324</c:v>
                </c:pt>
                <c:pt idx="156">
                  <c:v>341</c:v>
                </c:pt>
                <c:pt idx="157">
                  <c:v>358</c:v>
                </c:pt>
                <c:pt idx="158">
                  <c:v>373</c:v>
                </c:pt>
                <c:pt idx="159">
                  <c:v>450</c:v>
                </c:pt>
                <c:pt idx="160">
                  <c:v>558</c:v>
                </c:pt>
                <c:pt idx="161">
                  <c:v>609</c:v>
                </c:pt>
                <c:pt idx="162">
                  <c:v>625</c:v>
                </c:pt>
                <c:pt idx="163">
                  <c:v>654</c:v>
                </c:pt>
                <c:pt idx="164">
                  <c:v>684</c:v>
                </c:pt>
                <c:pt idx="165">
                  <c:v>762</c:v>
                </c:pt>
                <c:pt idx="166">
                  <c:v>779</c:v>
                </c:pt>
                <c:pt idx="167">
                  <c:v>775</c:v>
                </c:pt>
                <c:pt idx="168">
                  <c:v>784</c:v>
                </c:pt>
                <c:pt idx="169">
                  <c:v>797</c:v>
                </c:pt>
                <c:pt idx="170">
                  <c:v>806</c:v>
                </c:pt>
                <c:pt idx="171">
                  <c:v>806</c:v>
                </c:pt>
                <c:pt idx="172">
                  <c:v>797</c:v>
                </c:pt>
                <c:pt idx="173">
                  <c:v>788</c:v>
                </c:pt>
                <c:pt idx="174">
                  <c:v>779</c:v>
                </c:pt>
                <c:pt idx="175">
                  <c:v>770</c:v>
                </c:pt>
                <c:pt idx="176">
                  <c:v>762</c:v>
                </c:pt>
                <c:pt idx="177">
                  <c:v>753</c:v>
                </c:pt>
                <c:pt idx="178">
                  <c:v>744</c:v>
                </c:pt>
                <c:pt idx="179">
                  <c:v>736</c:v>
                </c:pt>
                <c:pt idx="180">
                  <c:v>723</c:v>
                </c:pt>
                <c:pt idx="181">
                  <c:v>710</c:v>
                </c:pt>
                <c:pt idx="182">
                  <c:v>701</c:v>
                </c:pt>
                <c:pt idx="183">
                  <c:v>688</c:v>
                </c:pt>
                <c:pt idx="184">
                  <c:v>675</c:v>
                </c:pt>
                <c:pt idx="185">
                  <c:v>675</c:v>
                </c:pt>
                <c:pt idx="186">
                  <c:v>671</c:v>
                </c:pt>
                <c:pt idx="187">
                  <c:v>663</c:v>
                </c:pt>
                <c:pt idx="188">
                  <c:v>659</c:v>
                </c:pt>
                <c:pt idx="189">
                  <c:v>650</c:v>
                </c:pt>
                <c:pt idx="190">
                  <c:v>642</c:v>
                </c:pt>
                <c:pt idx="191">
                  <c:v>630</c:v>
                </c:pt>
                <c:pt idx="192">
                  <c:v>621</c:v>
                </c:pt>
                <c:pt idx="193">
                  <c:v>609</c:v>
                </c:pt>
                <c:pt idx="194">
                  <c:v>601</c:v>
                </c:pt>
                <c:pt idx="195">
                  <c:v>593</c:v>
                </c:pt>
                <c:pt idx="196">
                  <c:v>582</c:v>
                </c:pt>
                <c:pt idx="197">
                  <c:v>574</c:v>
                </c:pt>
                <c:pt idx="198">
                  <c:v>566</c:v>
                </c:pt>
                <c:pt idx="199">
                  <c:v>558</c:v>
                </c:pt>
                <c:pt idx="200">
                  <c:v>551</c:v>
                </c:pt>
                <c:pt idx="201">
                  <c:v>547</c:v>
                </c:pt>
                <c:pt idx="202">
                  <c:v>539</c:v>
                </c:pt>
                <c:pt idx="203">
                  <c:v>532</c:v>
                </c:pt>
                <c:pt idx="204">
                  <c:v>525</c:v>
                </c:pt>
                <c:pt idx="205">
                  <c:v>517</c:v>
                </c:pt>
                <c:pt idx="206">
                  <c:v>514</c:v>
                </c:pt>
                <c:pt idx="207">
                  <c:v>510</c:v>
                </c:pt>
                <c:pt idx="208">
                  <c:v>503</c:v>
                </c:pt>
                <c:pt idx="209">
                  <c:v>499</c:v>
                </c:pt>
                <c:pt idx="210">
                  <c:v>492</c:v>
                </c:pt>
                <c:pt idx="211">
                  <c:v>488</c:v>
                </c:pt>
                <c:pt idx="212">
                  <c:v>485</c:v>
                </c:pt>
                <c:pt idx="213">
                  <c:v>478</c:v>
                </c:pt>
                <c:pt idx="214">
                  <c:v>474</c:v>
                </c:pt>
                <c:pt idx="215">
                  <c:v>470</c:v>
                </c:pt>
                <c:pt idx="216">
                  <c:v>467</c:v>
                </c:pt>
                <c:pt idx="217">
                  <c:v>463</c:v>
                </c:pt>
                <c:pt idx="218">
                  <c:v>460</c:v>
                </c:pt>
                <c:pt idx="219">
                  <c:v>460</c:v>
                </c:pt>
                <c:pt idx="220">
                  <c:v>460</c:v>
                </c:pt>
                <c:pt idx="221">
                  <c:v>460</c:v>
                </c:pt>
                <c:pt idx="222">
                  <c:v>460</c:v>
                </c:pt>
                <c:pt idx="223">
                  <c:v>460</c:v>
                </c:pt>
                <c:pt idx="224">
                  <c:v>456</c:v>
                </c:pt>
                <c:pt idx="225">
                  <c:v>456</c:v>
                </c:pt>
                <c:pt idx="226">
                  <c:v>456</c:v>
                </c:pt>
                <c:pt idx="227">
                  <c:v>453</c:v>
                </c:pt>
                <c:pt idx="228">
                  <c:v>453</c:v>
                </c:pt>
                <c:pt idx="229">
                  <c:v>453</c:v>
                </c:pt>
                <c:pt idx="230">
                  <c:v>453</c:v>
                </c:pt>
                <c:pt idx="231">
                  <c:v>453</c:v>
                </c:pt>
                <c:pt idx="232">
                  <c:v>453</c:v>
                </c:pt>
                <c:pt idx="233">
                  <c:v>453</c:v>
                </c:pt>
                <c:pt idx="234">
                  <c:v>453</c:v>
                </c:pt>
                <c:pt idx="235">
                  <c:v>453</c:v>
                </c:pt>
                <c:pt idx="236">
                  <c:v>450</c:v>
                </c:pt>
                <c:pt idx="237">
                  <c:v>446</c:v>
                </c:pt>
                <c:pt idx="238">
                  <c:v>443</c:v>
                </c:pt>
                <c:pt idx="239">
                  <c:v>439</c:v>
                </c:pt>
                <c:pt idx="240">
                  <c:v>436</c:v>
                </c:pt>
                <c:pt idx="241">
                  <c:v>432</c:v>
                </c:pt>
                <c:pt idx="242">
                  <c:v>432</c:v>
                </c:pt>
                <c:pt idx="243">
                  <c:v>426</c:v>
                </c:pt>
                <c:pt idx="244">
                  <c:v>426</c:v>
                </c:pt>
                <c:pt idx="245">
                  <c:v>422</c:v>
                </c:pt>
                <c:pt idx="246">
                  <c:v>419</c:v>
                </c:pt>
                <c:pt idx="247">
                  <c:v>419</c:v>
                </c:pt>
                <c:pt idx="248">
                  <c:v>419</c:v>
                </c:pt>
                <c:pt idx="249">
                  <c:v>416</c:v>
                </c:pt>
                <c:pt idx="250">
                  <c:v>416</c:v>
                </c:pt>
                <c:pt idx="251">
                  <c:v>416</c:v>
                </c:pt>
                <c:pt idx="252">
                  <c:v>416</c:v>
                </c:pt>
                <c:pt idx="253">
                  <c:v>416</c:v>
                </c:pt>
                <c:pt idx="254">
                  <c:v>416</c:v>
                </c:pt>
                <c:pt idx="255">
                  <c:v>416</c:v>
                </c:pt>
                <c:pt idx="256">
                  <c:v>416</c:v>
                </c:pt>
                <c:pt idx="257">
                  <c:v>416</c:v>
                </c:pt>
                <c:pt idx="258">
                  <c:v>416</c:v>
                </c:pt>
                <c:pt idx="259">
                  <c:v>413</c:v>
                </c:pt>
                <c:pt idx="260">
                  <c:v>409</c:v>
                </c:pt>
                <c:pt idx="261">
                  <c:v>406</c:v>
                </c:pt>
                <c:pt idx="262">
                  <c:v>406</c:v>
                </c:pt>
                <c:pt idx="263">
                  <c:v>403</c:v>
                </c:pt>
                <c:pt idx="264">
                  <c:v>400</c:v>
                </c:pt>
                <c:pt idx="265">
                  <c:v>400</c:v>
                </c:pt>
                <c:pt idx="266">
                  <c:v>397</c:v>
                </c:pt>
                <c:pt idx="267">
                  <c:v>394</c:v>
                </c:pt>
                <c:pt idx="268">
                  <c:v>391</c:v>
                </c:pt>
                <c:pt idx="269">
                  <c:v>391</c:v>
                </c:pt>
                <c:pt idx="270">
                  <c:v>388</c:v>
                </c:pt>
                <c:pt idx="271">
                  <c:v>385</c:v>
                </c:pt>
                <c:pt idx="272">
                  <c:v>385</c:v>
                </c:pt>
                <c:pt idx="273">
                  <c:v>385</c:v>
                </c:pt>
                <c:pt idx="274">
                  <c:v>382</c:v>
                </c:pt>
                <c:pt idx="275">
                  <c:v>379</c:v>
                </c:pt>
                <c:pt idx="276">
                  <c:v>379</c:v>
                </c:pt>
                <c:pt idx="277">
                  <c:v>376</c:v>
                </c:pt>
                <c:pt idx="278">
                  <c:v>376</c:v>
                </c:pt>
                <c:pt idx="279">
                  <c:v>376</c:v>
                </c:pt>
                <c:pt idx="280">
                  <c:v>376</c:v>
                </c:pt>
                <c:pt idx="281">
                  <c:v>373</c:v>
                </c:pt>
                <c:pt idx="282">
                  <c:v>373</c:v>
                </c:pt>
                <c:pt idx="283">
                  <c:v>373</c:v>
                </c:pt>
                <c:pt idx="284">
                  <c:v>370</c:v>
                </c:pt>
                <c:pt idx="285">
                  <c:v>370</c:v>
                </c:pt>
                <c:pt idx="286">
                  <c:v>367</c:v>
                </c:pt>
                <c:pt idx="287">
                  <c:v>364</c:v>
                </c:pt>
                <c:pt idx="288">
                  <c:v>364</c:v>
                </c:pt>
                <c:pt idx="289">
                  <c:v>361</c:v>
                </c:pt>
                <c:pt idx="290">
                  <c:v>361</c:v>
                </c:pt>
                <c:pt idx="291">
                  <c:v>361</c:v>
                </c:pt>
                <c:pt idx="292">
                  <c:v>358</c:v>
                </c:pt>
                <c:pt idx="293">
                  <c:v>358</c:v>
                </c:pt>
                <c:pt idx="294">
                  <c:v>358</c:v>
                </c:pt>
                <c:pt idx="295">
                  <c:v>355</c:v>
                </c:pt>
                <c:pt idx="296">
                  <c:v>355</c:v>
                </c:pt>
                <c:pt idx="297">
                  <c:v>355</c:v>
                </c:pt>
                <c:pt idx="298">
                  <c:v>355</c:v>
                </c:pt>
                <c:pt idx="299">
                  <c:v>355</c:v>
                </c:pt>
                <c:pt idx="300">
                  <c:v>352</c:v>
                </c:pt>
                <c:pt idx="301">
                  <c:v>352</c:v>
                </c:pt>
                <c:pt idx="302">
                  <c:v>352</c:v>
                </c:pt>
                <c:pt idx="303">
                  <c:v>352</c:v>
                </c:pt>
                <c:pt idx="304">
                  <c:v>355</c:v>
                </c:pt>
                <c:pt idx="305">
                  <c:v>364</c:v>
                </c:pt>
                <c:pt idx="306">
                  <c:v>379</c:v>
                </c:pt>
                <c:pt idx="307">
                  <c:v>403</c:v>
                </c:pt>
                <c:pt idx="308">
                  <c:v>470</c:v>
                </c:pt>
                <c:pt idx="309">
                  <c:v>654</c:v>
                </c:pt>
                <c:pt idx="310">
                  <c:v>1180</c:v>
                </c:pt>
                <c:pt idx="311">
                  <c:v>2640</c:v>
                </c:pt>
                <c:pt idx="312">
                  <c:v>4460</c:v>
                </c:pt>
                <c:pt idx="313">
                  <c:v>8340</c:v>
                </c:pt>
                <c:pt idx="314">
                  <c:v>13400</c:v>
                </c:pt>
                <c:pt idx="315">
                  <c:v>17500</c:v>
                </c:pt>
                <c:pt idx="316">
                  <c:v>18600</c:v>
                </c:pt>
                <c:pt idx="317">
                  <c:v>18600</c:v>
                </c:pt>
                <c:pt idx="318">
                  <c:v>18400</c:v>
                </c:pt>
                <c:pt idx="319">
                  <c:v>17700</c:v>
                </c:pt>
                <c:pt idx="320">
                  <c:v>16700</c:v>
                </c:pt>
                <c:pt idx="321">
                  <c:v>15700</c:v>
                </c:pt>
                <c:pt idx="322">
                  <c:v>14700</c:v>
                </c:pt>
                <c:pt idx="323">
                  <c:v>13900</c:v>
                </c:pt>
                <c:pt idx="324">
                  <c:v>13300</c:v>
                </c:pt>
                <c:pt idx="325">
                  <c:v>12900</c:v>
                </c:pt>
                <c:pt idx="326">
                  <c:v>12700</c:v>
                </c:pt>
                <c:pt idx="327">
                  <c:v>12400</c:v>
                </c:pt>
                <c:pt idx="328">
                  <c:v>12200</c:v>
                </c:pt>
                <c:pt idx="329">
                  <c:v>12100</c:v>
                </c:pt>
                <c:pt idx="330">
                  <c:v>12000</c:v>
                </c:pt>
                <c:pt idx="331">
                  <c:v>11900</c:v>
                </c:pt>
                <c:pt idx="332">
                  <c:v>11800</c:v>
                </c:pt>
                <c:pt idx="333">
                  <c:v>11700</c:v>
                </c:pt>
                <c:pt idx="334">
                  <c:v>11500</c:v>
                </c:pt>
                <c:pt idx="335">
                  <c:v>11400</c:v>
                </c:pt>
                <c:pt idx="336">
                  <c:v>11300</c:v>
                </c:pt>
                <c:pt idx="337">
                  <c:v>11100</c:v>
                </c:pt>
                <c:pt idx="338">
                  <c:v>10800</c:v>
                </c:pt>
                <c:pt idx="339">
                  <c:v>10600</c:v>
                </c:pt>
                <c:pt idx="340">
                  <c:v>10300</c:v>
                </c:pt>
                <c:pt idx="341">
                  <c:v>10000</c:v>
                </c:pt>
                <c:pt idx="342">
                  <c:v>9720</c:v>
                </c:pt>
                <c:pt idx="343">
                  <c:v>9380</c:v>
                </c:pt>
                <c:pt idx="344">
                  <c:v>9020</c:v>
                </c:pt>
                <c:pt idx="345">
                  <c:v>8660</c:v>
                </c:pt>
                <c:pt idx="346">
                  <c:v>8270</c:v>
                </c:pt>
                <c:pt idx="347">
                  <c:v>7790</c:v>
                </c:pt>
                <c:pt idx="348">
                  <c:v>7300</c:v>
                </c:pt>
                <c:pt idx="349">
                  <c:v>6720</c:v>
                </c:pt>
                <c:pt idx="350">
                  <c:v>6200</c:v>
                </c:pt>
                <c:pt idx="351">
                  <c:v>5740</c:v>
                </c:pt>
                <c:pt idx="352">
                  <c:v>5370</c:v>
                </c:pt>
                <c:pt idx="353">
                  <c:v>5040</c:v>
                </c:pt>
                <c:pt idx="354">
                  <c:v>4730</c:v>
                </c:pt>
                <c:pt idx="355">
                  <c:v>4450</c:v>
                </c:pt>
                <c:pt idx="356">
                  <c:v>4210</c:v>
                </c:pt>
                <c:pt idx="357">
                  <c:v>4000</c:v>
                </c:pt>
                <c:pt idx="358">
                  <c:v>3790</c:v>
                </c:pt>
                <c:pt idx="359">
                  <c:v>3620</c:v>
                </c:pt>
                <c:pt idx="360">
                  <c:v>3460</c:v>
                </c:pt>
                <c:pt idx="361">
                  <c:v>3300</c:v>
                </c:pt>
                <c:pt idx="362">
                  <c:v>3180</c:v>
                </c:pt>
                <c:pt idx="363">
                  <c:v>3050</c:v>
                </c:pt>
                <c:pt idx="364">
                  <c:v>2930</c:v>
                </c:pt>
                <c:pt idx="365">
                  <c:v>2810</c:v>
                </c:pt>
                <c:pt idx="366">
                  <c:v>2730</c:v>
                </c:pt>
                <c:pt idx="367">
                  <c:v>2640</c:v>
                </c:pt>
                <c:pt idx="368">
                  <c:v>2560</c:v>
                </c:pt>
                <c:pt idx="369">
                  <c:v>2490</c:v>
                </c:pt>
                <c:pt idx="370">
                  <c:v>2410</c:v>
                </c:pt>
                <c:pt idx="371">
                  <c:v>2350</c:v>
                </c:pt>
                <c:pt idx="372">
                  <c:v>2290</c:v>
                </c:pt>
                <c:pt idx="373">
                  <c:v>2230</c:v>
                </c:pt>
                <c:pt idx="374">
                  <c:v>2170</c:v>
                </c:pt>
                <c:pt idx="375">
                  <c:v>2120</c:v>
                </c:pt>
                <c:pt idx="376">
                  <c:v>2070</c:v>
                </c:pt>
                <c:pt idx="377">
                  <c:v>2020</c:v>
                </c:pt>
                <c:pt idx="378">
                  <c:v>1980</c:v>
                </c:pt>
                <c:pt idx="379">
                  <c:v>1940</c:v>
                </c:pt>
                <c:pt idx="380">
                  <c:v>1900</c:v>
                </c:pt>
                <c:pt idx="381">
                  <c:v>1850</c:v>
                </c:pt>
                <c:pt idx="382">
                  <c:v>1810</c:v>
                </c:pt>
                <c:pt idx="383">
                  <c:v>1750</c:v>
                </c:pt>
                <c:pt idx="384">
                  <c:v>1710</c:v>
                </c:pt>
                <c:pt idx="385">
                  <c:v>1660</c:v>
                </c:pt>
                <c:pt idx="386">
                  <c:v>1610</c:v>
                </c:pt>
                <c:pt idx="387">
                  <c:v>1570</c:v>
                </c:pt>
                <c:pt idx="388">
                  <c:v>1530</c:v>
                </c:pt>
                <c:pt idx="389">
                  <c:v>1490</c:v>
                </c:pt>
                <c:pt idx="390">
                  <c:v>1460</c:v>
                </c:pt>
                <c:pt idx="391">
                  <c:v>1430</c:v>
                </c:pt>
                <c:pt idx="392">
                  <c:v>1400</c:v>
                </c:pt>
                <c:pt idx="393">
                  <c:v>1370</c:v>
                </c:pt>
                <c:pt idx="394">
                  <c:v>1350</c:v>
                </c:pt>
                <c:pt idx="395">
                  <c:v>1320</c:v>
                </c:pt>
                <c:pt idx="396">
                  <c:v>1300</c:v>
                </c:pt>
                <c:pt idx="397">
                  <c:v>1270</c:v>
                </c:pt>
                <c:pt idx="398">
                  <c:v>1250</c:v>
                </c:pt>
                <c:pt idx="399">
                  <c:v>1230</c:v>
                </c:pt>
                <c:pt idx="400">
                  <c:v>1210</c:v>
                </c:pt>
                <c:pt idx="401">
                  <c:v>1190</c:v>
                </c:pt>
                <c:pt idx="402">
                  <c:v>1170</c:v>
                </c:pt>
                <c:pt idx="403">
                  <c:v>1150</c:v>
                </c:pt>
                <c:pt idx="404">
                  <c:v>1140</c:v>
                </c:pt>
                <c:pt idx="405">
                  <c:v>1120</c:v>
                </c:pt>
                <c:pt idx="406">
                  <c:v>1100</c:v>
                </c:pt>
                <c:pt idx="407">
                  <c:v>1090</c:v>
                </c:pt>
                <c:pt idx="408">
                  <c:v>1070</c:v>
                </c:pt>
                <c:pt idx="409">
                  <c:v>1060</c:v>
                </c:pt>
                <c:pt idx="410">
                  <c:v>1050</c:v>
                </c:pt>
                <c:pt idx="411">
                  <c:v>1030</c:v>
                </c:pt>
                <c:pt idx="412">
                  <c:v>1010</c:v>
                </c:pt>
                <c:pt idx="413">
                  <c:v>1000</c:v>
                </c:pt>
                <c:pt idx="414">
                  <c:v>994</c:v>
                </c:pt>
                <c:pt idx="415">
                  <c:v>983</c:v>
                </c:pt>
                <c:pt idx="416">
                  <c:v>968</c:v>
                </c:pt>
                <c:pt idx="417">
                  <c:v>958</c:v>
                </c:pt>
                <c:pt idx="418">
                  <c:v>948</c:v>
                </c:pt>
                <c:pt idx="419">
                  <c:v>939</c:v>
                </c:pt>
                <c:pt idx="420">
                  <c:v>934</c:v>
                </c:pt>
                <c:pt idx="421">
                  <c:v>924</c:v>
                </c:pt>
                <c:pt idx="422">
                  <c:v>914</c:v>
                </c:pt>
                <c:pt idx="423">
                  <c:v>909</c:v>
                </c:pt>
                <c:pt idx="424">
                  <c:v>895</c:v>
                </c:pt>
                <c:pt idx="425">
                  <c:v>890</c:v>
                </c:pt>
                <c:pt idx="426">
                  <c:v>876</c:v>
                </c:pt>
                <c:pt idx="427">
                  <c:v>866</c:v>
                </c:pt>
                <c:pt idx="428">
                  <c:v>857</c:v>
                </c:pt>
                <c:pt idx="429">
                  <c:v>852</c:v>
                </c:pt>
                <c:pt idx="430">
                  <c:v>843</c:v>
                </c:pt>
                <c:pt idx="431">
                  <c:v>838</c:v>
                </c:pt>
                <c:pt idx="432">
                  <c:v>829</c:v>
                </c:pt>
                <c:pt idx="433">
                  <c:v>820</c:v>
                </c:pt>
                <c:pt idx="434">
                  <c:v>815</c:v>
                </c:pt>
                <c:pt idx="435">
                  <c:v>811</c:v>
                </c:pt>
                <c:pt idx="436">
                  <c:v>802</c:v>
                </c:pt>
                <c:pt idx="437">
                  <c:v>797</c:v>
                </c:pt>
                <c:pt idx="438">
                  <c:v>797</c:v>
                </c:pt>
                <c:pt idx="439">
                  <c:v>793</c:v>
                </c:pt>
                <c:pt idx="440">
                  <c:v>793</c:v>
                </c:pt>
                <c:pt idx="441">
                  <c:v>788</c:v>
                </c:pt>
                <c:pt idx="442">
                  <c:v>788</c:v>
                </c:pt>
                <c:pt idx="443">
                  <c:v>784</c:v>
                </c:pt>
                <c:pt idx="444">
                  <c:v>779</c:v>
                </c:pt>
                <c:pt idx="445">
                  <c:v>775</c:v>
                </c:pt>
                <c:pt idx="446">
                  <c:v>766</c:v>
                </c:pt>
                <c:pt idx="447">
                  <c:v>766</c:v>
                </c:pt>
                <c:pt idx="448">
                  <c:v>766</c:v>
                </c:pt>
                <c:pt idx="449">
                  <c:v>766</c:v>
                </c:pt>
                <c:pt idx="450">
                  <c:v>762</c:v>
                </c:pt>
                <c:pt idx="451">
                  <c:v>753</c:v>
                </c:pt>
                <c:pt idx="452">
                  <c:v>749</c:v>
                </c:pt>
                <c:pt idx="453">
                  <c:v>740</c:v>
                </c:pt>
                <c:pt idx="454">
                  <c:v>731</c:v>
                </c:pt>
                <c:pt idx="455">
                  <c:v>723</c:v>
                </c:pt>
                <c:pt idx="456">
                  <c:v>714</c:v>
                </c:pt>
                <c:pt idx="457">
                  <c:v>710</c:v>
                </c:pt>
                <c:pt idx="458">
                  <c:v>701</c:v>
                </c:pt>
                <c:pt idx="459">
                  <c:v>693</c:v>
                </c:pt>
                <c:pt idx="460">
                  <c:v>688</c:v>
                </c:pt>
                <c:pt idx="461">
                  <c:v>680</c:v>
                </c:pt>
                <c:pt idx="462">
                  <c:v>680</c:v>
                </c:pt>
                <c:pt idx="463">
                  <c:v>675</c:v>
                </c:pt>
                <c:pt idx="464">
                  <c:v>671</c:v>
                </c:pt>
                <c:pt idx="465">
                  <c:v>667</c:v>
                </c:pt>
                <c:pt idx="466">
                  <c:v>663</c:v>
                </c:pt>
                <c:pt idx="467">
                  <c:v>654</c:v>
                </c:pt>
                <c:pt idx="468">
                  <c:v>646</c:v>
                </c:pt>
                <c:pt idx="469">
                  <c:v>646</c:v>
                </c:pt>
                <c:pt idx="470">
                  <c:v>638</c:v>
                </c:pt>
                <c:pt idx="471">
                  <c:v>630</c:v>
                </c:pt>
                <c:pt idx="472">
                  <c:v>621</c:v>
                </c:pt>
                <c:pt idx="473">
                  <c:v>617</c:v>
                </c:pt>
                <c:pt idx="474">
                  <c:v>613</c:v>
                </c:pt>
                <c:pt idx="475">
                  <c:v>605</c:v>
                </c:pt>
                <c:pt idx="476">
                  <c:v>597</c:v>
                </c:pt>
                <c:pt idx="477">
                  <c:v>593</c:v>
                </c:pt>
                <c:pt idx="478">
                  <c:v>589</c:v>
                </c:pt>
                <c:pt idx="479">
                  <c:v>582</c:v>
                </c:pt>
                <c:pt idx="480">
                  <c:v>582</c:v>
                </c:pt>
                <c:pt idx="481">
                  <c:v>574</c:v>
                </c:pt>
                <c:pt idx="482">
                  <c:v>570</c:v>
                </c:pt>
                <c:pt idx="483">
                  <c:v>566</c:v>
                </c:pt>
                <c:pt idx="484">
                  <c:v>562</c:v>
                </c:pt>
                <c:pt idx="485">
                  <c:v>558</c:v>
                </c:pt>
                <c:pt idx="486">
                  <c:v>551</c:v>
                </c:pt>
                <c:pt idx="487">
                  <c:v>551</c:v>
                </c:pt>
                <c:pt idx="488">
                  <c:v>547</c:v>
                </c:pt>
                <c:pt idx="489">
                  <c:v>543</c:v>
                </c:pt>
                <c:pt idx="490">
                  <c:v>539</c:v>
                </c:pt>
                <c:pt idx="491">
                  <c:v>536</c:v>
                </c:pt>
                <c:pt idx="492">
                  <c:v>536</c:v>
                </c:pt>
                <c:pt idx="493">
                  <c:v>532</c:v>
                </c:pt>
                <c:pt idx="494">
                  <c:v>528</c:v>
                </c:pt>
                <c:pt idx="495">
                  <c:v>521</c:v>
                </c:pt>
                <c:pt idx="496">
                  <c:v>521</c:v>
                </c:pt>
                <c:pt idx="497">
                  <c:v>517</c:v>
                </c:pt>
                <c:pt idx="498">
                  <c:v>514</c:v>
                </c:pt>
                <c:pt idx="499">
                  <c:v>510</c:v>
                </c:pt>
                <c:pt idx="500">
                  <c:v>506</c:v>
                </c:pt>
                <c:pt idx="501">
                  <c:v>503</c:v>
                </c:pt>
                <c:pt idx="502">
                  <c:v>499</c:v>
                </c:pt>
                <c:pt idx="503">
                  <c:v>495</c:v>
                </c:pt>
                <c:pt idx="504">
                  <c:v>492</c:v>
                </c:pt>
                <c:pt idx="505">
                  <c:v>492</c:v>
                </c:pt>
                <c:pt idx="506">
                  <c:v>488</c:v>
                </c:pt>
                <c:pt idx="507">
                  <c:v>485</c:v>
                </c:pt>
                <c:pt idx="508">
                  <c:v>485</c:v>
                </c:pt>
                <c:pt idx="509">
                  <c:v>478</c:v>
                </c:pt>
                <c:pt idx="510">
                  <c:v>478</c:v>
                </c:pt>
                <c:pt idx="511">
                  <c:v>474</c:v>
                </c:pt>
                <c:pt idx="512">
                  <c:v>474</c:v>
                </c:pt>
                <c:pt idx="513">
                  <c:v>474</c:v>
                </c:pt>
                <c:pt idx="514">
                  <c:v>470</c:v>
                </c:pt>
                <c:pt idx="515">
                  <c:v>470</c:v>
                </c:pt>
                <c:pt idx="516">
                  <c:v>470</c:v>
                </c:pt>
                <c:pt idx="517">
                  <c:v>470</c:v>
                </c:pt>
                <c:pt idx="518">
                  <c:v>467</c:v>
                </c:pt>
                <c:pt idx="519">
                  <c:v>463</c:v>
                </c:pt>
                <c:pt idx="520">
                  <c:v>463</c:v>
                </c:pt>
                <c:pt idx="521">
                  <c:v>463</c:v>
                </c:pt>
                <c:pt idx="522">
                  <c:v>463</c:v>
                </c:pt>
                <c:pt idx="523">
                  <c:v>460</c:v>
                </c:pt>
                <c:pt idx="524">
                  <c:v>460</c:v>
                </c:pt>
                <c:pt idx="525">
                  <c:v>460</c:v>
                </c:pt>
                <c:pt idx="526">
                  <c:v>460</c:v>
                </c:pt>
                <c:pt idx="527">
                  <c:v>460</c:v>
                </c:pt>
              </c:numCache>
            </c:numRef>
          </c:yVal>
          <c:smooth val="0"/>
          <c:extLst>
            <c:ext xmlns:c16="http://schemas.microsoft.com/office/drawing/2014/chart" uri="{C3380CC4-5D6E-409C-BE32-E72D297353CC}">
              <c16:uniqueId val="{00000007-385C-43EC-B66E-2D5F0CA3D4E7}"/>
            </c:ext>
          </c:extLst>
        </c:ser>
        <c:ser>
          <c:idx val="8"/>
          <c:order val="8"/>
          <c:tx>
            <c:v>Mod Statistics Range</c:v>
          </c:tx>
          <c:spPr>
            <a:ln>
              <a:noFill/>
            </a:ln>
          </c:spPr>
          <c:marker>
            <c:symbol val="circle"/>
            <c:size val="5"/>
            <c:spPr>
              <a:solidFill>
                <a:srgbClr val="FF0000"/>
              </a:solidFill>
              <a:ln>
                <a:solidFill>
                  <a:schemeClr val="tx1">
                    <a:lumMod val="75000"/>
                    <a:lumOff val="25000"/>
                  </a:schemeClr>
                </a:solidFill>
              </a:ln>
            </c:spPr>
          </c:marker>
          <c:xVal>
            <c:numRef>
              <c:f>Gage_and_Event!$AR$5:$AR$2000</c:f>
              <c:numCache>
                <c:formatCode>m/d/yy\ h:mm;@</c:formatCode>
                <c:ptCount val="1996"/>
                <c:pt idx="0">
                  <c:v>37931.541666666664</c:v>
                </c:pt>
                <c:pt idx="1">
                  <c:v>37931.583333333336</c:v>
                </c:pt>
                <c:pt idx="2">
                  <c:v>37931.625</c:v>
                </c:pt>
                <c:pt idx="3">
                  <c:v>37931.666666666664</c:v>
                </c:pt>
                <c:pt idx="4">
                  <c:v>37931.708333333336</c:v>
                </c:pt>
                <c:pt idx="5">
                  <c:v>37931.75</c:v>
                </c:pt>
                <c:pt idx="6">
                  <c:v>37931.791666666664</c:v>
                </c:pt>
                <c:pt idx="7">
                  <c:v>37931.833333333336</c:v>
                </c:pt>
                <c:pt idx="8">
                  <c:v>37931.875</c:v>
                </c:pt>
                <c:pt idx="9">
                  <c:v>37931.916666666664</c:v>
                </c:pt>
                <c:pt idx="10">
                  <c:v>37931.958333333336</c:v>
                </c:pt>
                <c:pt idx="11">
                  <c:v>37932</c:v>
                </c:pt>
                <c:pt idx="12">
                  <c:v>37932.041666666664</c:v>
                </c:pt>
                <c:pt idx="13">
                  <c:v>37932.083333333336</c:v>
                </c:pt>
                <c:pt idx="14">
                  <c:v>37932.125</c:v>
                </c:pt>
                <c:pt idx="15">
                  <c:v>37932.166666666664</c:v>
                </c:pt>
                <c:pt idx="16">
                  <c:v>37932.208333333336</c:v>
                </c:pt>
                <c:pt idx="17">
                  <c:v>37932.25</c:v>
                </c:pt>
                <c:pt idx="18">
                  <c:v>37932.291666666664</c:v>
                </c:pt>
                <c:pt idx="19">
                  <c:v>37932.333333333336</c:v>
                </c:pt>
                <c:pt idx="20">
                  <c:v>37932.375</c:v>
                </c:pt>
                <c:pt idx="21">
                  <c:v>37932.416666666664</c:v>
                </c:pt>
                <c:pt idx="22">
                  <c:v>37932.458333333336</c:v>
                </c:pt>
                <c:pt idx="23">
                  <c:v>37932.5</c:v>
                </c:pt>
                <c:pt idx="24">
                  <c:v>37932.541666666664</c:v>
                </c:pt>
                <c:pt idx="25">
                  <c:v>37932.583333333336</c:v>
                </c:pt>
                <c:pt idx="26">
                  <c:v>37932.625</c:v>
                </c:pt>
                <c:pt idx="27">
                  <c:v>37932.666666666664</c:v>
                </c:pt>
                <c:pt idx="28">
                  <c:v>37932.708333333336</c:v>
                </c:pt>
                <c:pt idx="29">
                  <c:v>37932.75</c:v>
                </c:pt>
                <c:pt idx="30">
                  <c:v>37932.791666666664</c:v>
                </c:pt>
                <c:pt idx="31">
                  <c:v>37932.833333333336</c:v>
                </c:pt>
                <c:pt idx="32">
                  <c:v>37932.875</c:v>
                </c:pt>
                <c:pt idx="33">
                  <c:v>37932.916666666664</c:v>
                </c:pt>
                <c:pt idx="34">
                  <c:v>37932.958333333336</c:v>
                </c:pt>
                <c:pt idx="35">
                  <c:v>37933</c:v>
                </c:pt>
                <c:pt idx="36">
                  <c:v>37933.041666666664</c:v>
                </c:pt>
                <c:pt idx="37">
                  <c:v>37933.083333333336</c:v>
                </c:pt>
                <c:pt idx="38">
                  <c:v>37933.125</c:v>
                </c:pt>
                <c:pt idx="39">
                  <c:v>37933.166666666664</c:v>
                </c:pt>
                <c:pt idx="40">
                  <c:v>37933.208333333336</c:v>
                </c:pt>
                <c:pt idx="41">
                  <c:v>37933.25</c:v>
                </c:pt>
                <c:pt idx="42">
                  <c:v>37933.291666666664</c:v>
                </c:pt>
                <c:pt idx="43">
                  <c:v>37933.333333333336</c:v>
                </c:pt>
                <c:pt idx="44">
                  <c:v>37933.375</c:v>
                </c:pt>
                <c:pt idx="45">
                  <c:v>37933.416666666664</c:v>
                </c:pt>
                <c:pt idx="46">
                  <c:v>37933.458333333336</c:v>
                </c:pt>
                <c:pt idx="47">
                  <c:v>37933.5</c:v>
                </c:pt>
                <c:pt idx="48">
                  <c:v>37933.541666666664</c:v>
                </c:pt>
                <c:pt idx="49">
                  <c:v>37933.583333333336</c:v>
                </c:pt>
                <c:pt idx="50">
                  <c:v>37933.625</c:v>
                </c:pt>
                <c:pt idx="51">
                  <c:v>37933.666666666664</c:v>
                </c:pt>
                <c:pt idx="52">
                  <c:v>37933.708333333336</c:v>
                </c:pt>
                <c:pt idx="53">
                  <c:v>37933.75</c:v>
                </c:pt>
                <c:pt idx="54">
                  <c:v>37933.791666666664</c:v>
                </c:pt>
                <c:pt idx="55">
                  <c:v>37933.833333333336</c:v>
                </c:pt>
                <c:pt idx="56">
                  <c:v>37933.875</c:v>
                </c:pt>
                <c:pt idx="57">
                  <c:v>37933.916666666664</c:v>
                </c:pt>
                <c:pt idx="58">
                  <c:v>37933.958333333336</c:v>
                </c:pt>
                <c:pt idx="59">
                  <c:v>37934</c:v>
                </c:pt>
                <c:pt idx="60">
                  <c:v>37934.041666666664</c:v>
                </c:pt>
                <c:pt idx="61">
                  <c:v>37934.083333333336</c:v>
                </c:pt>
                <c:pt idx="62">
                  <c:v>37934.125</c:v>
                </c:pt>
                <c:pt idx="63">
                  <c:v>37934.166666666664</c:v>
                </c:pt>
                <c:pt idx="64">
                  <c:v>37934.208333333336</c:v>
                </c:pt>
                <c:pt idx="65">
                  <c:v>37934.25</c:v>
                </c:pt>
                <c:pt idx="66">
                  <c:v>37934.291666666664</c:v>
                </c:pt>
                <c:pt idx="67">
                  <c:v>37934.333333333336</c:v>
                </c:pt>
                <c:pt idx="68">
                  <c:v>37934.375</c:v>
                </c:pt>
                <c:pt idx="69">
                  <c:v>37934.416666666664</c:v>
                </c:pt>
                <c:pt idx="70">
                  <c:v>37934.458333333336</c:v>
                </c:pt>
                <c:pt idx="71">
                  <c:v>37934.5</c:v>
                </c:pt>
                <c:pt idx="72">
                  <c:v>37934.541666666664</c:v>
                </c:pt>
                <c:pt idx="73">
                  <c:v>37934.583333333336</c:v>
                </c:pt>
                <c:pt idx="74">
                  <c:v>37934.625</c:v>
                </c:pt>
                <c:pt idx="75">
                  <c:v>37934.666666666664</c:v>
                </c:pt>
                <c:pt idx="76">
                  <c:v>37934.708333333336</c:v>
                </c:pt>
                <c:pt idx="77">
                  <c:v>37934.75</c:v>
                </c:pt>
                <c:pt idx="78">
                  <c:v>37934.791666666664</c:v>
                </c:pt>
                <c:pt idx="79">
                  <c:v>37934.833333333336</c:v>
                </c:pt>
                <c:pt idx="80">
                  <c:v>37934.875</c:v>
                </c:pt>
                <c:pt idx="81">
                  <c:v>37934.916666666664</c:v>
                </c:pt>
                <c:pt idx="82">
                  <c:v>37934.958333333336</c:v>
                </c:pt>
                <c:pt idx="83">
                  <c:v>37935</c:v>
                </c:pt>
                <c:pt idx="84">
                  <c:v>37935.041666666664</c:v>
                </c:pt>
                <c:pt idx="85">
                  <c:v>37935.083333333336</c:v>
                </c:pt>
                <c:pt idx="86">
                  <c:v>37935.125</c:v>
                </c:pt>
                <c:pt idx="87">
                  <c:v>37935.166666666664</c:v>
                </c:pt>
                <c:pt idx="88">
                  <c:v>37935.208333333336</c:v>
                </c:pt>
                <c:pt idx="89">
                  <c:v>37935.25</c:v>
                </c:pt>
                <c:pt idx="90">
                  <c:v>37935.291666666664</c:v>
                </c:pt>
                <c:pt idx="91">
                  <c:v>37935.333333333336</c:v>
                </c:pt>
                <c:pt idx="92">
                  <c:v>37935.375</c:v>
                </c:pt>
                <c:pt idx="93">
                  <c:v>37935.416666666664</c:v>
                </c:pt>
                <c:pt idx="94">
                  <c:v>37935.458333333336</c:v>
                </c:pt>
                <c:pt idx="95">
                  <c:v>37935.5</c:v>
                </c:pt>
                <c:pt idx="96">
                  <c:v>37935.541666666664</c:v>
                </c:pt>
                <c:pt idx="97">
                  <c:v>37935.583333333336</c:v>
                </c:pt>
                <c:pt idx="98">
                  <c:v>37935.625</c:v>
                </c:pt>
                <c:pt idx="99">
                  <c:v>37935.666666666664</c:v>
                </c:pt>
                <c:pt idx="100">
                  <c:v>37935.708333333336</c:v>
                </c:pt>
                <c:pt idx="101">
                  <c:v>37935.75</c:v>
                </c:pt>
                <c:pt idx="102">
                  <c:v>37935.791666666664</c:v>
                </c:pt>
                <c:pt idx="103">
                  <c:v>37935.833333333336</c:v>
                </c:pt>
                <c:pt idx="104">
                  <c:v>37935.875</c:v>
                </c:pt>
                <c:pt idx="105">
                  <c:v>37935.916666666664</c:v>
                </c:pt>
                <c:pt idx="106">
                  <c:v>37935.958333333336</c:v>
                </c:pt>
                <c:pt idx="107">
                  <c:v>37936</c:v>
                </c:pt>
                <c:pt idx="108">
                  <c:v>37936.041666666664</c:v>
                </c:pt>
                <c:pt idx="109">
                  <c:v>37936.083333333336</c:v>
                </c:pt>
                <c:pt idx="110">
                  <c:v>37936.125</c:v>
                </c:pt>
                <c:pt idx="111">
                  <c:v>37936.166666666664</c:v>
                </c:pt>
                <c:pt idx="112">
                  <c:v>37936.208333333336</c:v>
                </c:pt>
                <c:pt idx="113">
                  <c:v>37936.25</c:v>
                </c:pt>
                <c:pt idx="114">
                  <c:v>37936.291666666664</c:v>
                </c:pt>
                <c:pt idx="115">
                  <c:v>37936.333333333336</c:v>
                </c:pt>
                <c:pt idx="116">
                  <c:v>37936.375</c:v>
                </c:pt>
                <c:pt idx="117">
                  <c:v>37936.416666666664</c:v>
                </c:pt>
                <c:pt idx="118">
                  <c:v>37936.458333333336</c:v>
                </c:pt>
                <c:pt idx="119">
                  <c:v>37936.5</c:v>
                </c:pt>
                <c:pt idx="120">
                  <c:v>37936.541666666664</c:v>
                </c:pt>
                <c:pt idx="121">
                  <c:v>37936.583333333336</c:v>
                </c:pt>
                <c:pt idx="122">
                  <c:v>37936.625</c:v>
                </c:pt>
                <c:pt idx="123">
                  <c:v>37936.666666666664</c:v>
                </c:pt>
                <c:pt idx="124">
                  <c:v>37936.708333333336</c:v>
                </c:pt>
                <c:pt idx="125">
                  <c:v>37936.75</c:v>
                </c:pt>
                <c:pt idx="126">
                  <c:v>37936.791666666664</c:v>
                </c:pt>
                <c:pt idx="127">
                  <c:v>37936.833333333336</c:v>
                </c:pt>
                <c:pt idx="128">
                  <c:v>37936.875</c:v>
                </c:pt>
                <c:pt idx="129">
                  <c:v>37936.916666666664</c:v>
                </c:pt>
                <c:pt idx="130">
                  <c:v>37936.958333333336</c:v>
                </c:pt>
                <c:pt idx="131">
                  <c:v>37937</c:v>
                </c:pt>
                <c:pt idx="132">
                  <c:v>37937.041666666664</c:v>
                </c:pt>
                <c:pt idx="133">
                  <c:v>37937.083333333336</c:v>
                </c:pt>
                <c:pt idx="134">
                  <c:v>37937.125</c:v>
                </c:pt>
                <c:pt idx="135">
                  <c:v>37937.166666666664</c:v>
                </c:pt>
                <c:pt idx="136">
                  <c:v>37937.208333333336</c:v>
                </c:pt>
                <c:pt idx="137">
                  <c:v>37937.25</c:v>
                </c:pt>
                <c:pt idx="138">
                  <c:v>37937.291666666664</c:v>
                </c:pt>
                <c:pt idx="139">
                  <c:v>37937.333333333336</c:v>
                </c:pt>
                <c:pt idx="140">
                  <c:v>37937.375</c:v>
                </c:pt>
                <c:pt idx="141">
                  <c:v>37937.416666666664</c:v>
                </c:pt>
                <c:pt idx="142">
                  <c:v>37937.458333333336</c:v>
                </c:pt>
                <c:pt idx="143">
                  <c:v>37937.5</c:v>
                </c:pt>
                <c:pt idx="144">
                  <c:v>37937.541666666664</c:v>
                </c:pt>
                <c:pt idx="145">
                  <c:v>37937.583333333336</c:v>
                </c:pt>
                <c:pt idx="146">
                  <c:v>37937.625</c:v>
                </c:pt>
                <c:pt idx="147">
                  <c:v>37937.666666666664</c:v>
                </c:pt>
                <c:pt idx="148">
                  <c:v>37937.708333333336</c:v>
                </c:pt>
                <c:pt idx="149">
                  <c:v>37937.75</c:v>
                </c:pt>
                <c:pt idx="150">
                  <c:v>37937.791666666664</c:v>
                </c:pt>
                <c:pt idx="151">
                  <c:v>37937.833333333336</c:v>
                </c:pt>
                <c:pt idx="152">
                  <c:v>37937.875</c:v>
                </c:pt>
                <c:pt idx="153">
                  <c:v>37937.916666666664</c:v>
                </c:pt>
                <c:pt idx="154">
                  <c:v>37937.958333333336</c:v>
                </c:pt>
                <c:pt idx="155">
                  <c:v>37938</c:v>
                </c:pt>
                <c:pt idx="156">
                  <c:v>37938.041666666664</c:v>
                </c:pt>
                <c:pt idx="157">
                  <c:v>37938.083333333336</c:v>
                </c:pt>
                <c:pt idx="158">
                  <c:v>37938.125</c:v>
                </c:pt>
                <c:pt idx="159">
                  <c:v>37938.166666666664</c:v>
                </c:pt>
                <c:pt idx="160">
                  <c:v>37938.208333333336</c:v>
                </c:pt>
                <c:pt idx="161">
                  <c:v>37938.25</c:v>
                </c:pt>
                <c:pt idx="162">
                  <c:v>37938.291666666664</c:v>
                </c:pt>
                <c:pt idx="163">
                  <c:v>37938.333333333336</c:v>
                </c:pt>
                <c:pt idx="164">
                  <c:v>37938.375</c:v>
                </c:pt>
                <c:pt idx="165">
                  <c:v>37938.416666666664</c:v>
                </c:pt>
                <c:pt idx="166">
                  <c:v>37938.458333333336</c:v>
                </c:pt>
                <c:pt idx="167">
                  <c:v>37938.5</c:v>
                </c:pt>
                <c:pt idx="168">
                  <c:v>37938.541666666664</c:v>
                </c:pt>
                <c:pt idx="169">
                  <c:v>37938.583333333336</c:v>
                </c:pt>
                <c:pt idx="170">
                  <c:v>37938.625</c:v>
                </c:pt>
                <c:pt idx="171">
                  <c:v>37938.666666666664</c:v>
                </c:pt>
                <c:pt idx="172">
                  <c:v>37938.708333333336</c:v>
                </c:pt>
                <c:pt idx="173">
                  <c:v>37938.75</c:v>
                </c:pt>
                <c:pt idx="174">
                  <c:v>37938.791666666664</c:v>
                </c:pt>
                <c:pt idx="175">
                  <c:v>37938.833333333336</c:v>
                </c:pt>
                <c:pt idx="176">
                  <c:v>37938.875</c:v>
                </c:pt>
                <c:pt idx="177">
                  <c:v>37938.916666666664</c:v>
                </c:pt>
                <c:pt idx="178">
                  <c:v>37938.958333333336</c:v>
                </c:pt>
                <c:pt idx="179">
                  <c:v>37939</c:v>
                </c:pt>
                <c:pt idx="180">
                  <c:v>37939.041666666664</c:v>
                </c:pt>
                <c:pt idx="181">
                  <c:v>37939.083333333336</c:v>
                </c:pt>
                <c:pt idx="182">
                  <c:v>37939.125</c:v>
                </c:pt>
                <c:pt idx="183">
                  <c:v>37939.166666666664</c:v>
                </c:pt>
                <c:pt idx="184">
                  <c:v>37939.208333333336</c:v>
                </c:pt>
                <c:pt idx="185">
                  <c:v>37939.25</c:v>
                </c:pt>
                <c:pt idx="186">
                  <c:v>37939.291666666664</c:v>
                </c:pt>
                <c:pt idx="187">
                  <c:v>37939.333333333336</c:v>
                </c:pt>
                <c:pt idx="188">
                  <c:v>37939.375</c:v>
                </c:pt>
                <c:pt idx="189">
                  <c:v>37939.416666666664</c:v>
                </c:pt>
                <c:pt idx="190">
                  <c:v>37939.458333333336</c:v>
                </c:pt>
                <c:pt idx="191">
                  <c:v>37939.5</c:v>
                </c:pt>
                <c:pt idx="192">
                  <c:v>37939.541666666664</c:v>
                </c:pt>
                <c:pt idx="193">
                  <c:v>37939.583333333336</c:v>
                </c:pt>
                <c:pt idx="194">
                  <c:v>37939.625</c:v>
                </c:pt>
                <c:pt idx="195">
                  <c:v>37939.666666666664</c:v>
                </c:pt>
                <c:pt idx="196">
                  <c:v>37939.708333333336</c:v>
                </c:pt>
                <c:pt idx="197">
                  <c:v>37939.75</c:v>
                </c:pt>
                <c:pt idx="198">
                  <c:v>37939.791666666664</c:v>
                </c:pt>
                <c:pt idx="199">
                  <c:v>37939.833333333336</c:v>
                </c:pt>
                <c:pt idx="200">
                  <c:v>37939.875</c:v>
                </c:pt>
                <c:pt idx="201">
                  <c:v>37939.916666666664</c:v>
                </c:pt>
                <c:pt idx="202">
                  <c:v>37939.958333333336</c:v>
                </c:pt>
                <c:pt idx="203">
                  <c:v>37940</c:v>
                </c:pt>
                <c:pt idx="204">
                  <c:v>37940.041666666664</c:v>
                </c:pt>
                <c:pt idx="205">
                  <c:v>37940.083333333336</c:v>
                </c:pt>
                <c:pt idx="206">
                  <c:v>37940.125</c:v>
                </c:pt>
                <c:pt idx="207">
                  <c:v>37940.166666666664</c:v>
                </c:pt>
                <c:pt idx="208">
                  <c:v>37940.208333333336</c:v>
                </c:pt>
                <c:pt idx="209">
                  <c:v>37940.25</c:v>
                </c:pt>
                <c:pt idx="210">
                  <c:v>37940.291666666664</c:v>
                </c:pt>
                <c:pt idx="211">
                  <c:v>37940.333333333336</c:v>
                </c:pt>
                <c:pt idx="212">
                  <c:v>37940.375</c:v>
                </c:pt>
                <c:pt idx="213">
                  <c:v>37940.416666666664</c:v>
                </c:pt>
                <c:pt idx="214">
                  <c:v>37940.458333333336</c:v>
                </c:pt>
                <c:pt idx="215">
                  <c:v>37940.5</c:v>
                </c:pt>
                <c:pt idx="216">
                  <c:v>37940.541666666664</c:v>
                </c:pt>
                <c:pt idx="217">
                  <c:v>37940.583333333336</c:v>
                </c:pt>
                <c:pt idx="218">
                  <c:v>37940.625</c:v>
                </c:pt>
                <c:pt idx="219">
                  <c:v>37940.666666666664</c:v>
                </c:pt>
                <c:pt idx="220">
                  <c:v>37940.708333333336</c:v>
                </c:pt>
                <c:pt idx="221">
                  <c:v>37940.75</c:v>
                </c:pt>
                <c:pt idx="222">
                  <c:v>37940.791666666664</c:v>
                </c:pt>
                <c:pt idx="223">
                  <c:v>37940.833333333336</c:v>
                </c:pt>
                <c:pt idx="224">
                  <c:v>37940.875</c:v>
                </c:pt>
                <c:pt idx="225">
                  <c:v>37940.916666666664</c:v>
                </c:pt>
                <c:pt idx="226">
                  <c:v>37940.958333333336</c:v>
                </c:pt>
                <c:pt idx="227">
                  <c:v>37941</c:v>
                </c:pt>
                <c:pt idx="228">
                  <c:v>37941.041666666664</c:v>
                </c:pt>
                <c:pt idx="229">
                  <c:v>37941.083333333336</c:v>
                </c:pt>
                <c:pt idx="230">
                  <c:v>37941.125</c:v>
                </c:pt>
                <c:pt idx="231">
                  <c:v>37941.166666666664</c:v>
                </c:pt>
                <c:pt idx="232">
                  <c:v>37941.208333333336</c:v>
                </c:pt>
                <c:pt idx="233">
                  <c:v>37941.25</c:v>
                </c:pt>
                <c:pt idx="234">
                  <c:v>37941.291666666664</c:v>
                </c:pt>
                <c:pt idx="235">
                  <c:v>37941.333333333336</c:v>
                </c:pt>
                <c:pt idx="236">
                  <c:v>37941.375</c:v>
                </c:pt>
                <c:pt idx="237">
                  <c:v>37941.416666666664</c:v>
                </c:pt>
                <c:pt idx="238">
                  <c:v>37941.458333333336</c:v>
                </c:pt>
                <c:pt idx="239">
                  <c:v>37941.5</c:v>
                </c:pt>
                <c:pt idx="240">
                  <c:v>37941.541666666664</c:v>
                </c:pt>
                <c:pt idx="241">
                  <c:v>37941.583333333336</c:v>
                </c:pt>
                <c:pt idx="242">
                  <c:v>37941.625</c:v>
                </c:pt>
                <c:pt idx="243">
                  <c:v>37941.666666666664</c:v>
                </c:pt>
                <c:pt idx="244">
                  <c:v>37941.708333333336</c:v>
                </c:pt>
                <c:pt idx="245">
                  <c:v>37941.75</c:v>
                </c:pt>
                <c:pt idx="246">
                  <c:v>37941.791666666664</c:v>
                </c:pt>
                <c:pt idx="247">
                  <c:v>37941.833333333336</c:v>
                </c:pt>
                <c:pt idx="248">
                  <c:v>37941.875</c:v>
                </c:pt>
                <c:pt idx="249">
                  <c:v>37941.916666666664</c:v>
                </c:pt>
                <c:pt idx="250">
                  <c:v>37941.958333333336</c:v>
                </c:pt>
                <c:pt idx="251">
                  <c:v>37942</c:v>
                </c:pt>
                <c:pt idx="252">
                  <c:v>37942.041666666664</c:v>
                </c:pt>
                <c:pt idx="253">
                  <c:v>37942.083333333336</c:v>
                </c:pt>
                <c:pt idx="254">
                  <c:v>37942.125</c:v>
                </c:pt>
                <c:pt idx="255">
                  <c:v>37942.166666666664</c:v>
                </c:pt>
                <c:pt idx="256">
                  <c:v>37942.208333333336</c:v>
                </c:pt>
                <c:pt idx="257">
                  <c:v>37942.25</c:v>
                </c:pt>
                <c:pt idx="258">
                  <c:v>37942.291666666664</c:v>
                </c:pt>
                <c:pt idx="259">
                  <c:v>37942.333333333336</c:v>
                </c:pt>
                <c:pt idx="260">
                  <c:v>37942.375</c:v>
                </c:pt>
                <c:pt idx="261">
                  <c:v>37942.416666666664</c:v>
                </c:pt>
                <c:pt idx="262">
                  <c:v>37942.458333333336</c:v>
                </c:pt>
                <c:pt idx="263">
                  <c:v>37942.5</c:v>
                </c:pt>
                <c:pt idx="264">
                  <c:v>37942.541666666664</c:v>
                </c:pt>
                <c:pt idx="265">
                  <c:v>37942.583333333336</c:v>
                </c:pt>
                <c:pt idx="266">
                  <c:v>37942.625</c:v>
                </c:pt>
                <c:pt idx="267">
                  <c:v>37942.666666666664</c:v>
                </c:pt>
                <c:pt idx="268">
                  <c:v>37942.708333333336</c:v>
                </c:pt>
                <c:pt idx="269">
                  <c:v>37942.75</c:v>
                </c:pt>
                <c:pt idx="270">
                  <c:v>37942.791666666664</c:v>
                </c:pt>
                <c:pt idx="271">
                  <c:v>37942.833333333336</c:v>
                </c:pt>
                <c:pt idx="272">
                  <c:v>37942.875</c:v>
                </c:pt>
                <c:pt idx="273">
                  <c:v>37942.916666666664</c:v>
                </c:pt>
                <c:pt idx="274">
                  <c:v>37942.958333333336</c:v>
                </c:pt>
                <c:pt idx="275">
                  <c:v>37943</c:v>
                </c:pt>
                <c:pt idx="276">
                  <c:v>37943.041666666664</c:v>
                </c:pt>
                <c:pt idx="277">
                  <c:v>37943.083333333336</c:v>
                </c:pt>
                <c:pt idx="278">
                  <c:v>37943.125</c:v>
                </c:pt>
                <c:pt idx="279">
                  <c:v>37943.166666666664</c:v>
                </c:pt>
                <c:pt idx="280">
                  <c:v>37943.208333333336</c:v>
                </c:pt>
                <c:pt idx="281">
                  <c:v>37943.25</c:v>
                </c:pt>
                <c:pt idx="282">
                  <c:v>37943.291666666664</c:v>
                </c:pt>
                <c:pt idx="283">
                  <c:v>37943.333333333336</c:v>
                </c:pt>
                <c:pt idx="284">
                  <c:v>37943.375</c:v>
                </c:pt>
                <c:pt idx="285">
                  <c:v>37943.416666666664</c:v>
                </c:pt>
                <c:pt idx="286">
                  <c:v>37943.458333333336</c:v>
                </c:pt>
                <c:pt idx="287">
                  <c:v>37943.5</c:v>
                </c:pt>
                <c:pt idx="288">
                  <c:v>37943.541666666664</c:v>
                </c:pt>
                <c:pt idx="289">
                  <c:v>37943.583333333336</c:v>
                </c:pt>
                <c:pt idx="290">
                  <c:v>37943.625</c:v>
                </c:pt>
                <c:pt idx="291">
                  <c:v>37943.666666666664</c:v>
                </c:pt>
                <c:pt idx="292">
                  <c:v>37943.708333333336</c:v>
                </c:pt>
                <c:pt idx="293">
                  <c:v>37943.75</c:v>
                </c:pt>
                <c:pt idx="294">
                  <c:v>37943.791666666664</c:v>
                </c:pt>
                <c:pt idx="295">
                  <c:v>37943.833333333336</c:v>
                </c:pt>
                <c:pt idx="296">
                  <c:v>37943.875</c:v>
                </c:pt>
                <c:pt idx="297">
                  <c:v>37943.916666666664</c:v>
                </c:pt>
                <c:pt idx="298">
                  <c:v>37943.958333333336</c:v>
                </c:pt>
                <c:pt idx="299">
                  <c:v>37944</c:v>
                </c:pt>
                <c:pt idx="300">
                  <c:v>37944.041666666664</c:v>
                </c:pt>
                <c:pt idx="301">
                  <c:v>37944.083333333336</c:v>
                </c:pt>
                <c:pt idx="302">
                  <c:v>37944.125</c:v>
                </c:pt>
                <c:pt idx="303">
                  <c:v>37944.166666666664</c:v>
                </c:pt>
                <c:pt idx="304">
                  <c:v>37944.208333333336</c:v>
                </c:pt>
                <c:pt idx="305">
                  <c:v>37944.25</c:v>
                </c:pt>
                <c:pt idx="306">
                  <c:v>37944.291666666664</c:v>
                </c:pt>
                <c:pt idx="307">
                  <c:v>37944.333333333336</c:v>
                </c:pt>
                <c:pt idx="308">
                  <c:v>37944.375</c:v>
                </c:pt>
                <c:pt idx="309">
                  <c:v>37944.416666666664</c:v>
                </c:pt>
                <c:pt idx="310">
                  <c:v>37944.458333333336</c:v>
                </c:pt>
                <c:pt idx="311">
                  <c:v>37944.5</c:v>
                </c:pt>
                <c:pt idx="312">
                  <c:v>37944.541666666664</c:v>
                </c:pt>
                <c:pt idx="313">
                  <c:v>37944.583333333336</c:v>
                </c:pt>
                <c:pt idx="314">
                  <c:v>37944.625</c:v>
                </c:pt>
                <c:pt idx="315">
                  <c:v>37944.666666666664</c:v>
                </c:pt>
                <c:pt idx="316">
                  <c:v>37944.708333333336</c:v>
                </c:pt>
                <c:pt idx="317">
                  <c:v>37944.75</c:v>
                </c:pt>
                <c:pt idx="318">
                  <c:v>37944.791666666664</c:v>
                </c:pt>
                <c:pt idx="319">
                  <c:v>37944.833333333336</c:v>
                </c:pt>
                <c:pt idx="320">
                  <c:v>37944.875</c:v>
                </c:pt>
                <c:pt idx="321">
                  <c:v>37944.916666666664</c:v>
                </c:pt>
                <c:pt idx="322">
                  <c:v>37944.958333333336</c:v>
                </c:pt>
                <c:pt idx="323">
                  <c:v>37945</c:v>
                </c:pt>
                <c:pt idx="324">
                  <c:v>37945.041666666664</c:v>
                </c:pt>
                <c:pt idx="325">
                  <c:v>37945.083333333336</c:v>
                </c:pt>
                <c:pt idx="326">
                  <c:v>37945.125</c:v>
                </c:pt>
                <c:pt idx="327">
                  <c:v>37945.166666666664</c:v>
                </c:pt>
                <c:pt idx="328">
                  <c:v>37945.208333333336</c:v>
                </c:pt>
                <c:pt idx="329">
                  <c:v>37945.25</c:v>
                </c:pt>
                <c:pt idx="330">
                  <c:v>37945.291666666664</c:v>
                </c:pt>
                <c:pt idx="331">
                  <c:v>37945.333333333336</c:v>
                </c:pt>
                <c:pt idx="332">
                  <c:v>37945.375</c:v>
                </c:pt>
                <c:pt idx="333">
                  <c:v>37945.416666666664</c:v>
                </c:pt>
                <c:pt idx="334">
                  <c:v>37945.458333333336</c:v>
                </c:pt>
                <c:pt idx="335">
                  <c:v>37945.5</c:v>
                </c:pt>
                <c:pt idx="336">
                  <c:v>37945.541666666664</c:v>
                </c:pt>
                <c:pt idx="337">
                  <c:v>37945.583333333336</c:v>
                </c:pt>
                <c:pt idx="338">
                  <c:v>37945.625</c:v>
                </c:pt>
                <c:pt idx="339">
                  <c:v>37945.666666666664</c:v>
                </c:pt>
                <c:pt idx="340">
                  <c:v>37945.708333333336</c:v>
                </c:pt>
                <c:pt idx="341">
                  <c:v>37945.75</c:v>
                </c:pt>
                <c:pt idx="342">
                  <c:v>37945.791666666664</c:v>
                </c:pt>
                <c:pt idx="343">
                  <c:v>37945.833333333336</c:v>
                </c:pt>
                <c:pt idx="344">
                  <c:v>37945.875</c:v>
                </c:pt>
                <c:pt idx="345">
                  <c:v>37945.916666666664</c:v>
                </c:pt>
                <c:pt idx="346">
                  <c:v>37945.958333333336</c:v>
                </c:pt>
                <c:pt idx="347">
                  <c:v>37946</c:v>
                </c:pt>
                <c:pt idx="348">
                  <c:v>37946.041666666664</c:v>
                </c:pt>
                <c:pt idx="349">
                  <c:v>37946.083333333336</c:v>
                </c:pt>
                <c:pt idx="350">
                  <c:v>37946.125</c:v>
                </c:pt>
                <c:pt idx="351">
                  <c:v>37946.166666666664</c:v>
                </c:pt>
                <c:pt idx="352">
                  <c:v>37946.208333333336</c:v>
                </c:pt>
                <c:pt idx="353">
                  <c:v>37946.25</c:v>
                </c:pt>
                <c:pt idx="354">
                  <c:v>37946.291666666664</c:v>
                </c:pt>
                <c:pt idx="355">
                  <c:v>37946.333333333336</c:v>
                </c:pt>
                <c:pt idx="356">
                  <c:v>37946.375</c:v>
                </c:pt>
                <c:pt idx="357">
                  <c:v>37946.416666666664</c:v>
                </c:pt>
                <c:pt idx="358">
                  <c:v>37946.458333333336</c:v>
                </c:pt>
                <c:pt idx="359">
                  <c:v>37946.5</c:v>
                </c:pt>
                <c:pt idx="360">
                  <c:v>37946.541666666664</c:v>
                </c:pt>
                <c:pt idx="361">
                  <c:v>37946.583333333336</c:v>
                </c:pt>
                <c:pt idx="362">
                  <c:v>37946.625</c:v>
                </c:pt>
                <c:pt idx="363">
                  <c:v>37946.666666666664</c:v>
                </c:pt>
                <c:pt idx="364">
                  <c:v>37946.708333333336</c:v>
                </c:pt>
                <c:pt idx="365">
                  <c:v>37946.75</c:v>
                </c:pt>
                <c:pt idx="366">
                  <c:v>37946.791666666664</c:v>
                </c:pt>
                <c:pt idx="367">
                  <c:v>37946.833333333336</c:v>
                </c:pt>
                <c:pt idx="368">
                  <c:v>37946.875</c:v>
                </c:pt>
                <c:pt idx="369">
                  <c:v>37946.916666666664</c:v>
                </c:pt>
                <c:pt idx="370">
                  <c:v>37946.958333333336</c:v>
                </c:pt>
                <c:pt idx="371">
                  <c:v>37947</c:v>
                </c:pt>
                <c:pt idx="372">
                  <c:v>37947.041666666664</c:v>
                </c:pt>
                <c:pt idx="373">
                  <c:v>37947.083333333336</c:v>
                </c:pt>
                <c:pt idx="374">
                  <c:v>37947.125</c:v>
                </c:pt>
                <c:pt idx="375">
                  <c:v>37947.166666666664</c:v>
                </c:pt>
                <c:pt idx="376">
                  <c:v>37947.208333333336</c:v>
                </c:pt>
                <c:pt idx="377">
                  <c:v>37947.25</c:v>
                </c:pt>
                <c:pt idx="378">
                  <c:v>37947.291666666664</c:v>
                </c:pt>
                <c:pt idx="379">
                  <c:v>37947.333333333336</c:v>
                </c:pt>
                <c:pt idx="380">
                  <c:v>37947.375</c:v>
                </c:pt>
                <c:pt idx="381">
                  <c:v>37947.416666666664</c:v>
                </c:pt>
                <c:pt idx="382">
                  <c:v>37947.458333333336</c:v>
                </c:pt>
                <c:pt idx="383">
                  <c:v>37947.5</c:v>
                </c:pt>
                <c:pt idx="384">
                  <c:v>37947.541666666664</c:v>
                </c:pt>
                <c:pt idx="385">
                  <c:v>37947.583333333336</c:v>
                </c:pt>
                <c:pt idx="386">
                  <c:v>37947.625</c:v>
                </c:pt>
                <c:pt idx="387">
                  <c:v>37947.666666666664</c:v>
                </c:pt>
                <c:pt idx="388">
                  <c:v>37947.708333333336</c:v>
                </c:pt>
                <c:pt idx="389">
                  <c:v>37947.75</c:v>
                </c:pt>
                <c:pt idx="390">
                  <c:v>37947.791666666664</c:v>
                </c:pt>
                <c:pt idx="391">
                  <c:v>37947.833333333336</c:v>
                </c:pt>
                <c:pt idx="392">
                  <c:v>37947.875</c:v>
                </c:pt>
                <c:pt idx="393">
                  <c:v>37947.916666666664</c:v>
                </c:pt>
                <c:pt idx="394">
                  <c:v>37947.958333333336</c:v>
                </c:pt>
                <c:pt idx="395">
                  <c:v>37948</c:v>
                </c:pt>
                <c:pt idx="396">
                  <c:v>37948.041666666664</c:v>
                </c:pt>
                <c:pt idx="397">
                  <c:v>37948.083333333336</c:v>
                </c:pt>
                <c:pt idx="398">
                  <c:v>37948.125</c:v>
                </c:pt>
                <c:pt idx="399">
                  <c:v>37948.166666666664</c:v>
                </c:pt>
                <c:pt idx="400">
                  <c:v>37948.208333333336</c:v>
                </c:pt>
                <c:pt idx="401">
                  <c:v>37948.25</c:v>
                </c:pt>
                <c:pt idx="402">
                  <c:v>37948.291666666664</c:v>
                </c:pt>
                <c:pt idx="403">
                  <c:v>37948.333333333336</c:v>
                </c:pt>
                <c:pt idx="404">
                  <c:v>37948.375</c:v>
                </c:pt>
                <c:pt idx="405">
                  <c:v>37948.416666666664</c:v>
                </c:pt>
                <c:pt idx="406">
                  <c:v>37948.458333333336</c:v>
                </c:pt>
                <c:pt idx="407">
                  <c:v>37948.5</c:v>
                </c:pt>
                <c:pt idx="408">
                  <c:v>37948.541666666664</c:v>
                </c:pt>
                <c:pt idx="409">
                  <c:v>37948.583333333336</c:v>
                </c:pt>
                <c:pt idx="410">
                  <c:v>37948.625</c:v>
                </c:pt>
                <c:pt idx="411">
                  <c:v>37948.666666666664</c:v>
                </c:pt>
                <c:pt idx="412">
                  <c:v>37948.708333333336</c:v>
                </c:pt>
                <c:pt idx="413">
                  <c:v>37948.75</c:v>
                </c:pt>
                <c:pt idx="414">
                  <c:v>37948.791666666664</c:v>
                </c:pt>
                <c:pt idx="415">
                  <c:v>37948.833333333336</c:v>
                </c:pt>
                <c:pt idx="416">
                  <c:v>37948.875</c:v>
                </c:pt>
                <c:pt idx="417">
                  <c:v>37948.916666666664</c:v>
                </c:pt>
                <c:pt idx="418">
                  <c:v>37948.958333333336</c:v>
                </c:pt>
                <c:pt idx="419">
                  <c:v>37949</c:v>
                </c:pt>
                <c:pt idx="420">
                  <c:v>37949.041666666664</c:v>
                </c:pt>
                <c:pt idx="421">
                  <c:v>37949.083333333336</c:v>
                </c:pt>
                <c:pt idx="422">
                  <c:v>37949.125</c:v>
                </c:pt>
                <c:pt idx="423">
                  <c:v>37949.166666666664</c:v>
                </c:pt>
                <c:pt idx="424">
                  <c:v>37949.208333333336</c:v>
                </c:pt>
                <c:pt idx="425">
                  <c:v>37949.25</c:v>
                </c:pt>
                <c:pt idx="426">
                  <c:v>37949.291666666664</c:v>
                </c:pt>
                <c:pt idx="427">
                  <c:v>37949.333333333336</c:v>
                </c:pt>
                <c:pt idx="428">
                  <c:v>37949.375</c:v>
                </c:pt>
                <c:pt idx="429">
                  <c:v>37949.416666666664</c:v>
                </c:pt>
                <c:pt idx="430">
                  <c:v>37949.458333333336</c:v>
                </c:pt>
                <c:pt idx="431">
                  <c:v>37949.5</c:v>
                </c:pt>
                <c:pt idx="432">
                  <c:v>37949.541666666664</c:v>
                </c:pt>
                <c:pt idx="433">
                  <c:v>37949.583333333336</c:v>
                </c:pt>
                <c:pt idx="434">
                  <c:v>37949.625</c:v>
                </c:pt>
                <c:pt idx="435">
                  <c:v>37949.666666666664</c:v>
                </c:pt>
                <c:pt idx="436">
                  <c:v>37949.708333333336</c:v>
                </c:pt>
                <c:pt idx="437">
                  <c:v>37949.75</c:v>
                </c:pt>
                <c:pt idx="438">
                  <c:v>37949.791666666664</c:v>
                </c:pt>
                <c:pt idx="439">
                  <c:v>37949.833333333336</c:v>
                </c:pt>
                <c:pt idx="440">
                  <c:v>37949.875</c:v>
                </c:pt>
                <c:pt idx="441">
                  <c:v>37949.916666666664</c:v>
                </c:pt>
                <c:pt idx="442">
                  <c:v>37949.958333333336</c:v>
                </c:pt>
                <c:pt idx="443">
                  <c:v>37950</c:v>
                </c:pt>
                <c:pt idx="444">
                  <c:v>37950.041666666664</c:v>
                </c:pt>
                <c:pt idx="445">
                  <c:v>37950.083333333336</c:v>
                </c:pt>
                <c:pt idx="446">
                  <c:v>37950.125</c:v>
                </c:pt>
                <c:pt idx="447">
                  <c:v>37950.166666666664</c:v>
                </c:pt>
                <c:pt idx="448">
                  <c:v>37950.208333333336</c:v>
                </c:pt>
                <c:pt idx="449">
                  <c:v>37950.25</c:v>
                </c:pt>
                <c:pt idx="450">
                  <c:v>37950.291666666664</c:v>
                </c:pt>
                <c:pt idx="451">
                  <c:v>37950.333333333336</c:v>
                </c:pt>
                <c:pt idx="452">
                  <c:v>37950.375</c:v>
                </c:pt>
                <c:pt idx="453">
                  <c:v>37950.416666666664</c:v>
                </c:pt>
                <c:pt idx="454">
                  <c:v>37950.458333333336</c:v>
                </c:pt>
                <c:pt idx="455">
                  <c:v>37950.5</c:v>
                </c:pt>
                <c:pt idx="456">
                  <c:v>37950.541666666664</c:v>
                </c:pt>
                <c:pt idx="457">
                  <c:v>37950.583333333336</c:v>
                </c:pt>
                <c:pt idx="458">
                  <c:v>37950.625</c:v>
                </c:pt>
                <c:pt idx="459">
                  <c:v>37950.666666666664</c:v>
                </c:pt>
                <c:pt idx="460">
                  <c:v>37950.708333333336</c:v>
                </c:pt>
                <c:pt idx="461">
                  <c:v>37950.75</c:v>
                </c:pt>
                <c:pt idx="462">
                  <c:v>37950.791666666664</c:v>
                </c:pt>
                <c:pt idx="463">
                  <c:v>37950.833333333336</c:v>
                </c:pt>
                <c:pt idx="464">
                  <c:v>37950.875</c:v>
                </c:pt>
                <c:pt idx="465">
                  <c:v>37950.916666666664</c:v>
                </c:pt>
                <c:pt idx="466">
                  <c:v>37950.958333333336</c:v>
                </c:pt>
                <c:pt idx="467">
                  <c:v>37951</c:v>
                </c:pt>
                <c:pt idx="468">
                  <c:v>37951.041666666664</c:v>
                </c:pt>
                <c:pt idx="469">
                  <c:v>37951.083333333336</c:v>
                </c:pt>
                <c:pt idx="470">
                  <c:v>37951.125</c:v>
                </c:pt>
                <c:pt idx="471">
                  <c:v>37951.166666666664</c:v>
                </c:pt>
                <c:pt idx="472">
                  <c:v>37951.208333333336</c:v>
                </c:pt>
                <c:pt idx="473">
                  <c:v>37951.25</c:v>
                </c:pt>
                <c:pt idx="474">
                  <c:v>37951.291666666664</c:v>
                </c:pt>
                <c:pt idx="475">
                  <c:v>37951.333333333336</c:v>
                </c:pt>
                <c:pt idx="476">
                  <c:v>37951.375</c:v>
                </c:pt>
                <c:pt idx="477">
                  <c:v>37951.416666666664</c:v>
                </c:pt>
                <c:pt idx="478">
                  <c:v>37951.458333333336</c:v>
                </c:pt>
                <c:pt idx="479">
                  <c:v>37951.5</c:v>
                </c:pt>
                <c:pt idx="480">
                  <c:v>37951.541666666664</c:v>
                </c:pt>
                <c:pt idx="481">
                  <c:v>37951.583333333336</c:v>
                </c:pt>
                <c:pt idx="482">
                  <c:v>37951.625</c:v>
                </c:pt>
                <c:pt idx="483">
                  <c:v>37951.666666666664</c:v>
                </c:pt>
                <c:pt idx="484">
                  <c:v>37951.708333333336</c:v>
                </c:pt>
                <c:pt idx="485">
                  <c:v>37951.75</c:v>
                </c:pt>
                <c:pt idx="486">
                  <c:v>37951.791666666664</c:v>
                </c:pt>
                <c:pt idx="487">
                  <c:v>37951.833333333336</c:v>
                </c:pt>
                <c:pt idx="488">
                  <c:v>37951.875</c:v>
                </c:pt>
                <c:pt idx="489">
                  <c:v>37951.916666666664</c:v>
                </c:pt>
                <c:pt idx="490">
                  <c:v>37951.958333333336</c:v>
                </c:pt>
                <c:pt idx="491">
                  <c:v>37952</c:v>
                </c:pt>
                <c:pt idx="492">
                  <c:v>37952.041666666664</c:v>
                </c:pt>
                <c:pt idx="493">
                  <c:v>37952.083333333336</c:v>
                </c:pt>
                <c:pt idx="494">
                  <c:v>37952.125</c:v>
                </c:pt>
                <c:pt idx="495">
                  <c:v>37952.166666666664</c:v>
                </c:pt>
                <c:pt idx="496">
                  <c:v>37952.208333333336</c:v>
                </c:pt>
                <c:pt idx="497">
                  <c:v>37952.25</c:v>
                </c:pt>
                <c:pt idx="498">
                  <c:v>37952.291666666664</c:v>
                </c:pt>
                <c:pt idx="499">
                  <c:v>37952.333333333336</c:v>
                </c:pt>
                <c:pt idx="500">
                  <c:v>37952.375</c:v>
                </c:pt>
                <c:pt idx="501">
                  <c:v>37952.416666666664</c:v>
                </c:pt>
                <c:pt idx="502">
                  <c:v>37952.458333333336</c:v>
                </c:pt>
                <c:pt idx="503">
                  <c:v>37952.5</c:v>
                </c:pt>
                <c:pt idx="504">
                  <c:v>37952.541666666664</c:v>
                </c:pt>
                <c:pt idx="505">
                  <c:v>37952.583333333336</c:v>
                </c:pt>
                <c:pt idx="506">
                  <c:v>37952.625</c:v>
                </c:pt>
                <c:pt idx="507">
                  <c:v>37952.666666666664</c:v>
                </c:pt>
                <c:pt idx="508">
                  <c:v>37952.708333333336</c:v>
                </c:pt>
                <c:pt idx="509">
                  <c:v>37952.75</c:v>
                </c:pt>
                <c:pt idx="510">
                  <c:v>37952.791666666664</c:v>
                </c:pt>
                <c:pt idx="511">
                  <c:v>37952.833333333336</c:v>
                </c:pt>
                <c:pt idx="512">
                  <c:v>37952.875</c:v>
                </c:pt>
                <c:pt idx="513">
                  <c:v>37952.916666666664</c:v>
                </c:pt>
                <c:pt idx="514">
                  <c:v>37952.958333333336</c:v>
                </c:pt>
                <c:pt idx="515">
                  <c:v>37953</c:v>
                </c:pt>
                <c:pt idx="516">
                  <c:v>37953.041666666664</c:v>
                </c:pt>
                <c:pt idx="517">
                  <c:v>37953.083333333336</c:v>
                </c:pt>
                <c:pt idx="518">
                  <c:v>37953.125</c:v>
                </c:pt>
                <c:pt idx="519">
                  <c:v>37953.166666666664</c:v>
                </c:pt>
                <c:pt idx="520">
                  <c:v>37953.208333333336</c:v>
                </c:pt>
                <c:pt idx="521">
                  <c:v>37953.25</c:v>
                </c:pt>
                <c:pt idx="522">
                  <c:v>37953.291666666664</c:v>
                </c:pt>
                <c:pt idx="523">
                  <c:v>37953.333333333336</c:v>
                </c:pt>
                <c:pt idx="524">
                  <c:v>37953.375</c:v>
                </c:pt>
                <c:pt idx="525">
                  <c:v>37953.416666666664</c:v>
                </c:pt>
                <c:pt idx="526">
                  <c:v>37953.458333333336</c:v>
                </c:pt>
                <c:pt idx="527">
                  <c:v>37953.5</c:v>
                </c:pt>
              </c:numCache>
            </c:numRef>
          </c:xVal>
          <c:yVal>
            <c:numRef>
              <c:f>Gage_and_Event!$AT$5:$AT$2000</c:f>
              <c:numCache>
                <c:formatCode>General</c:formatCode>
                <c:ptCount val="1996"/>
                <c:pt idx="0">
                  <c:v>627.71</c:v>
                </c:pt>
                <c:pt idx="1">
                  <c:v>626.36</c:v>
                </c:pt>
                <c:pt idx="2">
                  <c:v>628.32000000000005</c:v>
                </c:pt>
                <c:pt idx="3">
                  <c:v>659.51</c:v>
                </c:pt>
                <c:pt idx="4">
                  <c:v>702.32</c:v>
                </c:pt>
                <c:pt idx="5">
                  <c:v>749.68</c:v>
                </c:pt>
                <c:pt idx="6">
                  <c:v>783.65</c:v>
                </c:pt>
                <c:pt idx="7">
                  <c:v>802.7</c:v>
                </c:pt>
                <c:pt idx="8">
                  <c:v>813.05</c:v>
                </c:pt>
                <c:pt idx="9">
                  <c:v>824.14</c:v>
                </c:pt>
                <c:pt idx="10">
                  <c:v>837.05</c:v>
                </c:pt>
                <c:pt idx="11">
                  <c:v>852.7</c:v>
                </c:pt>
                <c:pt idx="12">
                  <c:v>877.28</c:v>
                </c:pt>
                <c:pt idx="13">
                  <c:v>921.87</c:v>
                </c:pt>
                <c:pt idx="14">
                  <c:v>949.78</c:v>
                </c:pt>
                <c:pt idx="15">
                  <c:v>979.74</c:v>
                </c:pt>
                <c:pt idx="16">
                  <c:v>1010.43</c:v>
                </c:pt>
                <c:pt idx="17">
                  <c:v>1024.97</c:v>
                </c:pt>
                <c:pt idx="18">
                  <c:v>1039.18</c:v>
                </c:pt>
                <c:pt idx="19">
                  <c:v>1047.72</c:v>
                </c:pt>
                <c:pt idx="20">
                  <c:v>1054.1199999999999</c:v>
                </c:pt>
                <c:pt idx="21">
                  <c:v>1059.43</c:v>
                </c:pt>
                <c:pt idx="22">
                  <c:v>1066.8599999999999</c:v>
                </c:pt>
                <c:pt idx="23">
                  <c:v>1068.43</c:v>
                </c:pt>
                <c:pt idx="24">
                  <c:v>1069.3800000000001</c:v>
                </c:pt>
                <c:pt idx="25">
                  <c:v>1067.45</c:v>
                </c:pt>
                <c:pt idx="26">
                  <c:v>1066.7</c:v>
                </c:pt>
                <c:pt idx="27">
                  <c:v>1062.42</c:v>
                </c:pt>
                <c:pt idx="28">
                  <c:v>1062.51</c:v>
                </c:pt>
                <c:pt idx="29">
                  <c:v>1062.6099999999999</c:v>
                </c:pt>
                <c:pt idx="30">
                  <c:v>1069.04</c:v>
                </c:pt>
                <c:pt idx="31">
                  <c:v>1054.54</c:v>
                </c:pt>
                <c:pt idx="32">
                  <c:v>1054.75</c:v>
                </c:pt>
                <c:pt idx="33">
                  <c:v>1050.1600000000001</c:v>
                </c:pt>
                <c:pt idx="34">
                  <c:v>1043.9000000000001</c:v>
                </c:pt>
                <c:pt idx="35">
                  <c:v>1039.81</c:v>
                </c:pt>
                <c:pt idx="36">
                  <c:v>1034.95</c:v>
                </c:pt>
                <c:pt idx="37">
                  <c:v>1028.8</c:v>
                </c:pt>
                <c:pt idx="38">
                  <c:v>1022.41</c:v>
                </c:pt>
                <c:pt idx="39">
                  <c:v>1015</c:v>
                </c:pt>
                <c:pt idx="40">
                  <c:v>1007.05</c:v>
                </c:pt>
                <c:pt idx="41">
                  <c:v>999.88</c:v>
                </c:pt>
                <c:pt idx="42">
                  <c:v>992.72</c:v>
                </c:pt>
                <c:pt idx="43">
                  <c:v>985.44</c:v>
                </c:pt>
                <c:pt idx="44">
                  <c:v>977.87</c:v>
                </c:pt>
                <c:pt idx="45">
                  <c:v>971.14</c:v>
                </c:pt>
                <c:pt idx="46">
                  <c:v>962.63</c:v>
                </c:pt>
                <c:pt idx="47">
                  <c:v>960.92</c:v>
                </c:pt>
                <c:pt idx="48">
                  <c:v>958.13</c:v>
                </c:pt>
                <c:pt idx="49">
                  <c:v>951.2</c:v>
                </c:pt>
                <c:pt idx="50">
                  <c:v>946.58</c:v>
                </c:pt>
                <c:pt idx="51">
                  <c:v>943.28</c:v>
                </c:pt>
                <c:pt idx="52">
                  <c:v>940.44</c:v>
                </c:pt>
                <c:pt idx="53">
                  <c:v>938.14</c:v>
                </c:pt>
                <c:pt idx="54">
                  <c:v>935.34</c:v>
                </c:pt>
                <c:pt idx="55">
                  <c:v>933.51</c:v>
                </c:pt>
                <c:pt idx="56">
                  <c:v>930.76</c:v>
                </c:pt>
                <c:pt idx="57">
                  <c:v>927.99</c:v>
                </c:pt>
                <c:pt idx="58">
                  <c:v>922.85</c:v>
                </c:pt>
                <c:pt idx="59">
                  <c:v>916.68</c:v>
                </c:pt>
                <c:pt idx="60">
                  <c:v>910.38</c:v>
                </c:pt>
                <c:pt idx="61">
                  <c:v>903.89</c:v>
                </c:pt>
                <c:pt idx="62">
                  <c:v>897.42</c:v>
                </c:pt>
                <c:pt idx="63">
                  <c:v>891.32</c:v>
                </c:pt>
                <c:pt idx="64">
                  <c:v>885.36</c:v>
                </c:pt>
                <c:pt idx="65">
                  <c:v>879.08</c:v>
                </c:pt>
                <c:pt idx="66">
                  <c:v>872.21</c:v>
                </c:pt>
                <c:pt idx="67">
                  <c:v>864.43</c:v>
                </c:pt>
                <c:pt idx="68">
                  <c:v>856.81</c:v>
                </c:pt>
                <c:pt idx="69">
                  <c:v>848.58</c:v>
                </c:pt>
                <c:pt idx="70">
                  <c:v>840.23</c:v>
                </c:pt>
                <c:pt idx="71">
                  <c:v>832.4</c:v>
                </c:pt>
                <c:pt idx="72">
                  <c:v>824.33</c:v>
                </c:pt>
                <c:pt idx="73">
                  <c:v>815.99</c:v>
                </c:pt>
                <c:pt idx="74">
                  <c:v>808.16</c:v>
                </c:pt>
                <c:pt idx="75">
                  <c:v>800.37</c:v>
                </c:pt>
                <c:pt idx="76">
                  <c:v>792.49</c:v>
                </c:pt>
                <c:pt idx="77">
                  <c:v>784.46</c:v>
                </c:pt>
                <c:pt idx="78">
                  <c:v>776.74</c:v>
                </c:pt>
                <c:pt idx="79">
                  <c:v>769.17</c:v>
                </c:pt>
                <c:pt idx="80">
                  <c:v>761.7</c:v>
                </c:pt>
                <c:pt idx="81">
                  <c:v>755.33</c:v>
                </c:pt>
                <c:pt idx="82">
                  <c:v>748.87</c:v>
                </c:pt>
                <c:pt idx="83">
                  <c:v>741.62</c:v>
                </c:pt>
                <c:pt idx="84">
                  <c:v>733.68</c:v>
                </c:pt>
                <c:pt idx="85">
                  <c:v>726.13</c:v>
                </c:pt>
                <c:pt idx="86">
                  <c:v>719.02</c:v>
                </c:pt>
                <c:pt idx="87">
                  <c:v>712.26</c:v>
                </c:pt>
                <c:pt idx="88">
                  <c:v>705.7</c:v>
                </c:pt>
                <c:pt idx="89">
                  <c:v>702.23</c:v>
                </c:pt>
                <c:pt idx="90">
                  <c:v>692.77</c:v>
                </c:pt>
                <c:pt idx="91">
                  <c:v>685.62</c:v>
                </c:pt>
                <c:pt idx="92">
                  <c:v>679.87</c:v>
                </c:pt>
                <c:pt idx="93">
                  <c:v>673.63</c:v>
                </c:pt>
                <c:pt idx="94">
                  <c:v>667.34</c:v>
                </c:pt>
                <c:pt idx="95">
                  <c:v>661.86</c:v>
                </c:pt>
                <c:pt idx="96">
                  <c:v>656.05</c:v>
                </c:pt>
                <c:pt idx="97">
                  <c:v>649.29999999999995</c:v>
                </c:pt>
                <c:pt idx="98">
                  <c:v>643.09</c:v>
                </c:pt>
                <c:pt idx="99">
                  <c:v>637.49</c:v>
                </c:pt>
                <c:pt idx="100">
                  <c:v>634.1</c:v>
                </c:pt>
                <c:pt idx="101">
                  <c:v>626.76</c:v>
                </c:pt>
                <c:pt idx="102">
                  <c:v>623.12</c:v>
                </c:pt>
                <c:pt idx="103">
                  <c:v>617.73</c:v>
                </c:pt>
                <c:pt idx="104">
                  <c:v>607.39</c:v>
                </c:pt>
                <c:pt idx="105">
                  <c:v>606.04</c:v>
                </c:pt>
                <c:pt idx="106">
                  <c:v>602.32000000000005</c:v>
                </c:pt>
                <c:pt idx="107">
                  <c:v>594.37</c:v>
                </c:pt>
                <c:pt idx="108">
                  <c:v>590.22</c:v>
                </c:pt>
                <c:pt idx="109">
                  <c:v>582.54999999999995</c:v>
                </c:pt>
                <c:pt idx="110">
                  <c:v>581.19000000000005</c:v>
                </c:pt>
                <c:pt idx="111">
                  <c:v>573.77</c:v>
                </c:pt>
                <c:pt idx="112">
                  <c:v>571.08000000000004</c:v>
                </c:pt>
                <c:pt idx="113">
                  <c:v>564.78</c:v>
                </c:pt>
                <c:pt idx="114">
                  <c:v>559.54999999999995</c:v>
                </c:pt>
                <c:pt idx="115">
                  <c:v>554.33000000000004</c:v>
                </c:pt>
                <c:pt idx="116">
                  <c:v>548.73</c:v>
                </c:pt>
                <c:pt idx="117">
                  <c:v>545.5</c:v>
                </c:pt>
                <c:pt idx="118">
                  <c:v>541.98</c:v>
                </c:pt>
                <c:pt idx="119">
                  <c:v>535.99</c:v>
                </c:pt>
                <c:pt idx="120">
                  <c:v>531.88</c:v>
                </c:pt>
                <c:pt idx="121">
                  <c:v>527.44000000000005</c:v>
                </c:pt>
                <c:pt idx="122">
                  <c:v>524.04</c:v>
                </c:pt>
                <c:pt idx="123">
                  <c:v>519.11</c:v>
                </c:pt>
                <c:pt idx="124">
                  <c:v>514.01</c:v>
                </c:pt>
                <c:pt idx="125">
                  <c:v>508.55</c:v>
                </c:pt>
                <c:pt idx="126">
                  <c:v>505.87</c:v>
                </c:pt>
                <c:pt idx="127">
                  <c:v>501.5</c:v>
                </c:pt>
                <c:pt idx="128">
                  <c:v>497.69</c:v>
                </c:pt>
                <c:pt idx="129">
                  <c:v>494.06</c:v>
                </c:pt>
                <c:pt idx="130">
                  <c:v>488.65</c:v>
                </c:pt>
                <c:pt idx="131">
                  <c:v>485.63</c:v>
                </c:pt>
                <c:pt idx="132">
                  <c:v>481.91</c:v>
                </c:pt>
                <c:pt idx="133">
                  <c:v>477.22</c:v>
                </c:pt>
                <c:pt idx="134">
                  <c:v>473.94</c:v>
                </c:pt>
                <c:pt idx="135">
                  <c:v>469.14</c:v>
                </c:pt>
                <c:pt idx="136">
                  <c:v>466.75</c:v>
                </c:pt>
                <c:pt idx="137">
                  <c:v>462.06</c:v>
                </c:pt>
                <c:pt idx="138">
                  <c:v>458.14</c:v>
                </c:pt>
                <c:pt idx="139">
                  <c:v>455.08</c:v>
                </c:pt>
                <c:pt idx="140">
                  <c:v>450</c:v>
                </c:pt>
                <c:pt idx="141">
                  <c:v>447.72</c:v>
                </c:pt>
                <c:pt idx="142">
                  <c:v>444.47</c:v>
                </c:pt>
                <c:pt idx="143">
                  <c:v>441.8</c:v>
                </c:pt>
                <c:pt idx="144">
                  <c:v>436.95</c:v>
                </c:pt>
                <c:pt idx="145">
                  <c:v>433.95</c:v>
                </c:pt>
                <c:pt idx="146">
                  <c:v>430.11</c:v>
                </c:pt>
                <c:pt idx="147">
                  <c:v>426.52</c:v>
                </c:pt>
                <c:pt idx="148">
                  <c:v>423.14</c:v>
                </c:pt>
                <c:pt idx="149">
                  <c:v>419.8</c:v>
                </c:pt>
                <c:pt idx="150">
                  <c:v>416.32</c:v>
                </c:pt>
                <c:pt idx="151">
                  <c:v>413.63</c:v>
                </c:pt>
                <c:pt idx="152">
                  <c:v>411.35</c:v>
                </c:pt>
                <c:pt idx="153">
                  <c:v>408.28</c:v>
                </c:pt>
                <c:pt idx="154">
                  <c:v>405.07</c:v>
                </c:pt>
                <c:pt idx="155">
                  <c:v>403.76</c:v>
                </c:pt>
                <c:pt idx="156">
                  <c:v>467.18</c:v>
                </c:pt>
                <c:pt idx="157">
                  <c:v>523.99</c:v>
                </c:pt>
                <c:pt idx="158">
                  <c:v>670.11</c:v>
                </c:pt>
                <c:pt idx="159">
                  <c:v>785.03</c:v>
                </c:pt>
                <c:pt idx="160">
                  <c:v>714.16</c:v>
                </c:pt>
                <c:pt idx="161">
                  <c:v>656.17</c:v>
                </c:pt>
                <c:pt idx="162">
                  <c:v>698.45</c:v>
                </c:pt>
                <c:pt idx="163">
                  <c:v>801.47</c:v>
                </c:pt>
                <c:pt idx="164">
                  <c:v>909.42</c:v>
                </c:pt>
                <c:pt idx="165">
                  <c:v>961.24</c:v>
                </c:pt>
                <c:pt idx="166">
                  <c:v>897.56</c:v>
                </c:pt>
                <c:pt idx="167">
                  <c:v>841.02</c:v>
                </c:pt>
                <c:pt idx="168">
                  <c:v>817.38</c:v>
                </c:pt>
                <c:pt idx="169">
                  <c:v>769.88</c:v>
                </c:pt>
                <c:pt idx="170">
                  <c:v>757.67</c:v>
                </c:pt>
                <c:pt idx="171">
                  <c:v>742.94</c:v>
                </c:pt>
                <c:pt idx="172">
                  <c:v>734.04</c:v>
                </c:pt>
                <c:pt idx="173">
                  <c:v>829.17</c:v>
                </c:pt>
                <c:pt idx="174">
                  <c:v>710.51</c:v>
                </c:pt>
                <c:pt idx="175">
                  <c:v>699.24</c:v>
                </c:pt>
                <c:pt idx="176">
                  <c:v>692.57</c:v>
                </c:pt>
                <c:pt idx="177">
                  <c:v>680.95</c:v>
                </c:pt>
                <c:pt idx="178">
                  <c:v>665.52</c:v>
                </c:pt>
                <c:pt idx="179">
                  <c:v>651.53</c:v>
                </c:pt>
                <c:pt idx="180">
                  <c:v>647.38</c:v>
                </c:pt>
                <c:pt idx="181">
                  <c:v>631.32000000000005</c:v>
                </c:pt>
                <c:pt idx="182">
                  <c:v>620.61</c:v>
                </c:pt>
                <c:pt idx="183">
                  <c:v>614.54</c:v>
                </c:pt>
                <c:pt idx="184">
                  <c:v>602.54999999999995</c:v>
                </c:pt>
                <c:pt idx="185">
                  <c:v>594.03</c:v>
                </c:pt>
                <c:pt idx="186">
                  <c:v>588.41</c:v>
                </c:pt>
                <c:pt idx="187">
                  <c:v>577.76</c:v>
                </c:pt>
                <c:pt idx="188">
                  <c:v>569.79999999999995</c:v>
                </c:pt>
                <c:pt idx="189">
                  <c:v>561.83000000000004</c:v>
                </c:pt>
                <c:pt idx="190">
                  <c:v>553.98</c:v>
                </c:pt>
                <c:pt idx="191">
                  <c:v>547.29</c:v>
                </c:pt>
                <c:pt idx="192">
                  <c:v>534.86</c:v>
                </c:pt>
                <c:pt idx="193">
                  <c:v>533.85</c:v>
                </c:pt>
                <c:pt idx="194">
                  <c:v>530.16</c:v>
                </c:pt>
                <c:pt idx="195">
                  <c:v>529.74</c:v>
                </c:pt>
                <c:pt idx="196">
                  <c:v>525.84</c:v>
                </c:pt>
                <c:pt idx="197">
                  <c:v>518.89</c:v>
                </c:pt>
                <c:pt idx="198">
                  <c:v>512.99</c:v>
                </c:pt>
                <c:pt idx="199">
                  <c:v>509.19</c:v>
                </c:pt>
                <c:pt idx="200">
                  <c:v>504.57</c:v>
                </c:pt>
                <c:pt idx="201">
                  <c:v>500.11</c:v>
                </c:pt>
                <c:pt idx="202">
                  <c:v>496.28</c:v>
                </c:pt>
                <c:pt idx="203">
                  <c:v>492.15</c:v>
                </c:pt>
                <c:pt idx="204">
                  <c:v>487.14</c:v>
                </c:pt>
                <c:pt idx="205">
                  <c:v>483.16</c:v>
                </c:pt>
                <c:pt idx="206">
                  <c:v>478.09</c:v>
                </c:pt>
                <c:pt idx="207">
                  <c:v>473.6</c:v>
                </c:pt>
                <c:pt idx="208">
                  <c:v>468.94</c:v>
                </c:pt>
                <c:pt idx="209">
                  <c:v>464.11</c:v>
                </c:pt>
                <c:pt idx="210">
                  <c:v>458.81</c:v>
                </c:pt>
                <c:pt idx="211">
                  <c:v>453.25</c:v>
                </c:pt>
                <c:pt idx="212">
                  <c:v>447.83</c:v>
                </c:pt>
                <c:pt idx="213">
                  <c:v>442.1</c:v>
                </c:pt>
                <c:pt idx="214">
                  <c:v>437.61</c:v>
                </c:pt>
                <c:pt idx="215">
                  <c:v>432.47</c:v>
                </c:pt>
                <c:pt idx="216">
                  <c:v>427.56</c:v>
                </c:pt>
                <c:pt idx="217">
                  <c:v>422.41</c:v>
                </c:pt>
                <c:pt idx="218">
                  <c:v>429.82</c:v>
                </c:pt>
                <c:pt idx="219">
                  <c:v>441.16</c:v>
                </c:pt>
                <c:pt idx="220">
                  <c:v>453.01</c:v>
                </c:pt>
                <c:pt idx="221">
                  <c:v>459.16</c:v>
                </c:pt>
                <c:pt idx="222">
                  <c:v>456.25</c:v>
                </c:pt>
                <c:pt idx="223">
                  <c:v>456.92</c:v>
                </c:pt>
                <c:pt idx="224">
                  <c:v>455.74</c:v>
                </c:pt>
                <c:pt idx="225">
                  <c:v>453.74</c:v>
                </c:pt>
                <c:pt idx="226">
                  <c:v>448.48</c:v>
                </c:pt>
                <c:pt idx="227">
                  <c:v>445.74</c:v>
                </c:pt>
                <c:pt idx="228">
                  <c:v>451.29</c:v>
                </c:pt>
                <c:pt idx="229">
                  <c:v>449.3</c:v>
                </c:pt>
                <c:pt idx="230">
                  <c:v>444.06</c:v>
                </c:pt>
                <c:pt idx="231">
                  <c:v>441.79</c:v>
                </c:pt>
                <c:pt idx="232">
                  <c:v>442.84</c:v>
                </c:pt>
                <c:pt idx="233">
                  <c:v>444.2</c:v>
                </c:pt>
                <c:pt idx="234">
                  <c:v>445.6</c:v>
                </c:pt>
                <c:pt idx="235">
                  <c:v>446.81</c:v>
                </c:pt>
                <c:pt idx="236">
                  <c:v>442.84</c:v>
                </c:pt>
                <c:pt idx="237">
                  <c:v>441.65</c:v>
                </c:pt>
                <c:pt idx="238">
                  <c:v>438.81</c:v>
                </c:pt>
                <c:pt idx="239">
                  <c:v>436.24</c:v>
                </c:pt>
                <c:pt idx="240">
                  <c:v>432.16</c:v>
                </c:pt>
                <c:pt idx="241">
                  <c:v>430.39</c:v>
                </c:pt>
                <c:pt idx="242">
                  <c:v>429.44</c:v>
                </c:pt>
                <c:pt idx="243">
                  <c:v>427.93</c:v>
                </c:pt>
                <c:pt idx="244">
                  <c:v>426.05</c:v>
                </c:pt>
                <c:pt idx="245">
                  <c:v>423.66</c:v>
                </c:pt>
                <c:pt idx="246">
                  <c:v>421.21</c:v>
                </c:pt>
                <c:pt idx="247">
                  <c:v>418.35</c:v>
                </c:pt>
                <c:pt idx="248">
                  <c:v>416.4</c:v>
                </c:pt>
                <c:pt idx="249">
                  <c:v>414.61</c:v>
                </c:pt>
                <c:pt idx="250">
                  <c:v>411.17</c:v>
                </c:pt>
                <c:pt idx="251">
                  <c:v>407.98</c:v>
                </c:pt>
                <c:pt idx="252">
                  <c:v>404.76</c:v>
                </c:pt>
                <c:pt idx="253">
                  <c:v>400.45</c:v>
                </c:pt>
                <c:pt idx="254">
                  <c:v>398.26</c:v>
                </c:pt>
                <c:pt idx="255">
                  <c:v>396.21</c:v>
                </c:pt>
                <c:pt idx="256">
                  <c:v>392.34</c:v>
                </c:pt>
                <c:pt idx="257">
                  <c:v>389.09</c:v>
                </c:pt>
                <c:pt idx="258">
                  <c:v>386.01</c:v>
                </c:pt>
                <c:pt idx="259">
                  <c:v>383</c:v>
                </c:pt>
                <c:pt idx="260">
                  <c:v>380.55</c:v>
                </c:pt>
                <c:pt idx="261">
                  <c:v>378.71</c:v>
                </c:pt>
                <c:pt idx="262">
                  <c:v>376.29</c:v>
                </c:pt>
                <c:pt idx="263">
                  <c:v>372.77</c:v>
                </c:pt>
                <c:pt idx="264">
                  <c:v>369.03</c:v>
                </c:pt>
                <c:pt idx="265">
                  <c:v>365.16</c:v>
                </c:pt>
                <c:pt idx="266">
                  <c:v>362.22</c:v>
                </c:pt>
                <c:pt idx="267">
                  <c:v>358.55</c:v>
                </c:pt>
                <c:pt idx="268">
                  <c:v>356.63</c:v>
                </c:pt>
                <c:pt idx="269">
                  <c:v>353.75</c:v>
                </c:pt>
                <c:pt idx="270">
                  <c:v>350.96</c:v>
                </c:pt>
                <c:pt idx="271">
                  <c:v>348.16</c:v>
                </c:pt>
                <c:pt idx="272">
                  <c:v>345.2</c:v>
                </c:pt>
                <c:pt idx="273">
                  <c:v>342.29</c:v>
                </c:pt>
                <c:pt idx="274">
                  <c:v>339.48</c:v>
                </c:pt>
                <c:pt idx="275">
                  <c:v>336.77</c:v>
                </c:pt>
                <c:pt idx="276">
                  <c:v>334.05</c:v>
                </c:pt>
                <c:pt idx="277">
                  <c:v>331.36</c:v>
                </c:pt>
                <c:pt idx="278">
                  <c:v>328.96</c:v>
                </c:pt>
                <c:pt idx="279">
                  <c:v>326.83999999999997</c:v>
                </c:pt>
                <c:pt idx="280">
                  <c:v>324.2</c:v>
                </c:pt>
                <c:pt idx="281">
                  <c:v>322.14</c:v>
                </c:pt>
                <c:pt idx="282">
                  <c:v>319.77999999999997</c:v>
                </c:pt>
                <c:pt idx="283">
                  <c:v>317.70999999999998</c:v>
                </c:pt>
                <c:pt idx="284">
                  <c:v>315.37</c:v>
                </c:pt>
                <c:pt idx="285">
                  <c:v>312.70999999999998</c:v>
                </c:pt>
                <c:pt idx="286">
                  <c:v>310</c:v>
                </c:pt>
                <c:pt idx="287">
                  <c:v>307.98</c:v>
                </c:pt>
                <c:pt idx="288">
                  <c:v>306.5</c:v>
                </c:pt>
                <c:pt idx="289">
                  <c:v>303.92</c:v>
                </c:pt>
                <c:pt idx="290">
                  <c:v>301.7</c:v>
                </c:pt>
                <c:pt idx="291">
                  <c:v>299.64999999999998</c:v>
                </c:pt>
                <c:pt idx="292">
                  <c:v>297.74</c:v>
                </c:pt>
                <c:pt idx="293">
                  <c:v>295.83</c:v>
                </c:pt>
                <c:pt idx="294">
                  <c:v>293.95</c:v>
                </c:pt>
                <c:pt idx="295">
                  <c:v>292.10000000000002</c:v>
                </c:pt>
                <c:pt idx="296">
                  <c:v>290.27</c:v>
                </c:pt>
                <c:pt idx="297">
                  <c:v>288.51</c:v>
                </c:pt>
                <c:pt idx="298">
                  <c:v>286.76</c:v>
                </c:pt>
                <c:pt idx="299">
                  <c:v>290.06</c:v>
                </c:pt>
                <c:pt idx="300">
                  <c:v>283.32</c:v>
                </c:pt>
                <c:pt idx="301">
                  <c:v>281.31</c:v>
                </c:pt>
                <c:pt idx="302">
                  <c:v>279.62</c:v>
                </c:pt>
                <c:pt idx="303">
                  <c:v>278.04000000000002</c:v>
                </c:pt>
                <c:pt idx="304">
                  <c:v>284.73</c:v>
                </c:pt>
                <c:pt idx="305">
                  <c:v>325.76</c:v>
                </c:pt>
                <c:pt idx="306">
                  <c:v>394.65</c:v>
                </c:pt>
                <c:pt idx="307">
                  <c:v>528.04999999999995</c:v>
                </c:pt>
                <c:pt idx="308">
                  <c:v>783.76</c:v>
                </c:pt>
                <c:pt idx="309">
                  <c:v>1089</c:v>
                </c:pt>
                <c:pt idx="310">
                  <c:v>2005.63</c:v>
                </c:pt>
                <c:pt idx="311">
                  <c:v>3056.95</c:v>
                </c:pt>
                <c:pt idx="312">
                  <c:v>5893.74</c:v>
                </c:pt>
                <c:pt idx="313">
                  <c:v>11596.07</c:v>
                </c:pt>
                <c:pt idx="314">
                  <c:v>15788.38</c:v>
                </c:pt>
                <c:pt idx="315">
                  <c:v>20101.54</c:v>
                </c:pt>
                <c:pt idx="316">
                  <c:v>21086.49</c:v>
                </c:pt>
                <c:pt idx="317">
                  <c:v>18671.41</c:v>
                </c:pt>
                <c:pt idx="318">
                  <c:v>16823.23</c:v>
                </c:pt>
                <c:pt idx="319">
                  <c:v>14364</c:v>
                </c:pt>
                <c:pt idx="320">
                  <c:v>12666.53</c:v>
                </c:pt>
                <c:pt idx="321">
                  <c:v>11208.14</c:v>
                </c:pt>
                <c:pt idx="322">
                  <c:v>11462.98</c:v>
                </c:pt>
                <c:pt idx="323">
                  <c:v>9902.14</c:v>
                </c:pt>
                <c:pt idx="324">
                  <c:v>9670.26</c:v>
                </c:pt>
                <c:pt idx="325">
                  <c:v>9869.5</c:v>
                </c:pt>
                <c:pt idx="326">
                  <c:v>9450.0400000000009</c:v>
                </c:pt>
                <c:pt idx="327">
                  <c:v>9736.73</c:v>
                </c:pt>
                <c:pt idx="328">
                  <c:v>9450.26</c:v>
                </c:pt>
                <c:pt idx="329">
                  <c:v>9807.58</c:v>
                </c:pt>
                <c:pt idx="330">
                  <c:v>9886.42</c:v>
                </c:pt>
                <c:pt idx="331">
                  <c:v>10419.15</c:v>
                </c:pt>
                <c:pt idx="332">
                  <c:v>10592.06</c:v>
                </c:pt>
                <c:pt idx="333">
                  <c:v>10570.93</c:v>
                </c:pt>
                <c:pt idx="334">
                  <c:v>10624.63</c:v>
                </c:pt>
                <c:pt idx="335">
                  <c:v>9966.1299999999992</c:v>
                </c:pt>
                <c:pt idx="336">
                  <c:v>9815.4</c:v>
                </c:pt>
                <c:pt idx="337">
                  <c:v>9306.14</c:v>
                </c:pt>
                <c:pt idx="338">
                  <c:v>8868.01</c:v>
                </c:pt>
                <c:pt idx="339">
                  <c:v>8428.0499999999993</c:v>
                </c:pt>
                <c:pt idx="340">
                  <c:v>7965.76</c:v>
                </c:pt>
                <c:pt idx="341">
                  <c:v>7574.01</c:v>
                </c:pt>
                <c:pt idx="342">
                  <c:v>7207.29</c:v>
                </c:pt>
                <c:pt idx="343">
                  <c:v>6847.7</c:v>
                </c:pt>
                <c:pt idx="344">
                  <c:v>6443.41</c:v>
                </c:pt>
                <c:pt idx="345">
                  <c:v>6189.54</c:v>
                </c:pt>
                <c:pt idx="346">
                  <c:v>5925.8</c:v>
                </c:pt>
                <c:pt idx="347">
                  <c:v>5647.93</c:v>
                </c:pt>
                <c:pt idx="348">
                  <c:v>5322.78</c:v>
                </c:pt>
                <c:pt idx="349">
                  <c:v>5103.4399999999996</c:v>
                </c:pt>
                <c:pt idx="350">
                  <c:v>4854.54</c:v>
                </c:pt>
                <c:pt idx="351">
                  <c:v>4629.09</c:v>
                </c:pt>
                <c:pt idx="352">
                  <c:v>4414.54</c:v>
                </c:pt>
                <c:pt idx="353">
                  <c:v>4169.3900000000003</c:v>
                </c:pt>
                <c:pt idx="354">
                  <c:v>3975.65</c:v>
                </c:pt>
                <c:pt idx="355">
                  <c:v>3814.11</c:v>
                </c:pt>
                <c:pt idx="356">
                  <c:v>3662.05</c:v>
                </c:pt>
                <c:pt idx="357">
                  <c:v>3550.51</c:v>
                </c:pt>
                <c:pt idx="358">
                  <c:v>3409.51</c:v>
                </c:pt>
                <c:pt idx="359">
                  <c:v>3323.49</c:v>
                </c:pt>
                <c:pt idx="360">
                  <c:v>3186.82</c:v>
                </c:pt>
                <c:pt idx="361">
                  <c:v>3098.73</c:v>
                </c:pt>
                <c:pt idx="362">
                  <c:v>2999.82</c:v>
                </c:pt>
                <c:pt idx="363">
                  <c:v>2934.96</c:v>
                </c:pt>
                <c:pt idx="364">
                  <c:v>2841.24</c:v>
                </c:pt>
                <c:pt idx="365">
                  <c:v>2783.16</c:v>
                </c:pt>
                <c:pt idx="366">
                  <c:v>2706.43</c:v>
                </c:pt>
                <c:pt idx="367">
                  <c:v>2638.61</c:v>
                </c:pt>
                <c:pt idx="368">
                  <c:v>2582.42</c:v>
                </c:pt>
                <c:pt idx="369">
                  <c:v>2527.96</c:v>
                </c:pt>
                <c:pt idx="370">
                  <c:v>2474.11</c:v>
                </c:pt>
                <c:pt idx="371">
                  <c:v>2430.46</c:v>
                </c:pt>
                <c:pt idx="372">
                  <c:v>2382.71</c:v>
                </c:pt>
                <c:pt idx="373">
                  <c:v>2313.67</c:v>
                </c:pt>
                <c:pt idx="374">
                  <c:v>2273.9699999999998</c:v>
                </c:pt>
                <c:pt idx="375">
                  <c:v>2224.9299999999998</c:v>
                </c:pt>
                <c:pt idx="376">
                  <c:v>2199.8000000000002</c:v>
                </c:pt>
                <c:pt idx="377">
                  <c:v>2146.4299999999998</c:v>
                </c:pt>
                <c:pt idx="378">
                  <c:v>2100.04</c:v>
                </c:pt>
                <c:pt idx="379">
                  <c:v>2069.04</c:v>
                </c:pt>
                <c:pt idx="380">
                  <c:v>2020.64</c:v>
                </c:pt>
                <c:pt idx="381">
                  <c:v>1985.67</c:v>
                </c:pt>
                <c:pt idx="382">
                  <c:v>1970.73</c:v>
                </c:pt>
                <c:pt idx="383">
                  <c:v>1935</c:v>
                </c:pt>
                <c:pt idx="384">
                  <c:v>1902.61</c:v>
                </c:pt>
                <c:pt idx="385">
                  <c:v>1883.52</c:v>
                </c:pt>
                <c:pt idx="386">
                  <c:v>1840.93</c:v>
                </c:pt>
                <c:pt idx="387">
                  <c:v>1816.89</c:v>
                </c:pt>
                <c:pt idx="388">
                  <c:v>1775.6</c:v>
                </c:pt>
                <c:pt idx="389">
                  <c:v>1764.62</c:v>
                </c:pt>
                <c:pt idx="390">
                  <c:v>1744.01</c:v>
                </c:pt>
                <c:pt idx="391">
                  <c:v>1709.81</c:v>
                </c:pt>
                <c:pt idx="392">
                  <c:v>1683.2</c:v>
                </c:pt>
                <c:pt idx="393">
                  <c:v>1676.09</c:v>
                </c:pt>
                <c:pt idx="394">
                  <c:v>1646.67</c:v>
                </c:pt>
                <c:pt idx="395">
                  <c:v>1624.91</c:v>
                </c:pt>
                <c:pt idx="396">
                  <c:v>1603.57</c:v>
                </c:pt>
                <c:pt idx="397">
                  <c:v>1584.7</c:v>
                </c:pt>
                <c:pt idx="398">
                  <c:v>1567.83</c:v>
                </c:pt>
                <c:pt idx="399">
                  <c:v>1546.84</c:v>
                </c:pt>
                <c:pt idx="400">
                  <c:v>1534.38</c:v>
                </c:pt>
                <c:pt idx="401">
                  <c:v>1511.89</c:v>
                </c:pt>
                <c:pt idx="402">
                  <c:v>1488.75</c:v>
                </c:pt>
                <c:pt idx="403">
                  <c:v>1481.47</c:v>
                </c:pt>
                <c:pt idx="404">
                  <c:v>1462.41</c:v>
                </c:pt>
                <c:pt idx="405">
                  <c:v>1447.63</c:v>
                </c:pt>
                <c:pt idx="406">
                  <c:v>1435.82</c:v>
                </c:pt>
                <c:pt idx="407">
                  <c:v>1415.93</c:v>
                </c:pt>
                <c:pt idx="408">
                  <c:v>1399.91</c:v>
                </c:pt>
                <c:pt idx="409">
                  <c:v>1393.17</c:v>
                </c:pt>
                <c:pt idx="410">
                  <c:v>1373.31</c:v>
                </c:pt>
                <c:pt idx="411">
                  <c:v>1359.02</c:v>
                </c:pt>
                <c:pt idx="412">
                  <c:v>1347.78</c:v>
                </c:pt>
                <c:pt idx="413">
                  <c:v>1322.93</c:v>
                </c:pt>
                <c:pt idx="414">
                  <c:v>1321.6</c:v>
                </c:pt>
                <c:pt idx="415">
                  <c:v>1290.6199999999999</c:v>
                </c:pt>
                <c:pt idx="416">
                  <c:v>1286.97</c:v>
                </c:pt>
                <c:pt idx="417">
                  <c:v>1264.78</c:v>
                </c:pt>
                <c:pt idx="418">
                  <c:v>1267.97</c:v>
                </c:pt>
                <c:pt idx="419">
                  <c:v>1244.76</c:v>
                </c:pt>
                <c:pt idx="420">
                  <c:v>1229.07</c:v>
                </c:pt>
                <c:pt idx="421">
                  <c:v>1216.68</c:v>
                </c:pt>
                <c:pt idx="422">
                  <c:v>1209.8800000000001</c:v>
                </c:pt>
                <c:pt idx="423">
                  <c:v>1197.83</c:v>
                </c:pt>
                <c:pt idx="424">
                  <c:v>1172.05</c:v>
                </c:pt>
                <c:pt idx="425">
                  <c:v>1187.78</c:v>
                </c:pt>
                <c:pt idx="426">
                  <c:v>1164.33</c:v>
                </c:pt>
                <c:pt idx="427">
                  <c:v>1151.23</c:v>
                </c:pt>
                <c:pt idx="428">
                  <c:v>1129.4100000000001</c:v>
                </c:pt>
                <c:pt idx="429">
                  <c:v>1124.3</c:v>
                </c:pt>
                <c:pt idx="430">
                  <c:v>1113.45</c:v>
                </c:pt>
                <c:pt idx="431">
                  <c:v>1104.6500000000001</c:v>
                </c:pt>
                <c:pt idx="432">
                  <c:v>1097.53</c:v>
                </c:pt>
                <c:pt idx="433">
                  <c:v>1089.76</c:v>
                </c:pt>
                <c:pt idx="434">
                  <c:v>1074.8</c:v>
                </c:pt>
                <c:pt idx="435">
                  <c:v>1070.6600000000001</c:v>
                </c:pt>
                <c:pt idx="436">
                  <c:v>1049.9100000000001</c:v>
                </c:pt>
                <c:pt idx="437">
                  <c:v>1052.96</c:v>
                </c:pt>
                <c:pt idx="438">
                  <c:v>1037.6199999999999</c:v>
                </c:pt>
                <c:pt idx="439">
                  <c:v>1030.52</c:v>
                </c:pt>
                <c:pt idx="440">
                  <c:v>1026.26</c:v>
                </c:pt>
                <c:pt idx="441">
                  <c:v>1012.86</c:v>
                </c:pt>
                <c:pt idx="442">
                  <c:v>1006.57</c:v>
                </c:pt>
                <c:pt idx="443">
                  <c:v>993.54</c:v>
                </c:pt>
                <c:pt idx="444">
                  <c:v>979.25</c:v>
                </c:pt>
                <c:pt idx="445">
                  <c:v>980.51</c:v>
                </c:pt>
                <c:pt idx="446">
                  <c:v>966.43</c:v>
                </c:pt>
                <c:pt idx="447">
                  <c:v>961.36</c:v>
                </c:pt>
                <c:pt idx="448">
                  <c:v>951.83</c:v>
                </c:pt>
                <c:pt idx="449">
                  <c:v>941.82</c:v>
                </c:pt>
                <c:pt idx="450">
                  <c:v>935.01</c:v>
                </c:pt>
                <c:pt idx="451">
                  <c:v>930.04</c:v>
                </c:pt>
                <c:pt idx="452">
                  <c:v>921.09</c:v>
                </c:pt>
                <c:pt idx="453">
                  <c:v>911.61</c:v>
                </c:pt>
                <c:pt idx="454">
                  <c:v>902.15</c:v>
                </c:pt>
                <c:pt idx="455">
                  <c:v>895.75</c:v>
                </c:pt>
                <c:pt idx="456">
                  <c:v>890.45</c:v>
                </c:pt>
                <c:pt idx="457">
                  <c:v>883.73</c:v>
                </c:pt>
                <c:pt idx="458">
                  <c:v>878.82</c:v>
                </c:pt>
                <c:pt idx="459">
                  <c:v>871.77</c:v>
                </c:pt>
                <c:pt idx="460">
                  <c:v>861.12</c:v>
                </c:pt>
                <c:pt idx="461">
                  <c:v>853.16</c:v>
                </c:pt>
                <c:pt idx="462">
                  <c:v>846</c:v>
                </c:pt>
                <c:pt idx="463">
                  <c:v>838.25</c:v>
                </c:pt>
                <c:pt idx="464">
                  <c:v>828.35</c:v>
                </c:pt>
                <c:pt idx="465">
                  <c:v>824.76</c:v>
                </c:pt>
                <c:pt idx="466">
                  <c:v>815.21</c:v>
                </c:pt>
                <c:pt idx="467">
                  <c:v>810.36</c:v>
                </c:pt>
                <c:pt idx="468">
                  <c:v>803.69</c:v>
                </c:pt>
                <c:pt idx="469">
                  <c:v>797.28</c:v>
                </c:pt>
                <c:pt idx="470">
                  <c:v>793.51</c:v>
                </c:pt>
                <c:pt idx="471">
                  <c:v>789.21</c:v>
                </c:pt>
                <c:pt idx="472">
                  <c:v>782.36</c:v>
                </c:pt>
                <c:pt idx="473">
                  <c:v>774.35</c:v>
                </c:pt>
                <c:pt idx="474">
                  <c:v>766.96</c:v>
                </c:pt>
                <c:pt idx="475">
                  <c:v>760.29</c:v>
                </c:pt>
                <c:pt idx="476">
                  <c:v>753.84</c:v>
                </c:pt>
                <c:pt idx="477">
                  <c:v>747.5</c:v>
                </c:pt>
                <c:pt idx="478">
                  <c:v>741.34</c:v>
                </c:pt>
                <c:pt idx="479">
                  <c:v>735.52</c:v>
                </c:pt>
                <c:pt idx="480">
                  <c:v>729.89</c:v>
                </c:pt>
                <c:pt idx="481">
                  <c:v>724.33</c:v>
                </c:pt>
                <c:pt idx="482">
                  <c:v>718.76</c:v>
                </c:pt>
                <c:pt idx="483">
                  <c:v>714.96</c:v>
                </c:pt>
                <c:pt idx="484">
                  <c:v>708.1</c:v>
                </c:pt>
                <c:pt idx="485">
                  <c:v>702.62</c:v>
                </c:pt>
                <c:pt idx="486">
                  <c:v>697.36</c:v>
                </c:pt>
                <c:pt idx="487">
                  <c:v>692.04</c:v>
                </c:pt>
                <c:pt idx="488">
                  <c:v>686.55</c:v>
                </c:pt>
                <c:pt idx="489">
                  <c:v>681.25</c:v>
                </c:pt>
                <c:pt idx="490">
                  <c:v>676.2</c:v>
                </c:pt>
                <c:pt idx="491">
                  <c:v>671.39</c:v>
                </c:pt>
                <c:pt idx="492">
                  <c:v>666.23</c:v>
                </c:pt>
                <c:pt idx="493">
                  <c:v>660.94</c:v>
                </c:pt>
                <c:pt idx="494">
                  <c:v>655.45</c:v>
                </c:pt>
                <c:pt idx="495">
                  <c:v>650.29</c:v>
                </c:pt>
                <c:pt idx="496">
                  <c:v>645.26</c:v>
                </c:pt>
                <c:pt idx="497">
                  <c:v>640.05999999999995</c:v>
                </c:pt>
                <c:pt idx="498">
                  <c:v>634.92999999999995</c:v>
                </c:pt>
                <c:pt idx="499">
                  <c:v>627.6</c:v>
                </c:pt>
                <c:pt idx="500">
                  <c:v>624.28</c:v>
                </c:pt>
                <c:pt idx="501">
                  <c:v>620.46</c:v>
                </c:pt>
                <c:pt idx="502">
                  <c:v>615.54</c:v>
                </c:pt>
                <c:pt idx="503">
                  <c:v>610.67999999999995</c:v>
                </c:pt>
                <c:pt idx="504">
                  <c:v>606.16</c:v>
                </c:pt>
                <c:pt idx="505">
                  <c:v>601.41</c:v>
                </c:pt>
                <c:pt idx="506">
                  <c:v>596.48</c:v>
                </c:pt>
                <c:pt idx="507">
                  <c:v>591.88</c:v>
                </c:pt>
                <c:pt idx="508">
                  <c:v>592.67999999999995</c:v>
                </c:pt>
                <c:pt idx="509">
                  <c:v>583.20000000000005</c:v>
                </c:pt>
                <c:pt idx="510">
                  <c:v>579.04</c:v>
                </c:pt>
                <c:pt idx="511">
                  <c:v>574.24</c:v>
                </c:pt>
                <c:pt idx="512">
                  <c:v>568.94000000000005</c:v>
                </c:pt>
                <c:pt idx="513">
                  <c:v>563.11</c:v>
                </c:pt>
                <c:pt idx="514">
                  <c:v>564.78</c:v>
                </c:pt>
                <c:pt idx="515">
                  <c:v>557.46</c:v>
                </c:pt>
                <c:pt idx="516">
                  <c:v>556.86</c:v>
                </c:pt>
                <c:pt idx="517">
                  <c:v>552.37</c:v>
                </c:pt>
                <c:pt idx="518">
                  <c:v>544.79</c:v>
                </c:pt>
                <c:pt idx="519">
                  <c:v>541.54999999999995</c:v>
                </c:pt>
                <c:pt idx="520">
                  <c:v>539.64</c:v>
                </c:pt>
                <c:pt idx="521">
                  <c:v>535.54</c:v>
                </c:pt>
                <c:pt idx="522">
                  <c:v>528.41</c:v>
                </c:pt>
                <c:pt idx="523">
                  <c:v>522.22</c:v>
                </c:pt>
                <c:pt idx="524">
                  <c:v>521.16</c:v>
                </c:pt>
                <c:pt idx="525">
                  <c:v>516.04</c:v>
                </c:pt>
                <c:pt idx="526">
                  <c:v>511.01</c:v>
                </c:pt>
                <c:pt idx="527">
                  <c:v>508.35</c:v>
                </c:pt>
              </c:numCache>
            </c:numRef>
          </c:yVal>
          <c:smooth val="0"/>
          <c:extLst>
            <c:ext xmlns:c16="http://schemas.microsoft.com/office/drawing/2014/chart" uri="{C3380CC4-5D6E-409C-BE32-E72D297353CC}">
              <c16:uniqueId val="{00000008-385C-43EC-B66E-2D5F0CA3D4E7}"/>
            </c:ext>
          </c:extLst>
        </c:ser>
        <c:dLbls>
          <c:showLegendKey val="0"/>
          <c:showVal val="0"/>
          <c:showCatName val="0"/>
          <c:showSerName val="0"/>
          <c:showPercent val="0"/>
          <c:showBubbleSize val="0"/>
        </c:dLbls>
        <c:axId val="744815672"/>
        <c:axId val="744814496"/>
        <c:extLst>
          <c:ext xmlns:c15="http://schemas.microsoft.com/office/drawing/2012/chart" uri="{02D57815-91ED-43cb-92C2-25804820EDAC}">
            <c15:filteredScatterSeries>
              <c15:ser>
                <c:idx val="1"/>
                <c:order val="2"/>
                <c:tx>
                  <c:strRef>
                    <c:extLst>
                      <c:ext uri="{02D57815-91ED-43cb-92C2-25804820EDAC}">
                        <c15:formulaRef>
                          <c15:sqref>Gage_and_Event!$T$2</c15:sqref>
                        </c15:formulaRef>
                      </c:ext>
                    </c:extLst>
                    <c:strCache>
                      <c:ptCount val="1"/>
                      <c:pt idx="0">
                        <c:v>Trial 1</c:v>
                      </c:pt>
                    </c:strCache>
                  </c:strRef>
                </c:tx>
                <c:spPr>
                  <a:ln w="15875">
                    <a:solidFill>
                      <a:schemeClr val="accent2"/>
                    </a:solidFill>
                  </a:ln>
                </c:spPr>
                <c:marker>
                  <c:symbol val="none"/>
                </c:marker>
                <c:xVal>
                  <c:numRef>
                    <c:extLst>
                      <c:ex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c:ext uri="{02D57815-91ED-43cb-92C2-25804820EDAC}">
                        <c15:formulaRef>
                          <c15:sqref>Gage_and_Event!$U$5:$U$2000</c15:sqref>
                        </c15:formulaRef>
                      </c:ext>
                    </c:extLst>
                    <c:numCache>
                      <c:formatCode>General</c:formatCode>
                      <c:ptCount val="1996"/>
                    </c:numCache>
                  </c:numRef>
                </c:yVal>
                <c:smooth val="0"/>
                <c:extLst>
                  <c:ext xmlns:c16="http://schemas.microsoft.com/office/drawing/2014/chart" uri="{C3380CC4-5D6E-409C-BE32-E72D297353CC}">
                    <c16:uniqueId val="{00000002-385C-43EC-B66E-2D5F0CA3D4E7}"/>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Gage_and_Event!$V$2</c15:sqref>
                        </c15:formulaRef>
                      </c:ext>
                    </c:extLst>
                    <c:strCache>
                      <c:ptCount val="1"/>
                      <c:pt idx="0">
                        <c:v>Trial 2</c:v>
                      </c:pt>
                    </c:strCache>
                  </c:strRef>
                </c:tx>
                <c:spPr>
                  <a:ln w="15875">
                    <a:solidFill>
                      <a:srgbClr val="7030A0"/>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Gage_and_Event!$W$5:$W$2000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3-385C-43EC-B66E-2D5F0CA3D4E7}"/>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Gage_and_Event!$X$2</c15:sqref>
                        </c15:formulaRef>
                      </c:ext>
                    </c:extLst>
                    <c:strCache>
                      <c:ptCount val="1"/>
                      <c:pt idx="0">
                        <c:v>Trial 3</c:v>
                      </c:pt>
                    </c:strCache>
                  </c:strRef>
                </c:tx>
                <c:spPr>
                  <a:ln w="15875">
                    <a:solidFill>
                      <a:schemeClr val="accent4"/>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Gage_and_Event!$Y$5:$Y$2000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4-385C-43EC-B66E-2D5F0CA3D4E7}"/>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Gage_and_Event!$Z$2</c15:sqref>
                        </c15:formulaRef>
                      </c:ext>
                    </c:extLst>
                    <c:strCache>
                      <c:ptCount val="1"/>
                      <c:pt idx="0">
                        <c:v>Trial 4</c:v>
                      </c:pt>
                    </c:strCache>
                  </c:strRef>
                </c:tx>
                <c:spPr>
                  <a:ln w="15875">
                    <a:solidFill>
                      <a:schemeClr val="accent5"/>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Gage_and_Event!$AA$5:$AA$2000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5-385C-43EC-B66E-2D5F0CA3D4E7}"/>
                  </c:ext>
                </c:extLst>
              </c15:ser>
            </c15:filteredScatterSeries>
            <c15:filteredScatterSeries>
              <c15:ser>
                <c:idx val="2"/>
                <c:order val="6"/>
                <c:tx>
                  <c:strRef>
                    <c:extLst xmlns:c15="http://schemas.microsoft.com/office/drawing/2012/chart">
                      <c:ext xmlns:c15="http://schemas.microsoft.com/office/drawing/2012/chart" uri="{02D57815-91ED-43cb-92C2-25804820EDAC}">
                        <c15:formulaRef>
                          <c15:sqref>Gage_and_Event!$AB$2</c15:sqref>
                        </c15:formulaRef>
                      </c:ext>
                    </c:extLst>
                    <c:strCache>
                      <c:ptCount val="1"/>
                      <c:pt idx="0">
                        <c:v>Trial 5</c:v>
                      </c:pt>
                    </c:strCache>
                  </c:strRef>
                </c:tx>
                <c:spPr>
                  <a:ln w="15875">
                    <a:solidFill>
                      <a:schemeClr val="accent6"/>
                    </a:solidFill>
                    <a:prstDash val="solid"/>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Gage_and_Event!$AC$5:$AC$2000</c15:sqref>
                        </c15:formulaRef>
                      </c:ext>
                    </c:extLst>
                    <c:numCache>
                      <c:formatCode>#,##0.0</c:formatCode>
                      <c:ptCount val="1996"/>
                    </c:numCache>
                  </c:numRef>
                </c:yVal>
                <c:smooth val="0"/>
                <c:extLst xmlns:c15="http://schemas.microsoft.com/office/drawing/2012/chart">
                  <c:ext xmlns:c16="http://schemas.microsoft.com/office/drawing/2014/chart" uri="{C3380CC4-5D6E-409C-BE32-E72D297353CC}">
                    <c16:uniqueId val="{00000006-385C-43EC-B66E-2D5F0CA3D4E7}"/>
                  </c:ext>
                </c:extLst>
              </c15:ser>
            </c15:filteredScatterSeries>
          </c:ext>
        </c:extLst>
      </c:scatterChart>
      <c:valAx>
        <c:axId val="744815672"/>
        <c:scaling>
          <c:orientation val="minMax"/>
        </c:scaling>
        <c:delete val="0"/>
        <c:axPos val="b"/>
        <c:majorGridlines/>
        <c:numFmt formatCode="m/d/yyyy" sourceLinked="0"/>
        <c:majorTickMark val="out"/>
        <c:minorTickMark val="none"/>
        <c:tickLblPos val="nextTo"/>
        <c:txPr>
          <a:bodyPr rot="0"/>
          <a:lstStyle/>
          <a:p>
            <a:pPr>
              <a:defRPr/>
            </a:pPr>
            <a:endParaRPr lang="en-US"/>
          </a:p>
        </c:txPr>
        <c:crossAx val="744814496"/>
        <c:crosses val="autoZero"/>
        <c:crossBetween val="midCat"/>
        <c:majorUnit val="6"/>
        <c:minorUnit val="0.5"/>
      </c:valAx>
      <c:valAx>
        <c:axId val="744814496"/>
        <c:scaling>
          <c:orientation val="minMax"/>
          <c:min val="0"/>
        </c:scaling>
        <c:delete val="0"/>
        <c:axPos val="l"/>
        <c:majorGridlines/>
        <c:title>
          <c:tx>
            <c:rich>
              <a:bodyPr rot="-5400000" vert="horz"/>
              <a:lstStyle/>
              <a:p>
                <a:pPr>
                  <a:defRPr/>
                </a:pPr>
                <a:r>
                  <a:rPr lang="en-US"/>
                  <a:t>Flow (CFS)</a:t>
                </a:r>
              </a:p>
            </c:rich>
          </c:tx>
          <c:overlay val="0"/>
        </c:title>
        <c:numFmt formatCode="#,##0" sourceLinked="0"/>
        <c:majorTickMark val="out"/>
        <c:minorTickMark val="none"/>
        <c:tickLblPos val="nextTo"/>
        <c:crossAx val="744815672"/>
        <c:crossesAt val="1"/>
        <c:crossBetween val="midCat"/>
        <c:majorUnit val="2000"/>
      </c:valAx>
    </c:plotArea>
    <c:legend>
      <c:legendPos val="b"/>
      <c:overlay val="0"/>
    </c:legend>
    <c:plotVisOnly val="1"/>
    <c:dispBlanksAs val="gap"/>
    <c:showDLblsOverMax val="0"/>
  </c:chart>
  <c:spPr>
    <a:ln>
      <a:noFill/>
    </a:ln>
  </c:sp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252405949256346E-2"/>
          <c:y val="3.6282744068756111E-2"/>
          <c:w val="0.87883092738407698"/>
          <c:h val="0.80314677577067572"/>
        </c:manualLayout>
      </c:layout>
      <c:scatterChart>
        <c:scatterStyle val="lineMarker"/>
        <c:varyColors val="0"/>
        <c:ser>
          <c:idx val="0"/>
          <c:order val="0"/>
          <c:tx>
            <c:strRef>
              <c:f>Gage_and_Event!$AE$2</c:f>
              <c:strCache>
                <c:ptCount val="1"/>
                <c:pt idx="0">
                  <c:v>Observed</c:v>
                </c:pt>
              </c:strCache>
            </c:strRef>
          </c:tx>
          <c:spPr>
            <a:ln>
              <a:solidFill>
                <a:schemeClr val="tx1">
                  <a:lumMod val="75000"/>
                  <a:lumOff val="25000"/>
                </a:schemeClr>
              </a:solidFill>
              <a:prstDash val="dash"/>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Gage_and_Event!$AE$5:$AE$2000</c:f>
              <c:numCache>
                <c:formatCode>General</c:formatCode>
                <c:ptCount val="1996"/>
                <c:pt idx="0">
                  <c:v>0</c:v>
                </c:pt>
                <c:pt idx="1">
                  <c:v>1010</c:v>
                </c:pt>
                <c:pt idx="2">
                  <c:v>2030</c:v>
                </c:pt>
                <c:pt idx="3">
                  <c:v>3050</c:v>
                </c:pt>
                <c:pt idx="4">
                  <c:v>4090</c:v>
                </c:pt>
                <c:pt idx="5">
                  <c:v>5140</c:v>
                </c:pt>
                <c:pt idx="6">
                  <c:v>6210</c:v>
                </c:pt>
                <c:pt idx="7">
                  <c:v>7350</c:v>
                </c:pt>
                <c:pt idx="8">
                  <c:v>8570</c:v>
                </c:pt>
                <c:pt idx="9">
                  <c:v>9880</c:v>
                </c:pt>
                <c:pt idx="10">
                  <c:v>11270</c:v>
                </c:pt>
                <c:pt idx="11">
                  <c:v>12680</c:v>
                </c:pt>
                <c:pt idx="12">
                  <c:v>14110</c:v>
                </c:pt>
                <c:pt idx="13">
                  <c:v>15570</c:v>
                </c:pt>
                <c:pt idx="14">
                  <c:v>17070</c:v>
                </c:pt>
                <c:pt idx="15">
                  <c:v>18600</c:v>
                </c:pt>
                <c:pt idx="16">
                  <c:v>20160</c:v>
                </c:pt>
                <c:pt idx="17">
                  <c:v>21740</c:v>
                </c:pt>
                <c:pt idx="18">
                  <c:v>23330</c:v>
                </c:pt>
                <c:pt idx="19">
                  <c:v>24920</c:v>
                </c:pt>
                <c:pt idx="20">
                  <c:v>26500</c:v>
                </c:pt>
                <c:pt idx="21">
                  <c:v>28060</c:v>
                </c:pt>
                <c:pt idx="22">
                  <c:v>29620</c:v>
                </c:pt>
                <c:pt idx="23">
                  <c:v>31170</c:v>
                </c:pt>
                <c:pt idx="24">
                  <c:v>32700</c:v>
                </c:pt>
                <c:pt idx="25">
                  <c:v>34230</c:v>
                </c:pt>
                <c:pt idx="26">
                  <c:v>35740</c:v>
                </c:pt>
                <c:pt idx="27">
                  <c:v>37240</c:v>
                </c:pt>
                <c:pt idx="28">
                  <c:v>38740</c:v>
                </c:pt>
                <c:pt idx="29">
                  <c:v>40220</c:v>
                </c:pt>
                <c:pt idx="30">
                  <c:v>41680</c:v>
                </c:pt>
                <c:pt idx="31">
                  <c:v>43110</c:v>
                </c:pt>
                <c:pt idx="32">
                  <c:v>44520</c:v>
                </c:pt>
                <c:pt idx="33">
                  <c:v>45900</c:v>
                </c:pt>
                <c:pt idx="34">
                  <c:v>47250</c:v>
                </c:pt>
                <c:pt idx="35">
                  <c:v>48570</c:v>
                </c:pt>
                <c:pt idx="36">
                  <c:v>49870</c:v>
                </c:pt>
                <c:pt idx="37">
                  <c:v>51130</c:v>
                </c:pt>
                <c:pt idx="38">
                  <c:v>52370</c:v>
                </c:pt>
                <c:pt idx="39">
                  <c:v>53580</c:v>
                </c:pt>
                <c:pt idx="40">
                  <c:v>54770</c:v>
                </c:pt>
                <c:pt idx="41">
                  <c:v>55930</c:v>
                </c:pt>
                <c:pt idx="42">
                  <c:v>57070</c:v>
                </c:pt>
                <c:pt idx="43">
                  <c:v>58180</c:v>
                </c:pt>
                <c:pt idx="44">
                  <c:v>59260</c:v>
                </c:pt>
                <c:pt idx="45">
                  <c:v>60320</c:v>
                </c:pt>
                <c:pt idx="46">
                  <c:v>61360</c:v>
                </c:pt>
                <c:pt idx="47">
                  <c:v>62380</c:v>
                </c:pt>
                <c:pt idx="48">
                  <c:v>63379</c:v>
                </c:pt>
                <c:pt idx="49">
                  <c:v>64357</c:v>
                </c:pt>
                <c:pt idx="50">
                  <c:v>65315</c:v>
                </c:pt>
                <c:pt idx="51">
                  <c:v>66254</c:v>
                </c:pt>
                <c:pt idx="52">
                  <c:v>67173</c:v>
                </c:pt>
                <c:pt idx="53">
                  <c:v>68073</c:v>
                </c:pt>
                <c:pt idx="54">
                  <c:v>68953</c:v>
                </c:pt>
                <c:pt idx="55">
                  <c:v>69819</c:v>
                </c:pt>
                <c:pt idx="56">
                  <c:v>70671</c:v>
                </c:pt>
                <c:pt idx="57">
                  <c:v>71505</c:v>
                </c:pt>
                <c:pt idx="58">
                  <c:v>72329</c:v>
                </c:pt>
                <c:pt idx="59">
                  <c:v>73135</c:v>
                </c:pt>
                <c:pt idx="60">
                  <c:v>73923</c:v>
                </c:pt>
                <c:pt idx="61">
                  <c:v>74693</c:v>
                </c:pt>
                <c:pt idx="62">
                  <c:v>75450</c:v>
                </c:pt>
                <c:pt idx="63">
                  <c:v>76194</c:v>
                </c:pt>
                <c:pt idx="64">
                  <c:v>76925</c:v>
                </c:pt>
                <c:pt idx="65">
                  <c:v>77643</c:v>
                </c:pt>
                <c:pt idx="66">
                  <c:v>78349</c:v>
                </c:pt>
                <c:pt idx="67">
                  <c:v>79042</c:v>
                </c:pt>
                <c:pt idx="68">
                  <c:v>79726</c:v>
                </c:pt>
                <c:pt idx="69">
                  <c:v>80397</c:v>
                </c:pt>
                <c:pt idx="70">
                  <c:v>81056</c:v>
                </c:pt>
                <c:pt idx="71">
                  <c:v>81706</c:v>
                </c:pt>
                <c:pt idx="72">
                  <c:v>82348</c:v>
                </c:pt>
                <c:pt idx="73">
                  <c:v>82978</c:v>
                </c:pt>
                <c:pt idx="74">
                  <c:v>83595</c:v>
                </c:pt>
                <c:pt idx="75">
                  <c:v>84204</c:v>
                </c:pt>
                <c:pt idx="76">
                  <c:v>84805</c:v>
                </c:pt>
                <c:pt idx="77">
                  <c:v>85398</c:v>
                </c:pt>
                <c:pt idx="78">
                  <c:v>85980</c:v>
                </c:pt>
                <c:pt idx="79">
                  <c:v>86554</c:v>
                </c:pt>
                <c:pt idx="80">
                  <c:v>87116</c:v>
                </c:pt>
                <c:pt idx="81">
                  <c:v>87674</c:v>
                </c:pt>
                <c:pt idx="82">
                  <c:v>88225</c:v>
                </c:pt>
                <c:pt idx="83">
                  <c:v>88768</c:v>
                </c:pt>
                <c:pt idx="84">
                  <c:v>89304</c:v>
                </c:pt>
                <c:pt idx="85">
                  <c:v>89836</c:v>
                </c:pt>
                <c:pt idx="86">
                  <c:v>90361</c:v>
                </c:pt>
                <c:pt idx="87">
                  <c:v>90878</c:v>
                </c:pt>
                <c:pt idx="88">
                  <c:v>91392</c:v>
                </c:pt>
                <c:pt idx="89">
                  <c:v>91898</c:v>
                </c:pt>
                <c:pt idx="90">
                  <c:v>92401</c:v>
                </c:pt>
                <c:pt idx="91">
                  <c:v>92896</c:v>
                </c:pt>
                <c:pt idx="92">
                  <c:v>93384</c:v>
                </c:pt>
                <c:pt idx="93">
                  <c:v>93865</c:v>
                </c:pt>
                <c:pt idx="94">
                  <c:v>94339</c:v>
                </c:pt>
                <c:pt idx="95">
                  <c:v>94813</c:v>
                </c:pt>
                <c:pt idx="96">
                  <c:v>95280</c:v>
                </c:pt>
                <c:pt idx="97">
                  <c:v>95740</c:v>
                </c:pt>
                <c:pt idx="98">
                  <c:v>96196</c:v>
                </c:pt>
                <c:pt idx="99">
                  <c:v>96649</c:v>
                </c:pt>
                <c:pt idx="100">
                  <c:v>97095</c:v>
                </c:pt>
                <c:pt idx="101">
                  <c:v>97538</c:v>
                </c:pt>
                <c:pt idx="102">
                  <c:v>97977</c:v>
                </c:pt>
                <c:pt idx="103">
                  <c:v>98409</c:v>
                </c:pt>
                <c:pt idx="104">
                  <c:v>98838</c:v>
                </c:pt>
                <c:pt idx="105">
                  <c:v>99260</c:v>
                </c:pt>
                <c:pt idx="106">
                  <c:v>99679</c:v>
                </c:pt>
                <c:pt idx="107">
                  <c:v>100095</c:v>
                </c:pt>
                <c:pt idx="108">
                  <c:v>100508</c:v>
                </c:pt>
                <c:pt idx="109">
                  <c:v>100914</c:v>
                </c:pt>
                <c:pt idx="110">
                  <c:v>101320</c:v>
                </c:pt>
                <c:pt idx="111">
                  <c:v>101723</c:v>
                </c:pt>
                <c:pt idx="112">
                  <c:v>102123</c:v>
                </c:pt>
                <c:pt idx="113">
                  <c:v>102517</c:v>
                </c:pt>
                <c:pt idx="114">
                  <c:v>102911</c:v>
                </c:pt>
                <c:pt idx="115">
                  <c:v>103302</c:v>
                </c:pt>
                <c:pt idx="116">
                  <c:v>103690</c:v>
                </c:pt>
                <c:pt idx="117">
                  <c:v>104075</c:v>
                </c:pt>
                <c:pt idx="118">
                  <c:v>104457</c:v>
                </c:pt>
                <c:pt idx="119">
                  <c:v>104836</c:v>
                </c:pt>
                <c:pt idx="120">
                  <c:v>105212</c:v>
                </c:pt>
                <c:pt idx="121">
                  <c:v>105585</c:v>
                </c:pt>
                <c:pt idx="122">
                  <c:v>105955</c:v>
                </c:pt>
                <c:pt idx="123">
                  <c:v>106325</c:v>
                </c:pt>
                <c:pt idx="124">
                  <c:v>106692</c:v>
                </c:pt>
                <c:pt idx="125">
                  <c:v>107056</c:v>
                </c:pt>
                <c:pt idx="126">
                  <c:v>107420</c:v>
                </c:pt>
                <c:pt idx="127">
                  <c:v>107781</c:v>
                </c:pt>
                <c:pt idx="128">
                  <c:v>108139</c:v>
                </c:pt>
                <c:pt idx="129">
                  <c:v>108494</c:v>
                </c:pt>
                <c:pt idx="130">
                  <c:v>108846</c:v>
                </c:pt>
                <c:pt idx="131">
                  <c:v>109198</c:v>
                </c:pt>
                <c:pt idx="132">
                  <c:v>109548</c:v>
                </c:pt>
                <c:pt idx="133">
                  <c:v>109895</c:v>
                </c:pt>
                <c:pt idx="134">
                  <c:v>110242</c:v>
                </c:pt>
                <c:pt idx="135">
                  <c:v>110589</c:v>
                </c:pt>
                <c:pt idx="136">
                  <c:v>110933</c:v>
                </c:pt>
                <c:pt idx="137">
                  <c:v>111274</c:v>
                </c:pt>
                <c:pt idx="138">
                  <c:v>111615</c:v>
                </c:pt>
                <c:pt idx="139">
                  <c:v>111953</c:v>
                </c:pt>
                <c:pt idx="140">
                  <c:v>112291</c:v>
                </c:pt>
                <c:pt idx="141">
                  <c:v>112626</c:v>
                </c:pt>
                <c:pt idx="142">
                  <c:v>112961</c:v>
                </c:pt>
                <c:pt idx="143">
                  <c:v>113293</c:v>
                </c:pt>
                <c:pt idx="144">
                  <c:v>113623</c:v>
                </c:pt>
                <c:pt idx="145">
                  <c:v>113953</c:v>
                </c:pt>
                <c:pt idx="146">
                  <c:v>114280</c:v>
                </c:pt>
                <c:pt idx="147">
                  <c:v>114604</c:v>
                </c:pt>
                <c:pt idx="148">
                  <c:v>114928</c:v>
                </c:pt>
                <c:pt idx="149">
                  <c:v>115249</c:v>
                </c:pt>
                <c:pt idx="150">
                  <c:v>115568</c:v>
                </c:pt>
                <c:pt idx="151">
                  <c:v>115887</c:v>
                </c:pt>
                <c:pt idx="152">
                  <c:v>116206</c:v>
                </c:pt>
                <c:pt idx="153">
                  <c:v>116527</c:v>
                </c:pt>
                <c:pt idx="154">
                  <c:v>116848</c:v>
                </c:pt>
                <c:pt idx="155">
                  <c:v>117172</c:v>
                </c:pt>
                <c:pt idx="156">
                  <c:v>117496</c:v>
                </c:pt>
                <c:pt idx="157">
                  <c:v>117837</c:v>
                </c:pt>
                <c:pt idx="158">
                  <c:v>118195</c:v>
                </c:pt>
                <c:pt idx="159">
                  <c:v>118568</c:v>
                </c:pt>
                <c:pt idx="160">
                  <c:v>119018</c:v>
                </c:pt>
                <c:pt idx="161">
                  <c:v>119576</c:v>
                </c:pt>
                <c:pt idx="162">
                  <c:v>120185</c:v>
                </c:pt>
                <c:pt idx="163">
                  <c:v>120810</c:v>
                </c:pt>
                <c:pt idx="164">
                  <c:v>121464</c:v>
                </c:pt>
                <c:pt idx="165">
                  <c:v>122148</c:v>
                </c:pt>
                <c:pt idx="166">
                  <c:v>122910</c:v>
                </c:pt>
                <c:pt idx="167">
                  <c:v>123689</c:v>
                </c:pt>
                <c:pt idx="168">
                  <c:v>124464</c:v>
                </c:pt>
                <c:pt idx="169">
                  <c:v>125248</c:v>
                </c:pt>
                <c:pt idx="170">
                  <c:v>126045</c:v>
                </c:pt>
                <c:pt idx="171">
                  <c:v>126851</c:v>
                </c:pt>
                <c:pt idx="172">
                  <c:v>127657</c:v>
                </c:pt>
                <c:pt idx="173">
                  <c:v>128454</c:v>
                </c:pt>
                <c:pt idx="174">
                  <c:v>129242</c:v>
                </c:pt>
                <c:pt idx="175">
                  <c:v>130021</c:v>
                </c:pt>
                <c:pt idx="176">
                  <c:v>130791</c:v>
                </c:pt>
                <c:pt idx="177">
                  <c:v>131553</c:v>
                </c:pt>
                <c:pt idx="178">
                  <c:v>132306</c:v>
                </c:pt>
                <c:pt idx="179">
                  <c:v>133050</c:v>
                </c:pt>
                <c:pt idx="180">
                  <c:v>133786</c:v>
                </c:pt>
                <c:pt idx="181">
                  <c:v>134509</c:v>
                </c:pt>
                <c:pt idx="182">
                  <c:v>135219</c:v>
                </c:pt>
                <c:pt idx="183">
                  <c:v>135920</c:v>
                </c:pt>
                <c:pt idx="184">
                  <c:v>136608</c:v>
                </c:pt>
                <c:pt idx="185">
                  <c:v>137283</c:v>
                </c:pt>
                <c:pt idx="186">
                  <c:v>137958</c:v>
                </c:pt>
                <c:pt idx="187">
                  <c:v>138629</c:v>
                </c:pt>
                <c:pt idx="188">
                  <c:v>139292</c:v>
                </c:pt>
                <c:pt idx="189">
                  <c:v>139951</c:v>
                </c:pt>
                <c:pt idx="190">
                  <c:v>140601</c:v>
                </c:pt>
                <c:pt idx="191">
                  <c:v>141243</c:v>
                </c:pt>
                <c:pt idx="192">
                  <c:v>141873</c:v>
                </c:pt>
                <c:pt idx="193">
                  <c:v>142494</c:v>
                </c:pt>
                <c:pt idx="194">
                  <c:v>143103</c:v>
                </c:pt>
                <c:pt idx="195">
                  <c:v>143704</c:v>
                </c:pt>
                <c:pt idx="196">
                  <c:v>144297</c:v>
                </c:pt>
                <c:pt idx="197">
                  <c:v>144879</c:v>
                </c:pt>
                <c:pt idx="198">
                  <c:v>145453</c:v>
                </c:pt>
                <c:pt idx="199">
                  <c:v>146019</c:v>
                </c:pt>
                <c:pt idx="200">
                  <c:v>146577</c:v>
                </c:pt>
                <c:pt idx="201">
                  <c:v>147128</c:v>
                </c:pt>
                <c:pt idx="202">
                  <c:v>147675</c:v>
                </c:pt>
                <c:pt idx="203">
                  <c:v>148214</c:v>
                </c:pt>
                <c:pt idx="204">
                  <c:v>148746</c:v>
                </c:pt>
                <c:pt idx="205">
                  <c:v>149271</c:v>
                </c:pt>
                <c:pt idx="206">
                  <c:v>149788</c:v>
                </c:pt>
                <c:pt idx="207">
                  <c:v>150302</c:v>
                </c:pt>
                <c:pt idx="208">
                  <c:v>150812</c:v>
                </c:pt>
                <c:pt idx="209">
                  <c:v>151315</c:v>
                </c:pt>
                <c:pt idx="210">
                  <c:v>151814</c:v>
                </c:pt>
                <c:pt idx="211">
                  <c:v>152306</c:v>
                </c:pt>
                <c:pt idx="212">
                  <c:v>152794</c:v>
                </c:pt>
                <c:pt idx="213">
                  <c:v>153279</c:v>
                </c:pt>
                <c:pt idx="214">
                  <c:v>153757</c:v>
                </c:pt>
                <c:pt idx="215">
                  <c:v>154231</c:v>
                </c:pt>
                <c:pt idx="216">
                  <c:v>154701</c:v>
                </c:pt>
                <c:pt idx="217">
                  <c:v>155168</c:v>
                </c:pt>
                <c:pt idx="218">
                  <c:v>155631</c:v>
                </c:pt>
                <c:pt idx="219">
                  <c:v>156091</c:v>
                </c:pt>
                <c:pt idx="220">
                  <c:v>156551</c:v>
                </c:pt>
                <c:pt idx="221">
                  <c:v>157011</c:v>
                </c:pt>
                <c:pt idx="222">
                  <c:v>157471</c:v>
                </c:pt>
                <c:pt idx="223">
                  <c:v>157931</c:v>
                </c:pt>
                <c:pt idx="224">
                  <c:v>158391</c:v>
                </c:pt>
                <c:pt idx="225">
                  <c:v>158847</c:v>
                </c:pt>
                <c:pt idx="226">
                  <c:v>159303</c:v>
                </c:pt>
                <c:pt idx="227">
                  <c:v>159759</c:v>
                </c:pt>
                <c:pt idx="228">
                  <c:v>160212</c:v>
                </c:pt>
                <c:pt idx="229">
                  <c:v>160665</c:v>
                </c:pt>
                <c:pt idx="230">
                  <c:v>161118</c:v>
                </c:pt>
                <c:pt idx="231">
                  <c:v>161571</c:v>
                </c:pt>
                <c:pt idx="232">
                  <c:v>162024</c:v>
                </c:pt>
                <c:pt idx="233">
                  <c:v>162477</c:v>
                </c:pt>
                <c:pt idx="234">
                  <c:v>162930</c:v>
                </c:pt>
                <c:pt idx="235">
                  <c:v>163383</c:v>
                </c:pt>
                <c:pt idx="236">
                  <c:v>163836</c:v>
                </c:pt>
                <c:pt idx="237">
                  <c:v>164286</c:v>
                </c:pt>
                <c:pt idx="238">
                  <c:v>164732</c:v>
                </c:pt>
                <c:pt idx="239">
                  <c:v>165175</c:v>
                </c:pt>
                <c:pt idx="240">
                  <c:v>165614</c:v>
                </c:pt>
                <c:pt idx="241">
                  <c:v>166050</c:v>
                </c:pt>
                <c:pt idx="242">
                  <c:v>166482</c:v>
                </c:pt>
                <c:pt idx="243">
                  <c:v>166914</c:v>
                </c:pt>
                <c:pt idx="244">
                  <c:v>167340</c:v>
                </c:pt>
                <c:pt idx="245">
                  <c:v>167766</c:v>
                </c:pt>
                <c:pt idx="246">
                  <c:v>168188</c:v>
                </c:pt>
                <c:pt idx="247">
                  <c:v>168607</c:v>
                </c:pt>
                <c:pt idx="248">
                  <c:v>169026</c:v>
                </c:pt>
                <c:pt idx="249">
                  <c:v>169445</c:v>
                </c:pt>
                <c:pt idx="250">
                  <c:v>169861</c:v>
                </c:pt>
                <c:pt idx="251">
                  <c:v>170277</c:v>
                </c:pt>
                <c:pt idx="252">
                  <c:v>170693</c:v>
                </c:pt>
                <c:pt idx="253">
                  <c:v>171109</c:v>
                </c:pt>
                <c:pt idx="254">
                  <c:v>171525</c:v>
                </c:pt>
                <c:pt idx="255">
                  <c:v>171941</c:v>
                </c:pt>
                <c:pt idx="256">
                  <c:v>172357</c:v>
                </c:pt>
                <c:pt idx="257">
                  <c:v>172773</c:v>
                </c:pt>
                <c:pt idx="258">
                  <c:v>173189</c:v>
                </c:pt>
                <c:pt idx="259">
                  <c:v>173605</c:v>
                </c:pt>
                <c:pt idx="260">
                  <c:v>174018</c:v>
                </c:pt>
                <c:pt idx="261">
                  <c:v>174427</c:v>
                </c:pt>
                <c:pt idx="262">
                  <c:v>174833</c:v>
                </c:pt>
                <c:pt idx="263">
                  <c:v>175239</c:v>
                </c:pt>
                <c:pt idx="264">
                  <c:v>175642</c:v>
                </c:pt>
                <c:pt idx="265">
                  <c:v>176042</c:v>
                </c:pt>
                <c:pt idx="266">
                  <c:v>176442</c:v>
                </c:pt>
                <c:pt idx="267">
                  <c:v>176839</c:v>
                </c:pt>
                <c:pt idx="268">
                  <c:v>177233</c:v>
                </c:pt>
                <c:pt idx="269">
                  <c:v>177624</c:v>
                </c:pt>
                <c:pt idx="270">
                  <c:v>178015</c:v>
                </c:pt>
                <c:pt idx="271">
                  <c:v>178403</c:v>
                </c:pt>
                <c:pt idx="272">
                  <c:v>178788</c:v>
                </c:pt>
                <c:pt idx="273">
                  <c:v>179173</c:v>
                </c:pt>
                <c:pt idx="274">
                  <c:v>179558</c:v>
                </c:pt>
                <c:pt idx="275">
                  <c:v>179940</c:v>
                </c:pt>
                <c:pt idx="276">
                  <c:v>180319</c:v>
                </c:pt>
                <c:pt idx="277">
                  <c:v>180698</c:v>
                </c:pt>
                <c:pt idx="278">
                  <c:v>181074</c:v>
                </c:pt>
                <c:pt idx="279">
                  <c:v>181450</c:v>
                </c:pt>
                <c:pt idx="280">
                  <c:v>181826</c:v>
                </c:pt>
                <c:pt idx="281">
                  <c:v>182202</c:v>
                </c:pt>
                <c:pt idx="282">
                  <c:v>182575</c:v>
                </c:pt>
                <c:pt idx="283">
                  <c:v>182948</c:v>
                </c:pt>
                <c:pt idx="284">
                  <c:v>183321</c:v>
                </c:pt>
                <c:pt idx="285">
                  <c:v>183691</c:v>
                </c:pt>
                <c:pt idx="286">
                  <c:v>184061</c:v>
                </c:pt>
                <c:pt idx="287">
                  <c:v>184428</c:v>
                </c:pt>
                <c:pt idx="288">
                  <c:v>184792</c:v>
                </c:pt>
                <c:pt idx="289">
                  <c:v>185156</c:v>
                </c:pt>
                <c:pt idx="290">
                  <c:v>185517</c:v>
                </c:pt>
                <c:pt idx="291">
                  <c:v>185878</c:v>
                </c:pt>
                <c:pt idx="292">
                  <c:v>186239</c:v>
                </c:pt>
                <c:pt idx="293">
                  <c:v>186597</c:v>
                </c:pt>
                <c:pt idx="294">
                  <c:v>186955</c:v>
                </c:pt>
                <c:pt idx="295">
                  <c:v>187313</c:v>
                </c:pt>
                <c:pt idx="296">
                  <c:v>187668</c:v>
                </c:pt>
                <c:pt idx="297">
                  <c:v>188023</c:v>
                </c:pt>
                <c:pt idx="298">
                  <c:v>188378</c:v>
                </c:pt>
                <c:pt idx="299">
                  <c:v>188733</c:v>
                </c:pt>
                <c:pt idx="300">
                  <c:v>189088</c:v>
                </c:pt>
                <c:pt idx="301">
                  <c:v>189440</c:v>
                </c:pt>
                <c:pt idx="302">
                  <c:v>189792</c:v>
                </c:pt>
                <c:pt idx="303">
                  <c:v>190144</c:v>
                </c:pt>
                <c:pt idx="304">
                  <c:v>190496</c:v>
                </c:pt>
                <c:pt idx="305">
                  <c:v>190851</c:v>
                </c:pt>
                <c:pt idx="306">
                  <c:v>191215</c:v>
                </c:pt>
                <c:pt idx="307">
                  <c:v>191594</c:v>
                </c:pt>
                <c:pt idx="308">
                  <c:v>191997</c:v>
                </c:pt>
                <c:pt idx="309">
                  <c:v>192467</c:v>
                </c:pt>
                <c:pt idx="310">
                  <c:v>193121</c:v>
                </c:pt>
                <c:pt idx="311">
                  <c:v>194301</c:v>
                </c:pt>
                <c:pt idx="312">
                  <c:v>196941</c:v>
                </c:pt>
                <c:pt idx="313">
                  <c:v>201401</c:v>
                </c:pt>
                <c:pt idx="314">
                  <c:v>209741</c:v>
                </c:pt>
                <c:pt idx="315">
                  <c:v>223141</c:v>
                </c:pt>
                <c:pt idx="316">
                  <c:v>240641</c:v>
                </c:pt>
                <c:pt idx="317">
                  <c:v>259241</c:v>
                </c:pt>
                <c:pt idx="318">
                  <c:v>277841</c:v>
                </c:pt>
                <c:pt idx="319">
                  <c:v>296241</c:v>
                </c:pt>
                <c:pt idx="320">
                  <c:v>313941</c:v>
                </c:pt>
                <c:pt idx="321">
                  <c:v>330641</c:v>
                </c:pt>
                <c:pt idx="322">
                  <c:v>346341</c:v>
                </c:pt>
                <c:pt idx="323">
                  <c:v>361041</c:v>
                </c:pt>
                <c:pt idx="324">
                  <c:v>374941</c:v>
                </c:pt>
                <c:pt idx="325">
                  <c:v>388241</c:v>
                </c:pt>
                <c:pt idx="326">
                  <c:v>401141</c:v>
                </c:pt>
                <c:pt idx="327">
                  <c:v>413841</c:v>
                </c:pt>
                <c:pt idx="328">
                  <c:v>426241</c:v>
                </c:pt>
                <c:pt idx="329">
                  <c:v>438441</c:v>
                </c:pt>
                <c:pt idx="330">
                  <c:v>450541</c:v>
                </c:pt>
                <c:pt idx="331">
                  <c:v>462541</c:v>
                </c:pt>
                <c:pt idx="332">
                  <c:v>474441</c:v>
                </c:pt>
                <c:pt idx="333">
                  <c:v>486241</c:v>
                </c:pt>
                <c:pt idx="334">
                  <c:v>497941</c:v>
                </c:pt>
                <c:pt idx="335">
                  <c:v>509441</c:v>
                </c:pt>
                <c:pt idx="336">
                  <c:v>520841</c:v>
                </c:pt>
                <c:pt idx="337">
                  <c:v>532141</c:v>
                </c:pt>
                <c:pt idx="338">
                  <c:v>543241</c:v>
                </c:pt>
                <c:pt idx="339">
                  <c:v>554041</c:v>
                </c:pt>
                <c:pt idx="340">
                  <c:v>564641</c:v>
                </c:pt>
                <c:pt idx="341">
                  <c:v>574941</c:v>
                </c:pt>
                <c:pt idx="342">
                  <c:v>584941</c:v>
                </c:pt>
                <c:pt idx="343">
                  <c:v>594661</c:v>
                </c:pt>
                <c:pt idx="344">
                  <c:v>604041</c:v>
                </c:pt>
                <c:pt idx="345">
                  <c:v>613061</c:v>
                </c:pt>
                <c:pt idx="346">
                  <c:v>621721</c:v>
                </c:pt>
                <c:pt idx="347">
                  <c:v>629991</c:v>
                </c:pt>
                <c:pt idx="348">
                  <c:v>637781</c:v>
                </c:pt>
                <c:pt idx="349">
                  <c:v>645081</c:v>
                </c:pt>
                <c:pt idx="350">
                  <c:v>651801</c:v>
                </c:pt>
                <c:pt idx="351">
                  <c:v>658001</c:v>
                </c:pt>
                <c:pt idx="352">
                  <c:v>663741</c:v>
                </c:pt>
                <c:pt idx="353">
                  <c:v>669111</c:v>
                </c:pt>
                <c:pt idx="354">
                  <c:v>674151</c:v>
                </c:pt>
                <c:pt idx="355">
                  <c:v>678881</c:v>
                </c:pt>
                <c:pt idx="356">
                  <c:v>683331</c:v>
                </c:pt>
                <c:pt idx="357">
                  <c:v>687541</c:v>
                </c:pt>
                <c:pt idx="358">
                  <c:v>691541</c:v>
                </c:pt>
                <c:pt idx="359">
                  <c:v>695331</c:v>
                </c:pt>
                <c:pt idx="360">
                  <c:v>698951</c:v>
                </c:pt>
                <c:pt idx="361">
                  <c:v>702411</c:v>
                </c:pt>
                <c:pt idx="362">
                  <c:v>705711</c:v>
                </c:pt>
                <c:pt idx="363">
                  <c:v>708891</c:v>
                </c:pt>
                <c:pt idx="364">
                  <c:v>711941</c:v>
                </c:pt>
                <c:pt idx="365">
                  <c:v>714871</c:v>
                </c:pt>
                <c:pt idx="366">
                  <c:v>717681</c:v>
                </c:pt>
                <c:pt idx="367">
                  <c:v>720411</c:v>
                </c:pt>
                <c:pt idx="368">
                  <c:v>723051</c:v>
                </c:pt>
                <c:pt idx="369">
                  <c:v>725611</c:v>
                </c:pt>
                <c:pt idx="370">
                  <c:v>728101</c:v>
                </c:pt>
                <c:pt idx="371">
                  <c:v>730511</c:v>
                </c:pt>
                <c:pt idx="372">
                  <c:v>732861</c:v>
                </c:pt>
                <c:pt idx="373">
                  <c:v>735151</c:v>
                </c:pt>
                <c:pt idx="374">
                  <c:v>737381</c:v>
                </c:pt>
                <c:pt idx="375">
                  <c:v>739551</c:v>
                </c:pt>
                <c:pt idx="376">
                  <c:v>741671</c:v>
                </c:pt>
                <c:pt idx="377">
                  <c:v>743741</c:v>
                </c:pt>
                <c:pt idx="378">
                  <c:v>745761</c:v>
                </c:pt>
                <c:pt idx="379">
                  <c:v>747741</c:v>
                </c:pt>
                <c:pt idx="380">
                  <c:v>749681</c:v>
                </c:pt>
                <c:pt idx="381">
                  <c:v>751581</c:v>
                </c:pt>
                <c:pt idx="382">
                  <c:v>753431</c:v>
                </c:pt>
                <c:pt idx="383">
                  <c:v>755241</c:v>
                </c:pt>
                <c:pt idx="384">
                  <c:v>756991</c:v>
                </c:pt>
                <c:pt idx="385">
                  <c:v>758701</c:v>
                </c:pt>
                <c:pt idx="386">
                  <c:v>760361</c:v>
                </c:pt>
                <c:pt idx="387">
                  <c:v>761971</c:v>
                </c:pt>
                <c:pt idx="388">
                  <c:v>763541</c:v>
                </c:pt>
                <c:pt idx="389">
                  <c:v>765071</c:v>
                </c:pt>
                <c:pt idx="390">
                  <c:v>766561</c:v>
                </c:pt>
                <c:pt idx="391">
                  <c:v>768021</c:v>
                </c:pt>
                <c:pt idx="392">
                  <c:v>769451</c:v>
                </c:pt>
                <c:pt idx="393">
                  <c:v>770851</c:v>
                </c:pt>
                <c:pt idx="394">
                  <c:v>772221</c:v>
                </c:pt>
                <c:pt idx="395">
                  <c:v>773571</c:v>
                </c:pt>
                <c:pt idx="396">
                  <c:v>774891</c:v>
                </c:pt>
                <c:pt idx="397">
                  <c:v>776191</c:v>
                </c:pt>
                <c:pt idx="398">
                  <c:v>777461</c:v>
                </c:pt>
                <c:pt idx="399">
                  <c:v>778711</c:v>
                </c:pt>
                <c:pt idx="400">
                  <c:v>779941</c:v>
                </c:pt>
                <c:pt idx="401">
                  <c:v>781151</c:v>
                </c:pt>
                <c:pt idx="402">
                  <c:v>782341</c:v>
                </c:pt>
                <c:pt idx="403">
                  <c:v>783511</c:v>
                </c:pt>
                <c:pt idx="404">
                  <c:v>784661</c:v>
                </c:pt>
                <c:pt idx="405">
                  <c:v>785801</c:v>
                </c:pt>
                <c:pt idx="406">
                  <c:v>786921</c:v>
                </c:pt>
                <c:pt idx="407">
                  <c:v>788021</c:v>
                </c:pt>
                <c:pt idx="408">
                  <c:v>789111</c:v>
                </c:pt>
                <c:pt idx="409">
                  <c:v>790181</c:v>
                </c:pt>
                <c:pt idx="410">
                  <c:v>791241</c:v>
                </c:pt>
                <c:pt idx="411">
                  <c:v>792291</c:v>
                </c:pt>
                <c:pt idx="412">
                  <c:v>793321</c:v>
                </c:pt>
                <c:pt idx="413">
                  <c:v>794331</c:v>
                </c:pt>
                <c:pt idx="414">
                  <c:v>795331</c:v>
                </c:pt>
                <c:pt idx="415">
                  <c:v>796325</c:v>
                </c:pt>
                <c:pt idx="416">
                  <c:v>797308</c:v>
                </c:pt>
                <c:pt idx="417">
                  <c:v>798276</c:v>
                </c:pt>
                <c:pt idx="418">
                  <c:v>799234</c:v>
                </c:pt>
                <c:pt idx="419">
                  <c:v>800182</c:v>
                </c:pt>
                <c:pt idx="420">
                  <c:v>801121</c:v>
                </c:pt>
                <c:pt idx="421">
                  <c:v>802055</c:v>
                </c:pt>
                <c:pt idx="422">
                  <c:v>802979</c:v>
                </c:pt>
                <c:pt idx="423">
                  <c:v>803893</c:v>
                </c:pt>
                <c:pt idx="424">
                  <c:v>804802</c:v>
                </c:pt>
                <c:pt idx="425">
                  <c:v>805697</c:v>
                </c:pt>
                <c:pt idx="426">
                  <c:v>806587</c:v>
                </c:pt>
                <c:pt idx="427">
                  <c:v>807463</c:v>
                </c:pt>
                <c:pt idx="428">
                  <c:v>808329</c:v>
                </c:pt>
                <c:pt idx="429">
                  <c:v>809186</c:v>
                </c:pt>
                <c:pt idx="430">
                  <c:v>810038</c:v>
                </c:pt>
                <c:pt idx="431">
                  <c:v>810881</c:v>
                </c:pt>
                <c:pt idx="432">
                  <c:v>811719</c:v>
                </c:pt>
                <c:pt idx="433">
                  <c:v>812548</c:v>
                </c:pt>
                <c:pt idx="434">
                  <c:v>813368</c:v>
                </c:pt>
                <c:pt idx="435">
                  <c:v>814183</c:v>
                </c:pt>
                <c:pt idx="436">
                  <c:v>814994</c:v>
                </c:pt>
                <c:pt idx="437">
                  <c:v>815796</c:v>
                </c:pt>
                <c:pt idx="438">
                  <c:v>816593</c:v>
                </c:pt>
                <c:pt idx="439">
                  <c:v>817390</c:v>
                </c:pt>
                <c:pt idx="440">
                  <c:v>818183</c:v>
                </c:pt>
                <c:pt idx="441">
                  <c:v>818976</c:v>
                </c:pt>
                <c:pt idx="442">
                  <c:v>819764</c:v>
                </c:pt>
                <c:pt idx="443">
                  <c:v>820552</c:v>
                </c:pt>
                <c:pt idx="444">
                  <c:v>821336</c:v>
                </c:pt>
                <c:pt idx="445">
                  <c:v>822115</c:v>
                </c:pt>
                <c:pt idx="446">
                  <c:v>822890</c:v>
                </c:pt>
                <c:pt idx="447">
                  <c:v>823656</c:v>
                </c:pt>
                <c:pt idx="448">
                  <c:v>824422</c:v>
                </c:pt>
                <c:pt idx="449">
                  <c:v>825188</c:v>
                </c:pt>
                <c:pt idx="450">
                  <c:v>825954</c:v>
                </c:pt>
                <c:pt idx="451">
                  <c:v>826716</c:v>
                </c:pt>
                <c:pt idx="452">
                  <c:v>827469</c:v>
                </c:pt>
                <c:pt idx="453">
                  <c:v>828218</c:v>
                </c:pt>
                <c:pt idx="454">
                  <c:v>828958</c:v>
                </c:pt>
                <c:pt idx="455">
                  <c:v>829689</c:v>
                </c:pt>
                <c:pt idx="456">
                  <c:v>830412</c:v>
                </c:pt>
                <c:pt idx="457">
                  <c:v>831126</c:v>
                </c:pt>
                <c:pt idx="458">
                  <c:v>831836</c:v>
                </c:pt>
                <c:pt idx="459">
                  <c:v>832537</c:v>
                </c:pt>
                <c:pt idx="460">
                  <c:v>833230</c:v>
                </c:pt>
                <c:pt idx="461">
                  <c:v>833918</c:v>
                </c:pt>
                <c:pt idx="462">
                  <c:v>834598</c:v>
                </c:pt>
                <c:pt idx="463">
                  <c:v>835278</c:v>
                </c:pt>
                <c:pt idx="464">
                  <c:v>835953</c:v>
                </c:pt>
                <c:pt idx="465">
                  <c:v>836624</c:v>
                </c:pt>
                <c:pt idx="466">
                  <c:v>837291</c:v>
                </c:pt>
                <c:pt idx="467">
                  <c:v>837954</c:v>
                </c:pt>
                <c:pt idx="468">
                  <c:v>838608</c:v>
                </c:pt>
                <c:pt idx="469">
                  <c:v>839254</c:v>
                </c:pt>
                <c:pt idx="470">
                  <c:v>839900</c:v>
                </c:pt>
                <c:pt idx="471">
                  <c:v>840538</c:v>
                </c:pt>
                <c:pt idx="472">
                  <c:v>841168</c:v>
                </c:pt>
                <c:pt idx="473">
                  <c:v>841789</c:v>
                </c:pt>
                <c:pt idx="474">
                  <c:v>842406</c:v>
                </c:pt>
                <c:pt idx="475">
                  <c:v>843019</c:v>
                </c:pt>
                <c:pt idx="476">
                  <c:v>843624</c:v>
                </c:pt>
                <c:pt idx="477">
                  <c:v>844221</c:v>
                </c:pt>
                <c:pt idx="478">
                  <c:v>844814</c:v>
                </c:pt>
                <c:pt idx="479">
                  <c:v>845403</c:v>
                </c:pt>
                <c:pt idx="480">
                  <c:v>845985</c:v>
                </c:pt>
                <c:pt idx="481">
                  <c:v>846567</c:v>
                </c:pt>
                <c:pt idx="482">
                  <c:v>847141</c:v>
                </c:pt>
                <c:pt idx="483">
                  <c:v>847711</c:v>
                </c:pt>
                <c:pt idx="484">
                  <c:v>848277</c:v>
                </c:pt>
                <c:pt idx="485">
                  <c:v>848839</c:v>
                </c:pt>
                <c:pt idx="486">
                  <c:v>849397</c:v>
                </c:pt>
                <c:pt idx="487">
                  <c:v>849948</c:v>
                </c:pt>
                <c:pt idx="488">
                  <c:v>850499</c:v>
                </c:pt>
                <c:pt idx="489">
                  <c:v>851046</c:v>
                </c:pt>
                <c:pt idx="490">
                  <c:v>851589</c:v>
                </c:pt>
                <c:pt idx="491">
                  <c:v>852128</c:v>
                </c:pt>
                <c:pt idx="492">
                  <c:v>852664</c:v>
                </c:pt>
                <c:pt idx="493">
                  <c:v>853200</c:v>
                </c:pt>
                <c:pt idx="494">
                  <c:v>853732</c:v>
                </c:pt>
                <c:pt idx="495">
                  <c:v>854260</c:v>
                </c:pt>
                <c:pt idx="496">
                  <c:v>854781</c:v>
                </c:pt>
                <c:pt idx="497">
                  <c:v>855302</c:v>
                </c:pt>
                <c:pt idx="498">
                  <c:v>855819</c:v>
                </c:pt>
                <c:pt idx="499">
                  <c:v>856333</c:v>
                </c:pt>
                <c:pt idx="500">
                  <c:v>856843</c:v>
                </c:pt>
                <c:pt idx="501">
                  <c:v>857349</c:v>
                </c:pt>
                <c:pt idx="502">
                  <c:v>857852</c:v>
                </c:pt>
                <c:pt idx="503">
                  <c:v>858351</c:v>
                </c:pt>
                <c:pt idx="504">
                  <c:v>858846</c:v>
                </c:pt>
                <c:pt idx="505">
                  <c:v>859338</c:v>
                </c:pt>
                <c:pt idx="506">
                  <c:v>859830</c:v>
                </c:pt>
                <c:pt idx="507">
                  <c:v>860318</c:v>
                </c:pt>
                <c:pt idx="508">
                  <c:v>860803</c:v>
                </c:pt>
                <c:pt idx="509">
                  <c:v>861288</c:v>
                </c:pt>
                <c:pt idx="510">
                  <c:v>861766</c:v>
                </c:pt>
                <c:pt idx="511">
                  <c:v>862244</c:v>
                </c:pt>
                <c:pt idx="512">
                  <c:v>862718</c:v>
                </c:pt>
                <c:pt idx="513">
                  <c:v>863192</c:v>
                </c:pt>
                <c:pt idx="514">
                  <c:v>863666</c:v>
                </c:pt>
                <c:pt idx="515">
                  <c:v>864136</c:v>
                </c:pt>
                <c:pt idx="516">
                  <c:v>864606</c:v>
                </c:pt>
                <c:pt idx="517">
                  <c:v>865076</c:v>
                </c:pt>
                <c:pt idx="518">
                  <c:v>865546</c:v>
                </c:pt>
                <c:pt idx="519">
                  <c:v>866013</c:v>
                </c:pt>
                <c:pt idx="520">
                  <c:v>866476</c:v>
                </c:pt>
                <c:pt idx="521">
                  <c:v>866939</c:v>
                </c:pt>
                <c:pt idx="522">
                  <c:v>867402</c:v>
                </c:pt>
                <c:pt idx="523">
                  <c:v>867865</c:v>
                </c:pt>
                <c:pt idx="524">
                  <c:v>868325</c:v>
                </c:pt>
                <c:pt idx="525">
                  <c:v>868785</c:v>
                </c:pt>
                <c:pt idx="526">
                  <c:v>869245</c:v>
                </c:pt>
                <c:pt idx="527">
                  <c:v>869705</c:v>
                </c:pt>
                <c:pt idx="528">
                  <c:v>870165</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c:ext xmlns:c16="http://schemas.microsoft.com/office/drawing/2014/chart" uri="{C3380CC4-5D6E-409C-BE32-E72D297353CC}">
              <c16:uniqueId val="{00000000-2123-4417-A6C0-AA52D700641A}"/>
            </c:ext>
          </c:extLst>
        </c:ser>
        <c:ser>
          <c:idx val="1"/>
          <c:order val="1"/>
          <c:tx>
            <c:strRef>
              <c:f>Gage_and_Event!$AF$2</c:f>
              <c:strCache>
                <c:ptCount val="1"/>
                <c:pt idx="0">
                  <c:v>Adopted</c:v>
                </c:pt>
              </c:strCache>
            </c:strRef>
          </c:tx>
          <c:spPr>
            <a:ln>
              <a:solidFill>
                <a:srgbClr val="FF0000"/>
              </a:solidFill>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Gage_and_Event!$AF$5:$AF$2000</c:f>
              <c:numCache>
                <c:formatCode>General</c:formatCode>
                <c:ptCount val="1996"/>
                <c:pt idx="0">
                  <c:v>0</c:v>
                </c:pt>
                <c:pt idx="1">
                  <c:v>627.71</c:v>
                </c:pt>
                <c:pt idx="2">
                  <c:v>1254.0700000000002</c:v>
                </c:pt>
                <c:pt idx="3">
                  <c:v>1882.3900000000003</c:v>
                </c:pt>
                <c:pt idx="4">
                  <c:v>2541.9000000000005</c:v>
                </c:pt>
                <c:pt idx="5">
                  <c:v>3244.2200000000007</c:v>
                </c:pt>
                <c:pt idx="6">
                  <c:v>3993.9000000000005</c:v>
                </c:pt>
                <c:pt idx="7">
                  <c:v>4777.55</c:v>
                </c:pt>
                <c:pt idx="8">
                  <c:v>5580.25</c:v>
                </c:pt>
                <c:pt idx="9">
                  <c:v>6393.3</c:v>
                </c:pt>
                <c:pt idx="10">
                  <c:v>7217.4400000000005</c:v>
                </c:pt>
                <c:pt idx="11">
                  <c:v>8054.4900000000007</c:v>
                </c:pt>
                <c:pt idx="12">
                  <c:v>8907.19</c:v>
                </c:pt>
                <c:pt idx="13">
                  <c:v>9784.4700000000012</c:v>
                </c:pt>
                <c:pt idx="14">
                  <c:v>10706.340000000002</c:v>
                </c:pt>
                <c:pt idx="15">
                  <c:v>11656.120000000003</c:v>
                </c:pt>
                <c:pt idx="16">
                  <c:v>12635.860000000002</c:v>
                </c:pt>
                <c:pt idx="17">
                  <c:v>13646.290000000003</c:v>
                </c:pt>
                <c:pt idx="18">
                  <c:v>14671.260000000002</c:v>
                </c:pt>
                <c:pt idx="19">
                  <c:v>15710.440000000002</c:v>
                </c:pt>
                <c:pt idx="20">
                  <c:v>16758.160000000003</c:v>
                </c:pt>
                <c:pt idx="21">
                  <c:v>17812.280000000002</c:v>
                </c:pt>
                <c:pt idx="22">
                  <c:v>18871.710000000003</c:v>
                </c:pt>
                <c:pt idx="23">
                  <c:v>19938.570000000003</c:v>
                </c:pt>
                <c:pt idx="24">
                  <c:v>21007.000000000004</c:v>
                </c:pt>
                <c:pt idx="25">
                  <c:v>22076.380000000005</c:v>
                </c:pt>
                <c:pt idx="26">
                  <c:v>23143.830000000005</c:v>
                </c:pt>
                <c:pt idx="27">
                  <c:v>24210.530000000006</c:v>
                </c:pt>
                <c:pt idx="28">
                  <c:v>25272.950000000004</c:v>
                </c:pt>
                <c:pt idx="29">
                  <c:v>26335.460000000003</c:v>
                </c:pt>
                <c:pt idx="30">
                  <c:v>27398.070000000003</c:v>
                </c:pt>
                <c:pt idx="31">
                  <c:v>28467.110000000004</c:v>
                </c:pt>
                <c:pt idx="32">
                  <c:v>29521.650000000005</c:v>
                </c:pt>
                <c:pt idx="33">
                  <c:v>30576.400000000005</c:v>
                </c:pt>
                <c:pt idx="34">
                  <c:v>31626.560000000005</c:v>
                </c:pt>
                <c:pt idx="35">
                  <c:v>32670.460000000006</c:v>
                </c:pt>
                <c:pt idx="36">
                  <c:v>33710.270000000004</c:v>
                </c:pt>
                <c:pt idx="37">
                  <c:v>34745.22</c:v>
                </c:pt>
                <c:pt idx="38">
                  <c:v>35774.020000000004</c:v>
                </c:pt>
                <c:pt idx="39">
                  <c:v>36796.430000000008</c:v>
                </c:pt>
                <c:pt idx="40">
                  <c:v>37811.430000000008</c:v>
                </c:pt>
                <c:pt idx="41">
                  <c:v>38818.48000000001</c:v>
                </c:pt>
                <c:pt idx="42">
                  <c:v>39818.360000000008</c:v>
                </c:pt>
                <c:pt idx="43">
                  <c:v>40811.080000000009</c:v>
                </c:pt>
                <c:pt idx="44">
                  <c:v>41796.520000000011</c:v>
                </c:pt>
                <c:pt idx="45">
                  <c:v>42774.390000000014</c:v>
                </c:pt>
                <c:pt idx="46">
                  <c:v>43745.530000000013</c:v>
                </c:pt>
                <c:pt idx="47">
                  <c:v>44708.160000000011</c:v>
                </c:pt>
                <c:pt idx="48">
                  <c:v>45669.080000000009</c:v>
                </c:pt>
                <c:pt idx="49">
                  <c:v>46627.210000000006</c:v>
                </c:pt>
                <c:pt idx="50">
                  <c:v>47578.41</c:v>
                </c:pt>
                <c:pt idx="51">
                  <c:v>48524.990000000005</c:v>
                </c:pt>
                <c:pt idx="52">
                  <c:v>49468.270000000004</c:v>
                </c:pt>
                <c:pt idx="53">
                  <c:v>50408.710000000006</c:v>
                </c:pt>
                <c:pt idx="54">
                  <c:v>51346.850000000006</c:v>
                </c:pt>
                <c:pt idx="55">
                  <c:v>52282.19</c:v>
                </c:pt>
                <c:pt idx="56">
                  <c:v>53215.700000000004</c:v>
                </c:pt>
                <c:pt idx="57">
                  <c:v>54146.460000000006</c:v>
                </c:pt>
                <c:pt idx="58">
                  <c:v>55074.450000000004</c:v>
                </c:pt>
                <c:pt idx="59">
                  <c:v>55997.3</c:v>
                </c:pt>
                <c:pt idx="60">
                  <c:v>56913.98</c:v>
                </c:pt>
                <c:pt idx="61">
                  <c:v>57824.36</c:v>
                </c:pt>
                <c:pt idx="62">
                  <c:v>58728.25</c:v>
                </c:pt>
                <c:pt idx="63">
                  <c:v>59625.67</c:v>
                </c:pt>
                <c:pt idx="64">
                  <c:v>60516.99</c:v>
                </c:pt>
                <c:pt idx="65">
                  <c:v>61402.35</c:v>
                </c:pt>
                <c:pt idx="66">
                  <c:v>62281.43</c:v>
                </c:pt>
                <c:pt idx="67">
                  <c:v>63153.64</c:v>
                </c:pt>
                <c:pt idx="68">
                  <c:v>64018.07</c:v>
                </c:pt>
                <c:pt idx="69">
                  <c:v>64874.879999999997</c:v>
                </c:pt>
                <c:pt idx="70">
                  <c:v>65723.459999999992</c:v>
                </c:pt>
                <c:pt idx="71">
                  <c:v>66563.689999999988</c:v>
                </c:pt>
                <c:pt idx="72">
                  <c:v>67396.089999999982</c:v>
                </c:pt>
                <c:pt idx="73">
                  <c:v>68220.419999999984</c:v>
                </c:pt>
                <c:pt idx="74">
                  <c:v>69036.409999999989</c:v>
                </c:pt>
                <c:pt idx="75">
                  <c:v>69844.569999999992</c:v>
                </c:pt>
                <c:pt idx="76">
                  <c:v>70644.939999999988</c:v>
                </c:pt>
                <c:pt idx="77">
                  <c:v>71437.429999999993</c:v>
                </c:pt>
                <c:pt idx="78">
                  <c:v>72221.89</c:v>
                </c:pt>
                <c:pt idx="79">
                  <c:v>72998.63</c:v>
                </c:pt>
                <c:pt idx="80">
                  <c:v>73767.8</c:v>
                </c:pt>
                <c:pt idx="81">
                  <c:v>74529.5</c:v>
                </c:pt>
                <c:pt idx="82">
                  <c:v>75284.83</c:v>
                </c:pt>
                <c:pt idx="83">
                  <c:v>76033.7</c:v>
                </c:pt>
                <c:pt idx="84">
                  <c:v>76775.319999999992</c:v>
                </c:pt>
                <c:pt idx="85">
                  <c:v>77508.999999999985</c:v>
                </c:pt>
                <c:pt idx="86">
                  <c:v>78235.12999999999</c:v>
                </c:pt>
                <c:pt idx="87">
                  <c:v>78954.149999999994</c:v>
                </c:pt>
                <c:pt idx="88">
                  <c:v>79666.409999999989</c:v>
                </c:pt>
                <c:pt idx="89">
                  <c:v>80372.109999999986</c:v>
                </c:pt>
                <c:pt idx="90">
                  <c:v>81074.339999999982</c:v>
                </c:pt>
                <c:pt idx="91">
                  <c:v>81767.109999999986</c:v>
                </c:pt>
                <c:pt idx="92">
                  <c:v>82452.729999999981</c:v>
                </c:pt>
                <c:pt idx="93">
                  <c:v>83132.599999999977</c:v>
                </c:pt>
                <c:pt idx="94">
                  <c:v>83806.229999999981</c:v>
                </c:pt>
                <c:pt idx="95">
                  <c:v>84473.569999999978</c:v>
                </c:pt>
                <c:pt idx="96">
                  <c:v>85135.429999999978</c:v>
                </c:pt>
                <c:pt idx="97">
                  <c:v>85791.479999999981</c:v>
                </c:pt>
                <c:pt idx="98">
                  <c:v>86440.779999999984</c:v>
                </c:pt>
                <c:pt idx="99">
                  <c:v>87083.869999999981</c:v>
                </c:pt>
                <c:pt idx="100">
                  <c:v>87721.359999999986</c:v>
                </c:pt>
                <c:pt idx="101">
                  <c:v>88355.459999999992</c:v>
                </c:pt>
                <c:pt idx="102">
                  <c:v>88982.219999999987</c:v>
                </c:pt>
                <c:pt idx="103">
                  <c:v>89605.339999999982</c:v>
                </c:pt>
                <c:pt idx="104">
                  <c:v>90223.069999999978</c:v>
                </c:pt>
                <c:pt idx="105">
                  <c:v>90830.459999999977</c:v>
                </c:pt>
                <c:pt idx="106">
                  <c:v>91436.499999999971</c:v>
                </c:pt>
                <c:pt idx="107">
                  <c:v>92038.819999999978</c:v>
                </c:pt>
                <c:pt idx="108">
                  <c:v>92633.189999999973</c:v>
                </c:pt>
                <c:pt idx="109">
                  <c:v>93223.409999999974</c:v>
                </c:pt>
                <c:pt idx="110">
                  <c:v>93805.959999999977</c:v>
                </c:pt>
                <c:pt idx="111">
                  <c:v>94387.14999999998</c:v>
                </c:pt>
                <c:pt idx="112">
                  <c:v>94960.919999999984</c:v>
                </c:pt>
                <c:pt idx="113">
                  <c:v>95531.999999999985</c:v>
                </c:pt>
                <c:pt idx="114">
                  <c:v>96096.779999999984</c:v>
                </c:pt>
                <c:pt idx="115">
                  <c:v>96656.329999999987</c:v>
                </c:pt>
                <c:pt idx="116">
                  <c:v>97210.659999999989</c:v>
                </c:pt>
                <c:pt idx="117">
                  <c:v>97759.389999999985</c:v>
                </c:pt>
                <c:pt idx="118">
                  <c:v>98304.889999999985</c:v>
                </c:pt>
                <c:pt idx="119">
                  <c:v>98846.869999999981</c:v>
                </c:pt>
                <c:pt idx="120">
                  <c:v>99382.859999999986</c:v>
                </c:pt>
                <c:pt idx="121">
                  <c:v>99914.739999999991</c:v>
                </c:pt>
                <c:pt idx="122">
                  <c:v>100442.18</c:v>
                </c:pt>
                <c:pt idx="123">
                  <c:v>100966.21999999999</c:v>
                </c:pt>
                <c:pt idx="124">
                  <c:v>101485.32999999999</c:v>
                </c:pt>
                <c:pt idx="125">
                  <c:v>101999.33999999998</c:v>
                </c:pt>
                <c:pt idx="126">
                  <c:v>102507.88999999998</c:v>
                </c:pt>
                <c:pt idx="127">
                  <c:v>103013.75999999998</c:v>
                </c:pt>
                <c:pt idx="128">
                  <c:v>103515.25999999998</c:v>
                </c:pt>
                <c:pt idx="129">
                  <c:v>104012.94999999998</c:v>
                </c:pt>
                <c:pt idx="130">
                  <c:v>104507.00999999998</c:v>
                </c:pt>
                <c:pt idx="131">
                  <c:v>104995.65999999997</c:v>
                </c:pt>
                <c:pt idx="132">
                  <c:v>105481.28999999998</c:v>
                </c:pt>
                <c:pt idx="133">
                  <c:v>105963.19999999998</c:v>
                </c:pt>
                <c:pt idx="134">
                  <c:v>106440.41999999998</c:v>
                </c:pt>
                <c:pt idx="135">
                  <c:v>106914.35999999999</c:v>
                </c:pt>
                <c:pt idx="136">
                  <c:v>107383.49999999999</c:v>
                </c:pt>
                <c:pt idx="137">
                  <c:v>107850.24999999999</c:v>
                </c:pt>
                <c:pt idx="138">
                  <c:v>108312.30999999998</c:v>
                </c:pt>
                <c:pt idx="139">
                  <c:v>108770.44999999998</c:v>
                </c:pt>
                <c:pt idx="140">
                  <c:v>109225.52999999998</c:v>
                </c:pt>
                <c:pt idx="141">
                  <c:v>109675.52999999998</c:v>
                </c:pt>
                <c:pt idx="142">
                  <c:v>110123.24999999999</c:v>
                </c:pt>
                <c:pt idx="143">
                  <c:v>110567.71999999999</c:v>
                </c:pt>
                <c:pt idx="144">
                  <c:v>111009.51999999999</c:v>
                </c:pt>
                <c:pt idx="145">
                  <c:v>111446.46999999999</c:v>
                </c:pt>
                <c:pt idx="146">
                  <c:v>111880.41999999998</c:v>
                </c:pt>
                <c:pt idx="147">
                  <c:v>112310.52999999998</c:v>
                </c:pt>
                <c:pt idx="148">
                  <c:v>112737.04999999999</c:v>
                </c:pt>
                <c:pt idx="149">
                  <c:v>113160.18999999999</c:v>
                </c:pt>
                <c:pt idx="150">
                  <c:v>113579.98999999999</c:v>
                </c:pt>
                <c:pt idx="151">
                  <c:v>113996.31</c:v>
                </c:pt>
                <c:pt idx="152">
                  <c:v>114409.94</c:v>
                </c:pt>
                <c:pt idx="153">
                  <c:v>114821.29000000001</c:v>
                </c:pt>
                <c:pt idx="154">
                  <c:v>115229.57</c:v>
                </c:pt>
                <c:pt idx="155">
                  <c:v>115634.64000000001</c:v>
                </c:pt>
                <c:pt idx="156">
                  <c:v>116038.40000000001</c:v>
                </c:pt>
                <c:pt idx="157">
                  <c:v>116505.58</c:v>
                </c:pt>
                <c:pt idx="158">
                  <c:v>117029.57</c:v>
                </c:pt>
                <c:pt idx="159">
                  <c:v>117699.68000000001</c:v>
                </c:pt>
                <c:pt idx="160">
                  <c:v>118484.71</c:v>
                </c:pt>
                <c:pt idx="161">
                  <c:v>119198.87000000001</c:v>
                </c:pt>
                <c:pt idx="162">
                  <c:v>119855.04000000001</c:v>
                </c:pt>
                <c:pt idx="163">
                  <c:v>120553.49</c:v>
                </c:pt>
                <c:pt idx="164">
                  <c:v>121354.96</c:v>
                </c:pt>
                <c:pt idx="165">
                  <c:v>122264.38</c:v>
                </c:pt>
                <c:pt idx="166">
                  <c:v>123225.62000000001</c:v>
                </c:pt>
                <c:pt idx="167">
                  <c:v>124123.18000000001</c:v>
                </c:pt>
                <c:pt idx="168">
                  <c:v>124964.20000000001</c:v>
                </c:pt>
                <c:pt idx="169">
                  <c:v>125781.58000000002</c:v>
                </c:pt>
                <c:pt idx="170">
                  <c:v>126551.46000000002</c:v>
                </c:pt>
                <c:pt idx="171">
                  <c:v>127309.13000000002</c:v>
                </c:pt>
                <c:pt idx="172">
                  <c:v>128052.07000000002</c:v>
                </c:pt>
                <c:pt idx="173">
                  <c:v>128786.11000000002</c:v>
                </c:pt>
                <c:pt idx="174">
                  <c:v>129615.28000000001</c:v>
                </c:pt>
                <c:pt idx="175">
                  <c:v>130325.79000000001</c:v>
                </c:pt>
                <c:pt idx="176">
                  <c:v>131025.03000000001</c:v>
                </c:pt>
                <c:pt idx="177">
                  <c:v>131717.6</c:v>
                </c:pt>
                <c:pt idx="178">
                  <c:v>132398.55000000002</c:v>
                </c:pt>
                <c:pt idx="179">
                  <c:v>133064.07</c:v>
                </c:pt>
                <c:pt idx="180">
                  <c:v>133715.6</c:v>
                </c:pt>
                <c:pt idx="181">
                  <c:v>134362.98000000001</c:v>
                </c:pt>
                <c:pt idx="182">
                  <c:v>134994.30000000002</c:v>
                </c:pt>
                <c:pt idx="183">
                  <c:v>135614.91</c:v>
                </c:pt>
                <c:pt idx="184">
                  <c:v>136229.45000000001</c:v>
                </c:pt>
                <c:pt idx="185">
                  <c:v>136832</c:v>
                </c:pt>
                <c:pt idx="186">
                  <c:v>137426.03</c:v>
                </c:pt>
                <c:pt idx="187">
                  <c:v>138014.44</c:v>
                </c:pt>
                <c:pt idx="188">
                  <c:v>138592.20000000001</c:v>
                </c:pt>
                <c:pt idx="189">
                  <c:v>139162</c:v>
                </c:pt>
                <c:pt idx="190">
                  <c:v>139723.82999999999</c:v>
                </c:pt>
                <c:pt idx="191">
                  <c:v>140277.81</c:v>
                </c:pt>
                <c:pt idx="192">
                  <c:v>140825.1</c:v>
                </c:pt>
                <c:pt idx="193">
                  <c:v>141359.96</c:v>
                </c:pt>
                <c:pt idx="194">
                  <c:v>141893.81</c:v>
                </c:pt>
                <c:pt idx="195">
                  <c:v>142423.97</c:v>
                </c:pt>
                <c:pt idx="196">
                  <c:v>142953.71</c:v>
                </c:pt>
                <c:pt idx="197">
                  <c:v>143479.54999999999</c:v>
                </c:pt>
                <c:pt idx="198">
                  <c:v>143998.44</c:v>
                </c:pt>
                <c:pt idx="199">
                  <c:v>144511.43</c:v>
                </c:pt>
                <c:pt idx="200">
                  <c:v>145020.62</c:v>
                </c:pt>
                <c:pt idx="201">
                  <c:v>145525.19</c:v>
                </c:pt>
                <c:pt idx="202">
                  <c:v>146025.29999999999</c:v>
                </c:pt>
                <c:pt idx="203">
                  <c:v>146521.57999999999</c:v>
                </c:pt>
                <c:pt idx="204">
                  <c:v>147013.72999999998</c:v>
                </c:pt>
                <c:pt idx="205">
                  <c:v>147500.87</c:v>
                </c:pt>
                <c:pt idx="206">
                  <c:v>147984.03</c:v>
                </c:pt>
                <c:pt idx="207">
                  <c:v>148462.12</c:v>
                </c:pt>
                <c:pt idx="208">
                  <c:v>148935.72</c:v>
                </c:pt>
                <c:pt idx="209">
                  <c:v>149404.66</c:v>
                </c:pt>
                <c:pt idx="210">
                  <c:v>149868.76999999999</c:v>
                </c:pt>
                <c:pt idx="211">
                  <c:v>150327.57999999999</c:v>
                </c:pt>
                <c:pt idx="212">
                  <c:v>150780.82999999999</c:v>
                </c:pt>
                <c:pt idx="213">
                  <c:v>151228.65999999997</c:v>
                </c:pt>
                <c:pt idx="214">
                  <c:v>151670.75999999998</c:v>
                </c:pt>
                <c:pt idx="215">
                  <c:v>152108.36999999997</c:v>
                </c:pt>
                <c:pt idx="216">
                  <c:v>152540.83999999997</c:v>
                </c:pt>
                <c:pt idx="217">
                  <c:v>152968.39999999997</c:v>
                </c:pt>
                <c:pt idx="218">
                  <c:v>153390.80999999997</c:v>
                </c:pt>
                <c:pt idx="219">
                  <c:v>153820.62999999998</c:v>
                </c:pt>
                <c:pt idx="220">
                  <c:v>154261.78999999998</c:v>
                </c:pt>
                <c:pt idx="221">
                  <c:v>154714.79999999999</c:v>
                </c:pt>
                <c:pt idx="222">
                  <c:v>155173.96</c:v>
                </c:pt>
                <c:pt idx="223">
                  <c:v>155630.21</c:v>
                </c:pt>
                <c:pt idx="224">
                  <c:v>156087.13</c:v>
                </c:pt>
                <c:pt idx="225">
                  <c:v>156542.87</c:v>
                </c:pt>
                <c:pt idx="226">
                  <c:v>156996.60999999999</c:v>
                </c:pt>
                <c:pt idx="227">
                  <c:v>157445.09</c:v>
                </c:pt>
                <c:pt idx="228">
                  <c:v>157890.82999999999</c:v>
                </c:pt>
                <c:pt idx="229">
                  <c:v>158342.12</c:v>
                </c:pt>
                <c:pt idx="230">
                  <c:v>158791.41999999998</c:v>
                </c:pt>
                <c:pt idx="231">
                  <c:v>159235.47999999998</c:v>
                </c:pt>
                <c:pt idx="232">
                  <c:v>159677.26999999999</c:v>
                </c:pt>
                <c:pt idx="233">
                  <c:v>160120.10999999999</c:v>
                </c:pt>
                <c:pt idx="234">
                  <c:v>160564.31</c:v>
                </c:pt>
                <c:pt idx="235">
                  <c:v>161009.91</c:v>
                </c:pt>
                <c:pt idx="236">
                  <c:v>161456.72</c:v>
                </c:pt>
                <c:pt idx="237">
                  <c:v>161899.56</c:v>
                </c:pt>
                <c:pt idx="238">
                  <c:v>162341.21</c:v>
                </c:pt>
                <c:pt idx="239">
                  <c:v>162780.01999999999</c:v>
                </c:pt>
                <c:pt idx="240">
                  <c:v>163216.25999999998</c:v>
                </c:pt>
                <c:pt idx="241">
                  <c:v>163648.41999999998</c:v>
                </c:pt>
                <c:pt idx="242">
                  <c:v>164078.81</c:v>
                </c:pt>
                <c:pt idx="243">
                  <c:v>164508.25</c:v>
                </c:pt>
                <c:pt idx="244">
                  <c:v>164936.18</c:v>
                </c:pt>
                <c:pt idx="245">
                  <c:v>165362.22999999998</c:v>
                </c:pt>
                <c:pt idx="246">
                  <c:v>165785.88999999998</c:v>
                </c:pt>
                <c:pt idx="247">
                  <c:v>166207.09999999998</c:v>
                </c:pt>
                <c:pt idx="248">
                  <c:v>166625.44999999998</c:v>
                </c:pt>
                <c:pt idx="249">
                  <c:v>167041.84999999998</c:v>
                </c:pt>
                <c:pt idx="250">
                  <c:v>167456.45999999996</c:v>
                </c:pt>
                <c:pt idx="251">
                  <c:v>167867.62999999998</c:v>
                </c:pt>
                <c:pt idx="252">
                  <c:v>168275.61</c:v>
                </c:pt>
                <c:pt idx="253">
                  <c:v>168680.37</c:v>
                </c:pt>
                <c:pt idx="254">
                  <c:v>169080.82</c:v>
                </c:pt>
                <c:pt idx="255">
                  <c:v>169479.08000000002</c:v>
                </c:pt>
                <c:pt idx="256">
                  <c:v>169875.29</c:v>
                </c:pt>
                <c:pt idx="257">
                  <c:v>170267.63</c:v>
                </c:pt>
                <c:pt idx="258">
                  <c:v>170656.72</c:v>
                </c:pt>
                <c:pt idx="259">
                  <c:v>171042.73</c:v>
                </c:pt>
                <c:pt idx="260">
                  <c:v>171425.73</c:v>
                </c:pt>
                <c:pt idx="261">
                  <c:v>171806.28</c:v>
                </c:pt>
                <c:pt idx="262">
                  <c:v>172184.99</c:v>
                </c:pt>
                <c:pt idx="263">
                  <c:v>172561.28</c:v>
                </c:pt>
                <c:pt idx="264">
                  <c:v>172934.05</c:v>
                </c:pt>
                <c:pt idx="265">
                  <c:v>173303.08</c:v>
                </c:pt>
                <c:pt idx="266">
                  <c:v>173668.24</c:v>
                </c:pt>
                <c:pt idx="267">
                  <c:v>174030.46</c:v>
                </c:pt>
                <c:pt idx="268">
                  <c:v>174389.00999999998</c:v>
                </c:pt>
                <c:pt idx="269">
                  <c:v>174745.63999999998</c:v>
                </c:pt>
                <c:pt idx="270">
                  <c:v>175099.38999999998</c:v>
                </c:pt>
                <c:pt idx="271">
                  <c:v>175450.34999999998</c:v>
                </c:pt>
                <c:pt idx="272">
                  <c:v>175798.50999999998</c:v>
                </c:pt>
                <c:pt idx="273">
                  <c:v>176143.71</c:v>
                </c:pt>
                <c:pt idx="274">
                  <c:v>176486</c:v>
                </c:pt>
                <c:pt idx="275">
                  <c:v>176825.48</c:v>
                </c:pt>
                <c:pt idx="276">
                  <c:v>177162.25</c:v>
                </c:pt>
                <c:pt idx="277">
                  <c:v>177496.3</c:v>
                </c:pt>
                <c:pt idx="278">
                  <c:v>177827.65999999997</c:v>
                </c:pt>
                <c:pt idx="279">
                  <c:v>178156.61999999997</c:v>
                </c:pt>
                <c:pt idx="280">
                  <c:v>178483.45999999996</c:v>
                </c:pt>
                <c:pt idx="281">
                  <c:v>178807.65999999997</c:v>
                </c:pt>
                <c:pt idx="282">
                  <c:v>179129.8</c:v>
                </c:pt>
                <c:pt idx="283">
                  <c:v>179449.58</c:v>
                </c:pt>
                <c:pt idx="284">
                  <c:v>179767.28999999998</c:v>
                </c:pt>
                <c:pt idx="285">
                  <c:v>180082.65999999997</c:v>
                </c:pt>
                <c:pt idx="286">
                  <c:v>180395.36999999997</c:v>
                </c:pt>
                <c:pt idx="287">
                  <c:v>180705.36999999997</c:v>
                </c:pt>
                <c:pt idx="288">
                  <c:v>181013.34999999998</c:v>
                </c:pt>
                <c:pt idx="289">
                  <c:v>181319.84999999998</c:v>
                </c:pt>
                <c:pt idx="290">
                  <c:v>181623.77</c:v>
                </c:pt>
                <c:pt idx="291">
                  <c:v>181925.47</c:v>
                </c:pt>
                <c:pt idx="292">
                  <c:v>182225.12</c:v>
                </c:pt>
                <c:pt idx="293">
                  <c:v>182522.86</c:v>
                </c:pt>
                <c:pt idx="294">
                  <c:v>182818.68999999997</c:v>
                </c:pt>
                <c:pt idx="295">
                  <c:v>183112.63999999998</c:v>
                </c:pt>
                <c:pt idx="296">
                  <c:v>183404.74</c:v>
                </c:pt>
                <c:pt idx="297">
                  <c:v>183695.00999999998</c:v>
                </c:pt>
                <c:pt idx="298">
                  <c:v>183983.52</c:v>
                </c:pt>
                <c:pt idx="299">
                  <c:v>184270.28</c:v>
                </c:pt>
                <c:pt idx="300">
                  <c:v>184560.34</c:v>
                </c:pt>
                <c:pt idx="301">
                  <c:v>184843.66</c:v>
                </c:pt>
                <c:pt idx="302">
                  <c:v>185124.97</c:v>
                </c:pt>
                <c:pt idx="303">
                  <c:v>185404.59</c:v>
                </c:pt>
                <c:pt idx="304">
                  <c:v>185682.63</c:v>
                </c:pt>
                <c:pt idx="305">
                  <c:v>185967.36000000002</c:v>
                </c:pt>
                <c:pt idx="306">
                  <c:v>186293.12000000002</c:v>
                </c:pt>
                <c:pt idx="307">
                  <c:v>186687.77000000002</c:v>
                </c:pt>
                <c:pt idx="308">
                  <c:v>187215.82</c:v>
                </c:pt>
                <c:pt idx="309">
                  <c:v>187999.58000000002</c:v>
                </c:pt>
                <c:pt idx="310">
                  <c:v>189088.58000000002</c:v>
                </c:pt>
                <c:pt idx="311">
                  <c:v>191094.21000000002</c:v>
                </c:pt>
                <c:pt idx="312">
                  <c:v>194151.16000000003</c:v>
                </c:pt>
                <c:pt idx="313">
                  <c:v>200044.90000000002</c:v>
                </c:pt>
                <c:pt idx="314">
                  <c:v>211640.97000000003</c:v>
                </c:pt>
                <c:pt idx="315">
                  <c:v>227429.35000000003</c:v>
                </c:pt>
                <c:pt idx="316">
                  <c:v>247530.89000000004</c:v>
                </c:pt>
                <c:pt idx="317">
                  <c:v>268617.38000000006</c:v>
                </c:pt>
                <c:pt idx="318">
                  <c:v>287288.79000000004</c:v>
                </c:pt>
                <c:pt idx="319">
                  <c:v>304112.02</c:v>
                </c:pt>
                <c:pt idx="320">
                  <c:v>318476.02</c:v>
                </c:pt>
                <c:pt idx="321">
                  <c:v>331142.55000000005</c:v>
                </c:pt>
                <c:pt idx="322">
                  <c:v>342350.69000000006</c:v>
                </c:pt>
                <c:pt idx="323">
                  <c:v>353813.67000000004</c:v>
                </c:pt>
                <c:pt idx="324">
                  <c:v>363715.81000000006</c:v>
                </c:pt>
                <c:pt idx="325">
                  <c:v>373386.07000000007</c:v>
                </c:pt>
                <c:pt idx="326">
                  <c:v>383255.57000000007</c:v>
                </c:pt>
                <c:pt idx="327">
                  <c:v>392705.61000000004</c:v>
                </c:pt>
                <c:pt idx="328">
                  <c:v>402442.34</c:v>
                </c:pt>
                <c:pt idx="329">
                  <c:v>411892.60000000003</c:v>
                </c:pt>
                <c:pt idx="330">
                  <c:v>421700.18000000005</c:v>
                </c:pt>
                <c:pt idx="331">
                  <c:v>431586.60000000003</c:v>
                </c:pt>
                <c:pt idx="332">
                  <c:v>442005.75000000006</c:v>
                </c:pt>
                <c:pt idx="333">
                  <c:v>452597.81000000006</c:v>
                </c:pt>
                <c:pt idx="334">
                  <c:v>463168.74000000005</c:v>
                </c:pt>
                <c:pt idx="335">
                  <c:v>473793.37000000005</c:v>
                </c:pt>
                <c:pt idx="336">
                  <c:v>483759.50000000006</c:v>
                </c:pt>
                <c:pt idx="337">
                  <c:v>493574.90000000008</c:v>
                </c:pt>
                <c:pt idx="338">
                  <c:v>502881.0400000001</c:v>
                </c:pt>
                <c:pt idx="339">
                  <c:v>511749.0500000001</c:v>
                </c:pt>
                <c:pt idx="340">
                  <c:v>520177.10000000009</c:v>
                </c:pt>
                <c:pt idx="341">
                  <c:v>528142.8600000001</c:v>
                </c:pt>
                <c:pt idx="342">
                  <c:v>535716.87000000011</c:v>
                </c:pt>
                <c:pt idx="343">
                  <c:v>542924.16000000015</c:v>
                </c:pt>
                <c:pt idx="344">
                  <c:v>549771.8600000001</c:v>
                </c:pt>
                <c:pt idx="345">
                  <c:v>556215.27000000014</c:v>
                </c:pt>
                <c:pt idx="346">
                  <c:v>562404.81000000017</c:v>
                </c:pt>
                <c:pt idx="347">
                  <c:v>568330.61000000022</c:v>
                </c:pt>
                <c:pt idx="348">
                  <c:v>573978.54000000027</c:v>
                </c:pt>
                <c:pt idx="349">
                  <c:v>579301.3200000003</c:v>
                </c:pt>
                <c:pt idx="350">
                  <c:v>584404.76000000024</c:v>
                </c:pt>
                <c:pt idx="351">
                  <c:v>589259.30000000028</c:v>
                </c:pt>
                <c:pt idx="352">
                  <c:v>593888.39000000025</c:v>
                </c:pt>
                <c:pt idx="353">
                  <c:v>598302.93000000028</c:v>
                </c:pt>
                <c:pt idx="354">
                  <c:v>602472.3200000003</c:v>
                </c:pt>
                <c:pt idx="355">
                  <c:v>606447.97000000032</c:v>
                </c:pt>
                <c:pt idx="356">
                  <c:v>610262.08000000031</c:v>
                </c:pt>
                <c:pt idx="357">
                  <c:v>613924.13000000035</c:v>
                </c:pt>
                <c:pt idx="358">
                  <c:v>617474.64000000036</c:v>
                </c:pt>
                <c:pt idx="359">
                  <c:v>620884.15000000037</c:v>
                </c:pt>
                <c:pt idx="360">
                  <c:v>624207.64000000036</c:v>
                </c:pt>
                <c:pt idx="361">
                  <c:v>627394.46000000031</c:v>
                </c:pt>
                <c:pt idx="362">
                  <c:v>630493.19000000029</c:v>
                </c:pt>
                <c:pt idx="363">
                  <c:v>633493.01000000024</c:v>
                </c:pt>
                <c:pt idx="364">
                  <c:v>636427.9700000002</c:v>
                </c:pt>
                <c:pt idx="365">
                  <c:v>639269.2100000002</c:v>
                </c:pt>
                <c:pt idx="366">
                  <c:v>642052.37000000023</c:v>
                </c:pt>
                <c:pt idx="367">
                  <c:v>644758.80000000028</c:v>
                </c:pt>
                <c:pt idx="368">
                  <c:v>647397.41000000027</c:v>
                </c:pt>
                <c:pt idx="369">
                  <c:v>649979.83000000031</c:v>
                </c:pt>
                <c:pt idx="370">
                  <c:v>652507.79000000027</c:v>
                </c:pt>
                <c:pt idx="371">
                  <c:v>654981.90000000026</c:v>
                </c:pt>
                <c:pt idx="372">
                  <c:v>657412.36000000022</c:v>
                </c:pt>
                <c:pt idx="373">
                  <c:v>659795.07000000018</c:v>
                </c:pt>
                <c:pt idx="374">
                  <c:v>662108.74000000022</c:v>
                </c:pt>
                <c:pt idx="375">
                  <c:v>664382.7100000002</c:v>
                </c:pt>
                <c:pt idx="376">
                  <c:v>666607.64000000025</c:v>
                </c:pt>
                <c:pt idx="377">
                  <c:v>668807.44000000029</c:v>
                </c:pt>
                <c:pt idx="378">
                  <c:v>670953.87000000034</c:v>
                </c:pt>
                <c:pt idx="379">
                  <c:v>673053.91000000038</c:v>
                </c:pt>
                <c:pt idx="380">
                  <c:v>675122.95000000042</c:v>
                </c:pt>
                <c:pt idx="381">
                  <c:v>677143.59000000043</c:v>
                </c:pt>
                <c:pt idx="382">
                  <c:v>679129.26000000047</c:v>
                </c:pt>
                <c:pt idx="383">
                  <c:v>681099.99000000046</c:v>
                </c:pt>
                <c:pt idx="384">
                  <c:v>683034.99000000046</c:v>
                </c:pt>
                <c:pt idx="385">
                  <c:v>684937.60000000044</c:v>
                </c:pt>
                <c:pt idx="386">
                  <c:v>686821.12000000046</c:v>
                </c:pt>
                <c:pt idx="387">
                  <c:v>688662.05000000051</c:v>
                </c:pt>
                <c:pt idx="388">
                  <c:v>690478.94000000053</c:v>
                </c:pt>
                <c:pt idx="389">
                  <c:v>692254.5400000005</c:v>
                </c:pt>
                <c:pt idx="390">
                  <c:v>694019.1600000005</c:v>
                </c:pt>
                <c:pt idx="391">
                  <c:v>695763.17000000051</c:v>
                </c:pt>
                <c:pt idx="392">
                  <c:v>697472.98000000056</c:v>
                </c:pt>
                <c:pt idx="393">
                  <c:v>699156.18000000052</c:v>
                </c:pt>
                <c:pt idx="394">
                  <c:v>700832.27000000048</c:v>
                </c:pt>
                <c:pt idx="395">
                  <c:v>702478.94000000053</c:v>
                </c:pt>
                <c:pt idx="396">
                  <c:v>704103.85000000056</c:v>
                </c:pt>
                <c:pt idx="397">
                  <c:v>705707.42000000051</c:v>
                </c:pt>
                <c:pt idx="398">
                  <c:v>707292.12000000046</c:v>
                </c:pt>
                <c:pt idx="399">
                  <c:v>708859.95000000042</c:v>
                </c:pt>
                <c:pt idx="400">
                  <c:v>710406.79000000039</c:v>
                </c:pt>
                <c:pt idx="401">
                  <c:v>711941.17000000039</c:v>
                </c:pt>
                <c:pt idx="402">
                  <c:v>713453.06000000041</c:v>
                </c:pt>
                <c:pt idx="403">
                  <c:v>714941.81000000041</c:v>
                </c:pt>
                <c:pt idx="404">
                  <c:v>716423.28000000038</c:v>
                </c:pt>
                <c:pt idx="405">
                  <c:v>717885.69000000041</c:v>
                </c:pt>
                <c:pt idx="406">
                  <c:v>719333.32000000041</c:v>
                </c:pt>
                <c:pt idx="407">
                  <c:v>720769.14000000036</c:v>
                </c:pt>
                <c:pt idx="408">
                  <c:v>722185.07000000041</c:v>
                </c:pt>
                <c:pt idx="409">
                  <c:v>723584.98000000045</c:v>
                </c:pt>
                <c:pt idx="410">
                  <c:v>724978.15000000049</c:v>
                </c:pt>
                <c:pt idx="411">
                  <c:v>726351.46000000054</c:v>
                </c:pt>
                <c:pt idx="412">
                  <c:v>727710.48000000056</c:v>
                </c:pt>
                <c:pt idx="413">
                  <c:v>729058.26000000059</c:v>
                </c:pt>
                <c:pt idx="414">
                  <c:v>730381.19000000064</c:v>
                </c:pt>
                <c:pt idx="415">
                  <c:v>731702.79000000062</c:v>
                </c:pt>
                <c:pt idx="416">
                  <c:v>732993.41000000061</c:v>
                </c:pt>
                <c:pt idx="417">
                  <c:v>734280.38000000059</c:v>
                </c:pt>
                <c:pt idx="418">
                  <c:v>735545.16000000061</c:v>
                </c:pt>
                <c:pt idx="419">
                  <c:v>736813.13000000059</c:v>
                </c:pt>
                <c:pt idx="420">
                  <c:v>738057.8900000006</c:v>
                </c:pt>
                <c:pt idx="421">
                  <c:v>739286.96000000054</c:v>
                </c:pt>
                <c:pt idx="422">
                  <c:v>740503.6400000006</c:v>
                </c:pt>
                <c:pt idx="423">
                  <c:v>741713.5200000006</c:v>
                </c:pt>
                <c:pt idx="424">
                  <c:v>742911.35000000056</c:v>
                </c:pt>
                <c:pt idx="425">
                  <c:v>744083.40000000061</c:v>
                </c:pt>
                <c:pt idx="426">
                  <c:v>745271.18000000063</c:v>
                </c:pt>
                <c:pt idx="427">
                  <c:v>746435.51000000059</c:v>
                </c:pt>
                <c:pt idx="428">
                  <c:v>747586.74000000057</c:v>
                </c:pt>
                <c:pt idx="429">
                  <c:v>748716.15000000061</c:v>
                </c:pt>
                <c:pt idx="430">
                  <c:v>749840.45000000065</c:v>
                </c:pt>
                <c:pt idx="431">
                  <c:v>750953.90000000061</c:v>
                </c:pt>
                <c:pt idx="432">
                  <c:v>752058.55000000063</c:v>
                </c:pt>
                <c:pt idx="433">
                  <c:v>753156.08000000066</c:v>
                </c:pt>
                <c:pt idx="434">
                  <c:v>754245.84000000067</c:v>
                </c:pt>
                <c:pt idx="435">
                  <c:v>755320.64000000071</c:v>
                </c:pt>
                <c:pt idx="436">
                  <c:v>756391.30000000075</c:v>
                </c:pt>
                <c:pt idx="437">
                  <c:v>757441.21000000078</c:v>
                </c:pt>
                <c:pt idx="438">
                  <c:v>758494.17000000074</c:v>
                </c:pt>
                <c:pt idx="439">
                  <c:v>759531.79000000074</c:v>
                </c:pt>
                <c:pt idx="440">
                  <c:v>760562.31000000075</c:v>
                </c:pt>
                <c:pt idx="441">
                  <c:v>761588.57000000076</c:v>
                </c:pt>
                <c:pt idx="442">
                  <c:v>762601.43000000075</c:v>
                </c:pt>
                <c:pt idx="443">
                  <c:v>763608.0000000007</c:v>
                </c:pt>
                <c:pt idx="444">
                  <c:v>764601.54000000074</c:v>
                </c:pt>
                <c:pt idx="445">
                  <c:v>765580.79000000074</c:v>
                </c:pt>
                <c:pt idx="446">
                  <c:v>766561.30000000075</c:v>
                </c:pt>
                <c:pt idx="447">
                  <c:v>767527.7300000008</c:v>
                </c:pt>
                <c:pt idx="448">
                  <c:v>768489.09000000078</c:v>
                </c:pt>
                <c:pt idx="449">
                  <c:v>769440.92000000074</c:v>
                </c:pt>
                <c:pt idx="450">
                  <c:v>770382.74000000069</c:v>
                </c:pt>
                <c:pt idx="451">
                  <c:v>771317.7500000007</c:v>
                </c:pt>
                <c:pt idx="452">
                  <c:v>772247.79000000074</c:v>
                </c:pt>
                <c:pt idx="453">
                  <c:v>773168.8800000007</c:v>
                </c:pt>
                <c:pt idx="454">
                  <c:v>774080.49000000069</c:v>
                </c:pt>
                <c:pt idx="455">
                  <c:v>774982.64000000071</c:v>
                </c:pt>
                <c:pt idx="456">
                  <c:v>775878.39000000071</c:v>
                </c:pt>
                <c:pt idx="457">
                  <c:v>776768.84000000067</c:v>
                </c:pt>
                <c:pt idx="458">
                  <c:v>777652.57000000065</c:v>
                </c:pt>
                <c:pt idx="459">
                  <c:v>778531.3900000006</c:v>
                </c:pt>
                <c:pt idx="460">
                  <c:v>779403.16000000061</c:v>
                </c:pt>
                <c:pt idx="461">
                  <c:v>780264.28000000061</c:v>
                </c:pt>
                <c:pt idx="462">
                  <c:v>781117.44000000064</c:v>
                </c:pt>
                <c:pt idx="463">
                  <c:v>781963.44000000064</c:v>
                </c:pt>
                <c:pt idx="464">
                  <c:v>782801.69000000064</c:v>
                </c:pt>
                <c:pt idx="465">
                  <c:v>783630.04000000062</c:v>
                </c:pt>
                <c:pt idx="466">
                  <c:v>784454.80000000063</c:v>
                </c:pt>
                <c:pt idx="467">
                  <c:v>785270.01000000059</c:v>
                </c:pt>
                <c:pt idx="468">
                  <c:v>786080.37000000058</c:v>
                </c:pt>
                <c:pt idx="469">
                  <c:v>786884.06000000052</c:v>
                </c:pt>
                <c:pt idx="470">
                  <c:v>787681.34000000055</c:v>
                </c:pt>
                <c:pt idx="471">
                  <c:v>788474.85000000056</c:v>
                </c:pt>
                <c:pt idx="472">
                  <c:v>789264.06000000052</c:v>
                </c:pt>
                <c:pt idx="473">
                  <c:v>790046.42000000051</c:v>
                </c:pt>
                <c:pt idx="474">
                  <c:v>790820.77000000048</c:v>
                </c:pt>
                <c:pt idx="475">
                  <c:v>791587.73000000045</c:v>
                </c:pt>
                <c:pt idx="476">
                  <c:v>792348.02000000048</c:v>
                </c:pt>
                <c:pt idx="477">
                  <c:v>793101.86000000045</c:v>
                </c:pt>
                <c:pt idx="478">
                  <c:v>793849.36000000045</c:v>
                </c:pt>
                <c:pt idx="479">
                  <c:v>794590.70000000042</c:v>
                </c:pt>
                <c:pt idx="480">
                  <c:v>795326.22000000044</c:v>
                </c:pt>
                <c:pt idx="481">
                  <c:v>796056.11000000045</c:v>
                </c:pt>
                <c:pt idx="482">
                  <c:v>796780.44000000041</c:v>
                </c:pt>
                <c:pt idx="483">
                  <c:v>797499.20000000042</c:v>
                </c:pt>
                <c:pt idx="484">
                  <c:v>798214.16000000038</c:v>
                </c:pt>
                <c:pt idx="485">
                  <c:v>798922.26000000036</c:v>
                </c:pt>
                <c:pt idx="486">
                  <c:v>799624.88000000035</c:v>
                </c:pt>
                <c:pt idx="487">
                  <c:v>800322.24000000034</c:v>
                </c:pt>
                <c:pt idx="488">
                  <c:v>801014.28000000038</c:v>
                </c:pt>
                <c:pt idx="489">
                  <c:v>801700.83000000042</c:v>
                </c:pt>
                <c:pt idx="490">
                  <c:v>802382.08000000042</c:v>
                </c:pt>
                <c:pt idx="491">
                  <c:v>803058.28000000038</c:v>
                </c:pt>
                <c:pt idx="492">
                  <c:v>803729.67000000039</c:v>
                </c:pt>
                <c:pt idx="493">
                  <c:v>804395.90000000037</c:v>
                </c:pt>
                <c:pt idx="494">
                  <c:v>805056.84000000032</c:v>
                </c:pt>
                <c:pt idx="495">
                  <c:v>805712.29000000027</c:v>
                </c:pt>
                <c:pt idx="496">
                  <c:v>806362.58000000031</c:v>
                </c:pt>
                <c:pt idx="497">
                  <c:v>807007.84000000032</c:v>
                </c:pt>
                <c:pt idx="498">
                  <c:v>807647.90000000037</c:v>
                </c:pt>
                <c:pt idx="499">
                  <c:v>808282.83000000042</c:v>
                </c:pt>
                <c:pt idx="500">
                  <c:v>808910.4300000004</c:v>
                </c:pt>
                <c:pt idx="501">
                  <c:v>809534.71000000043</c:v>
                </c:pt>
                <c:pt idx="502">
                  <c:v>810155.17000000039</c:v>
                </c:pt>
                <c:pt idx="503">
                  <c:v>810770.71000000043</c:v>
                </c:pt>
                <c:pt idx="504">
                  <c:v>811381.39000000048</c:v>
                </c:pt>
                <c:pt idx="505">
                  <c:v>811987.55000000051</c:v>
                </c:pt>
                <c:pt idx="506">
                  <c:v>812588.96000000054</c:v>
                </c:pt>
                <c:pt idx="507">
                  <c:v>813185.44000000053</c:v>
                </c:pt>
                <c:pt idx="508">
                  <c:v>813777.32000000053</c:v>
                </c:pt>
                <c:pt idx="509">
                  <c:v>814370.00000000058</c:v>
                </c:pt>
                <c:pt idx="510">
                  <c:v>814953.20000000054</c:v>
                </c:pt>
                <c:pt idx="511">
                  <c:v>815532.24000000057</c:v>
                </c:pt>
                <c:pt idx="512">
                  <c:v>816106.48000000056</c:v>
                </c:pt>
                <c:pt idx="513">
                  <c:v>816675.42000000051</c:v>
                </c:pt>
                <c:pt idx="514">
                  <c:v>817238.53000000049</c:v>
                </c:pt>
                <c:pt idx="515">
                  <c:v>817803.31000000052</c:v>
                </c:pt>
                <c:pt idx="516">
                  <c:v>818360.77000000048</c:v>
                </c:pt>
                <c:pt idx="517">
                  <c:v>818917.63000000047</c:v>
                </c:pt>
                <c:pt idx="518">
                  <c:v>819470.00000000047</c:v>
                </c:pt>
                <c:pt idx="519">
                  <c:v>820014.7900000005</c:v>
                </c:pt>
                <c:pt idx="520">
                  <c:v>820556.34000000055</c:v>
                </c:pt>
                <c:pt idx="521">
                  <c:v>821095.98000000056</c:v>
                </c:pt>
                <c:pt idx="522">
                  <c:v>821631.5200000006</c:v>
                </c:pt>
                <c:pt idx="523">
                  <c:v>822159.93000000063</c:v>
                </c:pt>
                <c:pt idx="524">
                  <c:v>822682.15000000061</c:v>
                </c:pt>
                <c:pt idx="525">
                  <c:v>823203.31000000064</c:v>
                </c:pt>
                <c:pt idx="526">
                  <c:v>823719.35000000068</c:v>
                </c:pt>
                <c:pt idx="527">
                  <c:v>824230.36000000068</c:v>
                </c:pt>
                <c:pt idx="528">
                  <c:v>824738.71000000066</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c:ext xmlns:c16="http://schemas.microsoft.com/office/drawing/2014/chart" uri="{C3380CC4-5D6E-409C-BE32-E72D297353CC}">
              <c16:uniqueId val="{00000001-2123-4417-A6C0-AA52D700641A}"/>
            </c:ext>
          </c:extLst>
        </c:ser>
        <c:dLbls>
          <c:showLegendKey val="0"/>
          <c:showVal val="0"/>
          <c:showCatName val="0"/>
          <c:showSerName val="0"/>
          <c:showPercent val="0"/>
          <c:showBubbleSize val="0"/>
        </c:dLbls>
        <c:axId val="744806656"/>
        <c:axId val="744811360"/>
        <c:extLst>
          <c:ext xmlns:c15="http://schemas.microsoft.com/office/drawing/2012/chart" uri="{02D57815-91ED-43cb-92C2-25804820EDAC}">
            <c15:filteredScatterSeries>
              <c15:ser>
                <c:idx val="2"/>
                <c:order val="2"/>
                <c:tx>
                  <c:strRef>
                    <c:extLst>
                      <c:ext uri="{02D57815-91ED-43cb-92C2-25804820EDAC}">
                        <c15:formulaRef>
                          <c15:sqref>Gage_and_Event!$AG$2</c15:sqref>
                        </c15:formulaRef>
                      </c:ext>
                    </c:extLst>
                    <c:strCache>
                      <c:ptCount val="1"/>
                      <c:pt idx="0">
                        <c:v>Trial 1</c:v>
                      </c:pt>
                    </c:strCache>
                  </c:strRef>
                </c:tx>
                <c:spPr>
                  <a:ln w="15875">
                    <a:solidFill>
                      <a:schemeClr val="accent2"/>
                    </a:solidFill>
                  </a:ln>
                </c:spPr>
                <c:marker>
                  <c:symbol val="none"/>
                </c:marker>
                <c:xVal>
                  <c:numRef>
                    <c:extLst>
                      <c:ex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c:ext uri="{02D57815-91ED-43cb-92C2-25804820EDAC}">
                        <c15:formulaRef>
                          <c15:sqref>Gage_and_Event!$AG$5:$AG$2000</c15:sqref>
                        </c15:formulaRef>
                      </c:ext>
                    </c:extLst>
                    <c:numCache>
                      <c:formatCode>General</c:formatCode>
                      <c:ptCount val="1996"/>
                      <c:pt idx="0" formatCod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c:ext xmlns:c16="http://schemas.microsoft.com/office/drawing/2014/chart" uri="{C3380CC4-5D6E-409C-BE32-E72D297353CC}">
                    <c16:uniqueId val="{00000002-2123-4417-A6C0-AA52D700641A}"/>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Gage_and_Event!$AH$2</c15:sqref>
                        </c15:formulaRef>
                      </c:ext>
                    </c:extLst>
                    <c:strCache>
                      <c:ptCount val="1"/>
                      <c:pt idx="0">
                        <c:v>Trial 2</c:v>
                      </c:pt>
                    </c:strCache>
                  </c:strRef>
                </c:tx>
                <c:spPr>
                  <a:ln w="15875">
                    <a:solidFill>
                      <a:srgbClr val="7030A0"/>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Gage_and_Event!$AH$5:$AH$2000</c15:sqref>
                        </c15:formulaRef>
                      </c:ext>
                    </c:extLst>
                    <c:numCache>
                      <c:formatCode>General</c:formatCode>
                      <c:ptCount val="1996"/>
                      <c:pt idx="0" formatCod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xmlns:c15="http://schemas.microsoft.com/office/drawing/2012/chart">
                  <c:ext xmlns:c16="http://schemas.microsoft.com/office/drawing/2014/chart" uri="{C3380CC4-5D6E-409C-BE32-E72D297353CC}">
                    <c16:uniqueId val="{00000003-2123-4417-A6C0-AA52D700641A}"/>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Gage_and_Event!$AI$2</c15:sqref>
                        </c15:formulaRef>
                      </c:ext>
                    </c:extLst>
                    <c:strCache>
                      <c:ptCount val="1"/>
                      <c:pt idx="0">
                        <c:v>Trial 3</c:v>
                      </c:pt>
                    </c:strCache>
                  </c:strRef>
                </c:tx>
                <c:spPr>
                  <a:ln w="15875">
                    <a:solidFill>
                      <a:schemeClr val="accent4"/>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Gage_and_Event!$AI$5:$AI$2000</c15:sqref>
                        </c15:formulaRef>
                      </c:ext>
                    </c:extLst>
                    <c:numCache>
                      <c:formatCode>General</c:formatCode>
                      <c:ptCount val="1996"/>
                      <c:pt idx="0" formatCod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xmlns:c15="http://schemas.microsoft.com/office/drawing/2012/chart">
                  <c:ext xmlns:c16="http://schemas.microsoft.com/office/drawing/2014/chart" uri="{C3380CC4-5D6E-409C-BE32-E72D297353CC}">
                    <c16:uniqueId val="{00000004-2123-4417-A6C0-AA52D700641A}"/>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Gage_and_Event!$AJ$2</c15:sqref>
                        </c15:formulaRef>
                      </c:ext>
                    </c:extLst>
                    <c:strCache>
                      <c:ptCount val="1"/>
                      <c:pt idx="0">
                        <c:v>Trail 4</c:v>
                      </c:pt>
                    </c:strCache>
                  </c:strRef>
                </c:tx>
                <c:spPr>
                  <a:ln w="15875">
                    <a:solidFill>
                      <a:schemeClr val="accent5"/>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Gage_and_Event!$AJ$5:$AJ$2000</c15:sqref>
                        </c15:formulaRef>
                      </c:ext>
                    </c:extLst>
                    <c:numCache>
                      <c:formatCode>General</c:formatCode>
                      <c:ptCount val="1996"/>
                      <c:pt idx="0" formatCod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xmlns:c15="http://schemas.microsoft.com/office/drawing/2012/chart">
                  <c:ext xmlns:c16="http://schemas.microsoft.com/office/drawing/2014/chart" uri="{C3380CC4-5D6E-409C-BE32-E72D297353CC}">
                    <c16:uniqueId val="{00000005-2123-4417-A6C0-AA52D700641A}"/>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Gage_and_Event!$AK$2</c15:sqref>
                        </c15:formulaRef>
                      </c:ext>
                    </c:extLst>
                    <c:strCache>
                      <c:ptCount val="1"/>
                      <c:pt idx="0">
                        <c:v>Trial 5</c:v>
                      </c:pt>
                    </c:strCache>
                  </c:strRef>
                </c:tx>
                <c:spPr>
                  <a:ln w="15875">
                    <a:solidFill>
                      <a:schemeClr val="accent6"/>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Gage_and_Event!$AK$5:$AK$2000</c15:sqref>
                        </c15:formulaRef>
                      </c:ext>
                    </c:extLst>
                    <c:numCache>
                      <c:formatCode>General</c:formatCode>
                      <c:ptCount val="1996"/>
                      <c:pt idx="0" formatCod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xmlns:c15="http://schemas.microsoft.com/office/drawing/2012/chart">
                  <c:ext xmlns:c16="http://schemas.microsoft.com/office/drawing/2014/chart" uri="{C3380CC4-5D6E-409C-BE32-E72D297353CC}">
                    <c16:uniqueId val="{00000006-2123-4417-A6C0-AA52D700641A}"/>
                  </c:ext>
                </c:extLst>
              </c15:ser>
            </c15:filteredScatterSeries>
          </c:ext>
        </c:extLst>
      </c:scatterChart>
      <c:valAx>
        <c:axId val="744806656"/>
        <c:scaling>
          <c:orientation val="minMax"/>
        </c:scaling>
        <c:delete val="0"/>
        <c:axPos val="b"/>
        <c:majorGridlines/>
        <c:numFmt formatCode="m/d/yyyy" sourceLinked="0"/>
        <c:majorTickMark val="out"/>
        <c:minorTickMark val="none"/>
        <c:tickLblPos val="nextTo"/>
        <c:txPr>
          <a:bodyPr rot="0"/>
          <a:lstStyle/>
          <a:p>
            <a:pPr>
              <a:defRPr/>
            </a:pPr>
            <a:endParaRPr lang="en-US"/>
          </a:p>
        </c:txPr>
        <c:crossAx val="744811360"/>
        <c:crosses val="autoZero"/>
        <c:crossBetween val="midCat"/>
        <c:majorUnit val="6"/>
        <c:minorUnit val="0.5"/>
      </c:valAx>
      <c:valAx>
        <c:axId val="744811360"/>
        <c:scaling>
          <c:orientation val="minMax"/>
        </c:scaling>
        <c:delete val="0"/>
        <c:axPos val="l"/>
        <c:majorGridlines/>
        <c:title>
          <c:tx>
            <c:rich>
              <a:bodyPr rot="-5400000" vert="horz"/>
              <a:lstStyle/>
              <a:p>
                <a:pPr>
                  <a:defRPr/>
                </a:pPr>
                <a:r>
                  <a:rPr lang="en-US"/>
                  <a:t>Flow Accumulation (CFS)</a:t>
                </a:r>
              </a:p>
            </c:rich>
          </c:tx>
          <c:overlay val="0"/>
        </c:title>
        <c:numFmt formatCode="#,##0" sourceLinked="0"/>
        <c:majorTickMark val="out"/>
        <c:minorTickMark val="none"/>
        <c:tickLblPos val="nextTo"/>
        <c:crossAx val="744806656"/>
        <c:crosses val="autoZero"/>
        <c:crossBetween val="midCat"/>
      </c:valAx>
    </c:plotArea>
    <c:legend>
      <c:legendPos val="b"/>
      <c:overlay val="0"/>
    </c:legend>
    <c:plotVisOnly val="1"/>
    <c:dispBlanksAs val="gap"/>
    <c:showDLblsOverMax val="0"/>
  </c:chart>
  <c:spPr>
    <a:ln>
      <a:noFill/>
    </a:ln>
  </c:spPr>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5039071820567885E-2"/>
          <c:y val="3.6377145672922502E-2"/>
          <c:w val="0.87825638272488671"/>
          <c:h val="0.80263459675474025"/>
        </c:manualLayout>
      </c:layout>
      <c:scatterChart>
        <c:scatterStyle val="lineMarker"/>
        <c:varyColors val="0"/>
        <c:ser>
          <c:idx val="0"/>
          <c:order val="0"/>
          <c:tx>
            <c:strRef>
              <c:f>Gage_and_Event!$P$2</c:f>
              <c:strCache>
                <c:ptCount val="1"/>
                <c:pt idx="0">
                  <c:v>Observed</c:v>
                </c:pt>
              </c:strCache>
            </c:strRef>
          </c:tx>
          <c:spPr>
            <a:ln w="19050">
              <a:solidFill>
                <a:schemeClr val="tx1">
                  <a:lumMod val="75000"/>
                  <a:lumOff val="25000"/>
                </a:schemeClr>
              </a:solidFill>
              <a:prstDash val="dash"/>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Gage_and_Event!$P$5:$P$2000</c:f>
              <c:numCache>
                <c:formatCode>General</c:formatCode>
                <c:ptCount val="1996"/>
                <c:pt idx="1">
                  <c:v>1532.35</c:v>
                </c:pt>
                <c:pt idx="2">
                  <c:v>1532.37</c:v>
                </c:pt>
                <c:pt idx="3">
                  <c:v>1532.38</c:v>
                </c:pt>
                <c:pt idx="4">
                  <c:v>1532.41</c:v>
                </c:pt>
                <c:pt idx="5">
                  <c:v>1532.43</c:v>
                </c:pt>
                <c:pt idx="6">
                  <c:v>1532.47</c:v>
                </c:pt>
                <c:pt idx="7">
                  <c:v>1532.58</c:v>
                </c:pt>
                <c:pt idx="8">
                  <c:v>1532.72</c:v>
                </c:pt>
                <c:pt idx="9">
                  <c:v>1532.87</c:v>
                </c:pt>
                <c:pt idx="10">
                  <c:v>1532.98</c:v>
                </c:pt>
                <c:pt idx="11">
                  <c:v>1533.02</c:v>
                </c:pt>
                <c:pt idx="12">
                  <c:v>1533.05</c:v>
                </c:pt>
                <c:pt idx="13">
                  <c:v>1533.09</c:v>
                </c:pt>
                <c:pt idx="14">
                  <c:v>1533.15</c:v>
                </c:pt>
                <c:pt idx="15">
                  <c:v>1533.19</c:v>
                </c:pt>
                <c:pt idx="16">
                  <c:v>1533.23</c:v>
                </c:pt>
                <c:pt idx="17">
                  <c:v>1533.26</c:v>
                </c:pt>
                <c:pt idx="18">
                  <c:v>1533.27</c:v>
                </c:pt>
                <c:pt idx="19">
                  <c:v>1533.27</c:v>
                </c:pt>
                <c:pt idx="20">
                  <c:v>1533.25</c:v>
                </c:pt>
                <c:pt idx="21">
                  <c:v>1533.23</c:v>
                </c:pt>
                <c:pt idx="22">
                  <c:v>1533.23</c:v>
                </c:pt>
                <c:pt idx="23">
                  <c:v>1533.21</c:v>
                </c:pt>
                <c:pt idx="24">
                  <c:v>1533.19</c:v>
                </c:pt>
                <c:pt idx="25">
                  <c:v>1533.18</c:v>
                </c:pt>
                <c:pt idx="26">
                  <c:v>1533.16</c:v>
                </c:pt>
                <c:pt idx="27">
                  <c:v>1533.15</c:v>
                </c:pt>
                <c:pt idx="28">
                  <c:v>1533.14</c:v>
                </c:pt>
                <c:pt idx="29">
                  <c:v>1533.11</c:v>
                </c:pt>
                <c:pt idx="30">
                  <c:v>1533.09</c:v>
                </c:pt>
                <c:pt idx="31">
                  <c:v>1533.05</c:v>
                </c:pt>
                <c:pt idx="32">
                  <c:v>1533.01</c:v>
                </c:pt>
                <c:pt idx="33">
                  <c:v>1532.97</c:v>
                </c:pt>
                <c:pt idx="34">
                  <c:v>1532.93</c:v>
                </c:pt>
                <c:pt idx="35">
                  <c:v>1532.88</c:v>
                </c:pt>
                <c:pt idx="36">
                  <c:v>1532.84</c:v>
                </c:pt>
                <c:pt idx="37">
                  <c:v>1532.79</c:v>
                </c:pt>
                <c:pt idx="38">
                  <c:v>1532.75</c:v>
                </c:pt>
                <c:pt idx="39">
                  <c:v>1532.71</c:v>
                </c:pt>
                <c:pt idx="40">
                  <c:v>1532.67</c:v>
                </c:pt>
                <c:pt idx="41">
                  <c:v>1532.62</c:v>
                </c:pt>
                <c:pt idx="42">
                  <c:v>1532.58</c:v>
                </c:pt>
                <c:pt idx="43">
                  <c:v>1532.53</c:v>
                </c:pt>
                <c:pt idx="44">
                  <c:v>1532.49</c:v>
                </c:pt>
                <c:pt idx="45">
                  <c:v>1532.45</c:v>
                </c:pt>
                <c:pt idx="46">
                  <c:v>1532.41</c:v>
                </c:pt>
                <c:pt idx="47">
                  <c:v>1532.37</c:v>
                </c:pt>
                <c:pt idx="48">
                  <c:v>1532.33</c:v>
                </c:pt>
                <c:pt idx="49">
                  <c:v>1532.29</c:v>
                </c:pt>
                <c:pt idx="50">
                  <c:v>1532.25</c:v>
                </c:pt>
                <c:pt idx="51">
                  <c:v>1532.21</c:v>
                </c:pt>
                <c:pt idx="52">
                  <c:v>1532.17</c:v>
                </c:pt>
                <c:pt idx="53">
                  <c:v>1532.13</c:v>
                </c:pt>
                <c:pt idx="54">
                  <c:v>1532.09</c:v>
                </c:pt>
                <c:pt idx="55">
                  <c:v>1532.06</c:v>
                </c:pt>
                <c:pt idx="56">
                  <c:v>1532.03</c:v>
                </c:pt>
                <c:pt idx="57">
                  <c:v>1531.99</c:v>
                </c:pt>
                <c:pt idx="58">
                  <c:v>1531.97</c:v>
                </c:pt>
                <c:pt idx="59">
                  <c:v>1531.93</c:v>
                </c:pt>
                <c:pt idx="60">
                  <c:v>1531.89</c:v>
                </c:pt>
                <c:pt idx="61">
                  <c:v>1531.85</c:v>
                </c:pt>
                <c:pt idx="62">
                  <c:v>1531.82</c:v>
                </c:pt>
                <c:pt idx="63">
                  <c:v>1531.79</c:v>
                </c:pt>
                <c:pt idx="64">
                  <c:v>1531.76</c:v>
                </c:pt>
                <c:pt idx="65">
                  <c:v>1531.73</c:v>
                </c:pt>
                <c:pt idx="66">
                  <c:v>1531.7</c:v>
                </c:pt>
                <c:pt idx="67">
                  <c:v>1531.67</c:v>
                </c:pt>
                <c:pt idx="68">
                  <c:v>1531.65</c:v>
                </c:pt>
                <c:pt idx="69">
                  <c:v>1531.62</c:v>
                </c:pt>
                <c:pt idx="70">
                  <c:v>1531.59</c:v>
                </c:pt>
                <c:pt idx="71">
                  <c:v>1531.57</c:v>
                </c:pt>
                <c:pt idx="72">
                  <c:v>1531.55</c:v>
                </c:pt>
                <c:pt idx="73">
                  <c:v>1531.52</c:v>
                </c:pt>
                <c:pt idx="74">
                  <c:v>1531.49</c:v>
                </c:pt>
                <c:pt idx="75">
                  <c:v>1531.47</c:v>
                </c:pt>
                <c:pt idx="76">
                  <c:v>1531.45</c:v>
                </c:pt>
                <c:pt idx="77">
                  <c:v>1531.43</c:v>
                </c:pt>
                <c:pt idx="78">
                  <c:v>1531.4</c:v>
                </c:pt>
                <c:pt idx="79">
                  <c:v>1531.38</c:v>
                </c:pt>
                <c:pt idx="80">
                  <c:v>1531.35</c:v>
                </c:pt>
                <c:pt idx="81">
                  <c:v>1531.34</c:v>
                </c:pt>
                <c:pt idx="82">
                  <c:v>1531.32</c:v>
                </c:pt>
                <c:pt idx="83">
                  <c:v>1531.3</c:v>
                </c:pt>
                <c:pt idx="84">
                  <c:v>1531.28</c:v>
                </c:pt>
                <c:pt idx="85">
                  <c:v>1531.27</c:v>
                </c:pt>
                <c:pt idx="86">
                  <c:v>1531.25</c:v>
                </c:pt>
                <c:pt idx="87">
                  <c:v>1531.23</c:v>
                </c:pt>
                <c:pt idx="88">
                  <c:v>1531.22</c:v>
                </c:pt>
                <c:pt idx="89">
                  <c:v>1531.2</c:v>
                </c:pt>
                <c:pt idx="90">
                  <c:v>1531.19</c:v>
                </c:pt>
                <c:pt idx="91">
                  <c:v>1531.17</c:v>
                </c:pt>
                <c:pt idx="92">
                  <c:v>1531.15</c:v>
                </c:pt>
                <c:pt idx="93">
                  <c:v>1531.13</c:v>
                </c:pt>
                <c:pt idx="94">
                  <c:v>1531.11</c:v>
                </c:pt>
                <c:pt idx="95">
                  <c:v>1531.11</c:v>
                </c:pt>
                <c:pt idx="96">
                  <c:v>1531.09</c:v>
                </c:pt>
                <c:pt idx="97">
                  <c:v>1531.07</c:v>
                </c:pt>
                <c:pt idx="98">
                  <c:v>1531.06</c:v>
                </c:pt>
                <c:pt idx="99">
                  <c:v>1531.05</c:v>
                </c:pt>
                <c:pt idx="100">
                  <c:v>1531.03</c:v>
                </c:pt>
                <c:pt idx="101">
                  <c:v>1531.02</c:v>
                </c:pt>
                <c:pt idx="102">
                  <c:v>1531.01</c:v>
                </c:pt>
                <c:pt idx="103">
                  <c:v>1530.99</c:v>
                </c:pt>
                <c:pt idx="104">
                  <c:v>1530.98</c:v>
                </c:pt>
                <c:pt idx="105">
                  <c:v>1530.96</c:v>
                </c:pt>
                <c:pt idx="106">
                  <c:v>1530.95</c:v>
                </c:pt>
                <c:pt idx="107">
                  <c:v>1530.94</c:v>
                </c:pt>
                <c:pt idx="108">
                  <c:v>1530.93</c:v>
                </c:pt>
                <c:pt idx="109">
                  <c:v>1530.91</c:v>
                </c:pt>
                <c:pt idx="110">
                  <c:v>1530.91</c:v>
                </c:pt>
                <c:pt idx="111">
                  <c:v>1530.9</c:v>
                </c:pt>
                <c:pt idx="112">
                  <c:v>1530.89</c:v>
                </c:pt>
                <c:pt idx="113">
                  <c:v>1530.87</c:v>
                </c:pt>
                <c:pt idx="114">
                  <c:v>1530.87</c:v>
                </c:pt>
                <c:pt idx="115">
                  <c:v>1530.86</c:v>
                </c:pt>
                <c:pt idx="116">
                  <c:v>1530.85</c:v>
                </c:pt>
                <c:pt idx="117">
                  <c:v>1530.84</c:v>
                </c:pt>
                <c:pt idx="118">
                  <c:v>1530.83</c:v>
                </c:pt>
                <c:pt idx="119">
                  <c:v>1530.82</c:v>
                </c:pt>
                <c:pt idx="120">
                  <c:v>1530.81</c:v>
                </c:pt>
                <c:pt idx="121">
                  <c:v>1530.8</c:v>
                </c:pt>
                <c:pt idx="122">
                  <c:v>1530.79</c:v>
                </c:pt>
                <c:pt idx="123">
                  <c:v>1530.79</c:v>
                </c:pt>
                <c:pt idx="124">
                  <c:v>1530.78</c:v>
                </c:pt>
                <c:pt idx="125">
                  <c:v>1530.77</c:v>
                </c:pt>
                <c:pt idx="126">
                  <c:v>1530.77</c:v>
                </c:pt>
                <c:pt idx="127">
                  <c:v>1530.76</c:v>
                </c:pt>
                <c:pt idx="128">
                  <c:v>1530.75</c:v>
                </c:pt>
                <c:pt idx="129">
                  <c:v>1530.74</c:v>
                </c:pt>
                <c:pt idx="130">
                  <c:v>1530.73</c:v>
                </c:pt>
                <c:pt idx="131">
                  <c:v>1530.73</c:v>
                </c:pt>
                <c:pt idx="132">
                  <c:v>1530.72</c:v>
                </c:pt>
                <c:pt idx="133">
                  <c:v>1530.71</c:v>
                </c:pt>
                <c:pt idx="134">
                  <c:v>1530.71</c:v>
                </c:pt>
                <c:pt idx="135">
                  <c:v>1530.71</c:v>
                </c:pt>
                <c:pt idx="136">
                  <c:v>1530.7</c:v>
                </c:pt>
                <c:pt idx="137">
                  <c:v>1530.69</c:v>
                </c:pt>
                <c:pt idx="138">
                  <c:v>1530.69</c:v>
                </c:pt>
                <c:pt idx="139">
                  <c:v>1530.68</c:v>
                </c:pt>
                <c:pt idx="140">
                  <c:v>1530.68</c:v>
                </c:pt>
                <c:pt idx="141">
                  <c:v>1530.67</c:v>
                </c:pt>
                <c:pt idx="142">
                  <c:v>1530.67</c:v>
                </c:pt>
                <c:pt idx="143">
                  <c:v>1530.66</c:v>
                </c:pt>
                <c:pt idx="144">
                  <c:v>1530.65</c:v>
                </c:pt>
                <c:pt idx="145">
                  <c:v>1530.65</c:v>
                </c:pt>
                <c:pt idx="146">
                  <c:v>1530.64</c:v>
                </c:pt>
                <c:pt idx="147">
                  <c:v>1530.63</c:v>
                </c:pt>
                <c:pt idx="148">
                  <c:v>1530.63</c:v>
                </c:pt>
                <c:pt idx="149">
                  <c:v>1530.62</c:v>
                </c:pt>
                <c:pt idx="150">
                  <c:v>1530.61</c:v>
                </c:pt>
                <c:pt idx="151">
                  <c:v>1530.61</c:v>
                </c:pt>
                <c:pt idx="152">
                  <c:v>1530.61</c:v>
                </c:pt>
                <c:pt idx="153">
                  <c:v>1530.62</c:v>
                </c:pt>
                <c:pt idx="154">
                  <c:v>1530.62</c:v>
                </c:pt>
                <c:pt idx="155">
                  <c:v>1530.63</c:v>
                </c:pt>
                <c:pt idx="156">
                  <c:v>1530.63</c:v>
                </c:pt>
                <c:pt idx="157">
                  <c:v>1530.69</c:v>
                </c:pt>
                <c:pt idx="158">
                  <c:v>1530.75</c:v>
                </c:pt>
                <c:pt idx="159">
                  <c:v>1530.8</c:v>
                </c:pt>
                <c:pt idx="160">
                  <c:v>1531.04</c:v>
                </c:pt>
                <c:pt idx="161">
                  <c:v>1531.34</c:v>
                </c:pt>
                <c:pt idx="162">
                  <c:v>1531.47</c:v>
                </c:pt>
                <c:pt idx="163">
                  <c:v>1531.51</c:v>
                </c:pt>
                <c:pt idx="164">
                  <c:v>1531.58</c:v>
                </c:pt>
                <c:pt idx="165">
                  <c:v>1531.65</c:v>
                </c:pt>
                <c:pt idx="166">
                  <c:v>1531.83</c:v>
                </c:pt>
                <c:pt idx="167">
                  <c:v>1531.87</c:v>
                </c:pt>
                <c:pt idx="168">
                  <c:v>1531.86</c:v>
                </c:pt>
                <c:pt idx="169">
                  <c:v>1531.88</c:v>
                </c:pt>
                <c:pt idx="170">
                  <c:v>1531.91</c:v>
                </c:pt>
                <c:pt idx="171">
                  <c:v>1531.93</c:v>
                </c:pt>
                <c:pt idx="172">
                  <c:v>1531.93</c:v>
                </c:pt>
                <c:pt idx="173">
                  <c:v>1531.91</c:v>
                </c:pt>
                <c:pt idx="174">
                  <c:v>1531.89</c:v>
                </c:pt>
                <c:pt idx="175">
                  <c:v>1531.87</c:v>
                </c:pt>
                <c:pt idx="176">
                  <c:v>1531.85</c:v>
                </c:pt>
                <c:pt idx="177">
                  <c:v>1531.83</c:v>
                </c:pt>
                <c:pt idx="178">
                  <c:v>1531.81</c:v>
                </c:pt>
                <c:pt idx="179">
                  <c:v>1531.79</c:v>
                </c:pt>
                <c:pt idx="180">
                  <c:v>1531.77</c:v>
                </c:pt>
                <c:pt idx="181">
                  <c:v>1531.74</c:v>
                </c:pt>
                <c:pt idx="182">
                  <c:v>1531.71</c:v>
                </c:pt>
                <c:pt idx="183">
                  <c:v>1531.69</c:v>
                </c:pt>
                <c:pt idx="184">
                  <c:v>1531.66</c:v>
                </c:pt>
                <c:pt idx="185">
                  <c:v>1531.63</c:v>
                </c:pt>
                <c:pt idx="186">
                  <c:v>1531.63</c:v>
                </c:pt>
                <c:pt idx="187">
                  <c:v>1531.62</c:v>
                </c:pt>
                <c:pt idx="188">
                  <c:v>1531.6</c:v>
                </c:pt>
                <c:pt idx="189">
                  <c:v>1531.59</c:v>
                </c:pt>
                <c:pt idx="190">
                  <c:v>1531.57</c:v>
                </c:pt>
                <c:pt idx="191">
                  <c:v>1531.55</c:v>
                </c:pt>
                <c:pt idx="192">
                  <c:v>1531.52</c:v>
                </c:pt>
                <c:pt idx="193">
                  <c:v>1531.5</c:v>
                </c:pt>
                <c:pt idx="194">
                  <c:v>1531.47</c:v>
                </c:pt>
                <c:pt idx="195">
                  <c:v>1531.45</c:v>
                </c:pt>
                <c:pt idx="196">
                  <c:v>1531.43</c:v>
                </c:pt>
                <c:pt idx="197">
                  <c:v>1531.4</c:v>
                </c:pt>
                <c:pt idx="198">
                  <c:v>1531.38</c:v>
                </c:pt>
                <c:pt idx="199">
                  <c:v>1531.36</c:v>
                </c:pt>
                <c:pt idx="200">
                  <c:v>1531.34</c:v>
                </c:pt>
                <c:pt idx="201">
                  <c:v>1531.32</c:v>
                </c:pt>
                <c:pt idx="202">
                  <c:v>1531.31</c:v>
                </c:pt>
                <c:pt idx="203">
                  <c:v>1531.29</c:v>
                </c:pt>
                <c:pt idx="204">
                  <c:v>1531.27</c:v>
                </c:pt>
                <c:pt idx="205">
                  <c:v>1531.25</c:v>
                </c:pt>
                <c:pt idx="206">
                  <c:v>1531.23</c:v>
                </c:pt>
                <c:pt idx="207">
                  <c:v>1531.22</c:v>
                </c:pt>
                <c:pt idx="208">
                  <c:v>1531.21</c:v>
                </c:pt>
                <c:pt idx="209">
                  <c:v>1531.19</c:v>
                </c:pt>
                <c:pt idx="210">
                  <c:v>1531.18</c:v>
                </c:pt>
                <c:pt idx="211">
                  <c:v>1531.16</c:v>
                </c:pt>
                <c:pt idx="212">
                  <c:v>1531.15</c:v>
                </c:pt>
                <c:pt idx="213">
                  <c:v>1531.14</c:v>
                </c:pt>
                <c:pt idx="214">
                  <c:v>1531.12</c:v>
                </c:pt>
                <c:pt idx="215">
                  <c:v>1531.11</c:v>
                </c:pt>
                <c:pt idx="216">
                  <c:v>1531.1</c:v>
                </c:pt>
                <c:pt idx="217">
                  <c:v>1531.09</c:v>
                </c:pt>
                <c:pt idx="218">
                  <c:v>1531.08</c:v>
                </c:pt>
                <c:pt idx="219">
                  <c:v>1531.07</c:v>
                </c:pt>
                <c:pt idx="220">
                  <c:v>1531.07</c:v>
                </c:pt>
                <c:pt idx="221">
                  <c:v>1531.07</c:v>
                </c:pt>
                <c:pt idx="222">
                  <c:v>1531.07</c:v>
                </c:pt>
                <c:pt idx="223">
                  <c:v>1531.07</c:v>
                </c:pt>
                <c:pt idx="224">
                  <c:v>1531.07</c:v>
                </c:pt>
                <c:pt idx="225">
                  <c:v>1531.06</c:v>
                </c:pt>
                <c:pt idx="226">
                  <c:v>1531.06</c:v>
                </c:pt>
                <c:pt idx="227">
                  <c:v>1531.06</c:v>
                </c:pt>
                <c:pt idx="228">
                  <c:v>1531.05</c:v>
                </c:pt>
                <c:pt idx="229">
                  <c:v>1531.05</c:v>
                </c:pt>
                <c:pt idx="230">
                  <c:v>1531.05</c:v>
                </c:pt>
                <c:pt idx="231">
                  <c:v>1531.05</c:v>
                </c:pt>
                <c:pt idx="232">
                  <c:v>1531.05</c:v>
                </c:pt>
                <c:pt idx="233">
                  <c:v>1531.05</c:v>
                </c:pt>
                <c:pt idx="234">
                  <c:v>1531.05</c:v>
                </c:pt>
                <c:pt idx="235">
                  <c:v>1531.05</c:v>
                </c:pt>
                <c:pt idx="236">
                  <c:v>1531.05</c:v>
                </c:pt>
                <c:pt idx="237">
                  <c:v>1531.04</c:v>
                </c:pt>
                <c:pt idx="238">
                  <c:v>1531.03</c:v>
                </c:pt>
                <c:pt idx="239">
                  <c:v>1531.02</c:v>
                </c:pt>
                <c:pt idx="240">
                  <c:v>1531.01</c:v>
                </c:pt>
                <c:pt idx="241">
                  <c:v>1531</c:v>
                </c:pt>
                <c:pt idx="242">
                  <c:v>1530.99</c:v>
                </c:pt>
                <c:pt idx="243">
                  <c:v>1530.99</c:v>
                </c:pt>
                <c:pt idx="244">
                  <c:v>1530.97</c:v>
                </c:pt>
                <c:pt idx="245">
                  <c:v>1530.97</c:v>
                </c:pt>
                <c:pt idx="246">
                  <c:v>1530.96</c:v>
                </c:pt>
                <c:pt idx="247">
                  <c:v>1530.95</c:v>
                </c:pt>
                <c:pt idx="248">
                  <c:v>1530.95</c:v>
                </c:pt>
                <c:pt idx="249">
                  <c:v>1530.95</c:v>
                </c:pt>
                <c:pt idx="250">
                  <c:v>1530.94</c:v>
                </c:pt>
                <c:pt idx="251">
                  <c:v>1530.94</c:v>
                </c:pt>
                <c:pt idx="252">
                  <c:v>1530.94</c:v>
                </c:pt>
                <c:pt idx="253">
                  <c:v>1530.94</c:v>
                </c:pt>
                <c:pt idx="254">
                  <c:v>1530.94</c:v>
                </c:pt>
                <c:pt idx="255">
                  <c:v>1530.94</c:v>
                </c:pt>
                <c:pt idx="256">
                  <c:v>1530.94</c:v>
                </c:pt>
                <c:pt idx="257">
                  <c:v>1530.94</c:v>
                </c:pt>
                <c:pt idx="258">
                  <c:v>1530.94</c:v>
                </c:pt>
                <c:pt idx="259">
                  <c:v>1530.94</c:v>
                </c:pt>
                <c:pt idx="260">
                  <c:v>1530.93</c:v>
                </c:pt>
                <c:pt idx="261">
                  <c:v>1530.92</c:v>
                </c:pt>
                <c:pt idx="262">
                  <c:v>1530.91</c:v>
                </c:pt>
                <c:pt idx="263">
                  <c:v>1530.91</c:v>
                </c:pt>
                <c:pt idx="264">
                  <c:v>1530.9</c:v>
                </c:pt>
                <c:pt idx="265">
                  <c:v>1530.89</c:v>
                </c:pt>
                <c:pt idx="266">
                  <c:v>1530.89</c:v>
                </c:pt>
                <c:pt idx="267">
                  <c:v>1530.88</c:v>
                </c:pt>
                <c:pt idx="268">
                  <c:v>1530.87</c:v>
                </c:pt>
                <c:pt idx="269">
                  <c:v>1530.86</c:v>
                </c:pt>
                <c:pt idx="270">
                  <c:v>1530.85</c:v>
                </c:pt>
                <c:pt idx="271">
                  <c:v>1530.85</c:v>
                </c:pt>
                <c:pt idx="272">
                  <c:v>1530.84</c:v>
                </c:pt>
                <c:pt idx="273">
                  <c:v>1530.84</c:v>
                </c:pt>
                <c:pt idx="274">
                  <c:v>1530.84</c:v>
                </c:pt>
                <c:pt idx="275">
                  <c:v>1530.83</c:v>
                </c:pt>
                <c:pt idx="276">
                  <c:v>1530.82</c:v>
                </c:pt>
                <c:pt idx="277">
                  <c:v>1530.82</c:v>
                </c:pt>
                <c:pt idx="278">
                  <c:v>1530.81</c:v>
                </c:pt>
                <c:pt idx="279">
                  <c:v>1530.81</c:v>
                </c:pt>
                <c:pt idx="280">
                  <c:v>1530.81</c:v>
                </c:pt>
                <c:pt idx="281">
                  <c:v>1530.81</c:v>
                </c:pt>
                <c:pt idx="282">
                  <c:v>1530.8</c:v>
                </c:pt>
                <c:pt idx="283">
                  <c:v>1530.8</c:v>
                </c:pt>
                <c:pt idx="284">
                  <c:v>1530.8</c:v>
                </c:pt>
                <c:pt idx="285">
                  <c:v>1530.79</c:v>
                </c:pt>
                <c:pt idx="286">
                  <c:v>1530.79</c:v>
                </c:pt>
                <c:pt idx="287">
                  <c:v>1530.78</c:v>
                </c:pt>
                <c:pt idx="288">
                  <c:v>1530.77</c:v>
                </c:pt>
                <c:pt idx="289">
                  <c:v>1530.77</c:v>
                </c:pt>
                <c:pt idx="290">
                  <c:v>1530.76</c:v>
                </c:pt>
                <c:pt idx="291">
                  <c:v>1530.76</c:v>
                </c:pt>
                <c:pt idx="292">
                  <c:v>1530.76</c:v>
                </c:pt>
                <c:pt idx="293">
                  <c:v>1530.75</c:v>
                </c:pt>
                <c:pt idx="294">
                  <c:v>1530.75</c:v>
                </c:pt>
                <c:pt idx="295">
                  <c:v>1530.75</c:v>
                </c:pt>
                <c:pt idx="296">
                  <c:v>1530.74</c:v>
                </c:pt>
                <c:pt idx="297">
                  <c:v>1530.74</c:v>
                </c:pt>
                <c:pt idx="298">
                  <c:v>1530.74</c:v>
                </c:pt>
                <c:pt idx="299">
                  <c:v>1530.74</c:v>
                </c:pt>
                <c:pt idx="300">
                  <c:v>1530.74</c:v>
                </c:pt>
                <c:pt idx="301">
                  <c:v>1530.73</c:v>
                </c:pt>
                <c:pt idx="302">
                  <c:v>1530.73</c:v>
                </c:pt>
                <c:pt idx="303">
                  <c:v>1530.73</c:v>
                </c:pt>
                <c:pt idx="304">
                  <c:v>1530.73</c:v>
                </c:pt>
                <c:pt idx="305">
                  <c:v>1530.74</c:v>
                </c:pt>
                <c:pt idx="306">
                  <c:v>1530.77</c:v>
                </c:pt>
                <c:pt idx="307">
                  <c:v>1530.82</c:v>
                </c:pt>
                <c:pt idx="308">
                  <c:v>1530.9</c:v>
                </c:pt>
                <c:pt idx="309">
                  <c:v>1531.1</c:v>
                </c:pt>
                <c:pt idx="310">
                  <c:v>1531.58</c:v>
                </c:pt>
                <c:pt idx="311">
                  <c:v>1532.66</c:v>
                </c:pt>
                <c:pt idx="312">
                  <c:v>1534.47</c:v>
                </c:pt>
                <c:pt idx="313">
                  <c:v>1536.02</c:v>
                </c:pt>
                <c:pt idx="314">
                  <c:v>1538.04</c:v>
                </c:pt>
                <c:pt idx="315">
                  <c:v>1540.39</c:v>
                </c:pt>
                <c:pt idx="316">
                  <c:v>1541.99</c:v>
                </c:pt>
                <c:pt idx="317">
                  <c:v>1542.45</c:v>
                </c:pt>
                <c:pt idx="318">
                  <c:v>1542.48</c:v>
                </c:pt>
                <c:pt idx="319">
                  <c:v>1542.39</c:v>
                </c:pt>
                <c:pt idx="320">
                  <c:v>1542.07</c:v>
                </c:pt>
                <c:pt idx="321">
                  <c:v>1541.69</c:v>
                </c:pt>
                <c:pt idx="322">
                  <c:v>1541.32</c:v>
                </c:pt>
                <c:pt idx="323">
                  <c:v>1540.93</c:v>
                </c:pt>
                <c:pt idx="324">
                  <c:v>1540.62</c:v>
                </c:pt>
                <c:pt idx="325">
                  <c:v>1540.38</c:v>
                </c:pt>
                <c:pt idx="326">
                  <c:v>1540.2</c:v>
                </c:pt>
                <c:pt idx="327">
                  <c:v>1540.1</c:v>
                </c:pt>
                <c:pt idx="328">
                  <c:v>1540</c:v>
                </c:pt>
                <c:pt idx="329">
                  <c:v>1539.92</c:v>
                </c:pt>
                <c:pt idx="330">
                  <c:v>1539.86</c:v>
                </c:pt>
                <c:pt idx="331">
                  <c:v>1539.82</c:v>
                </c:pt>
                <c:pt idx="332">
                  <c:v>1539.77</c:v>
                </c:pt>
                <c:pt idx="333">
                  <c:v>1539.72</c:v>
                </c:pt>
                <c:pt idx="334">
                  <c:v>1539.68</c:v>
                </c:pt>
                <c:pt idx="335">
                  <c:v>1539.61</c:v>
                </c:pt>
                <c:pt idx="336">
                  <c:v>1539.55</c:v>
                </c:pt>
                <c:pt idx="337">
                  <c:v>1539.48</c:v>
                </c:pt>
                <c:pt idx="338">
                  <c:v>1539.4</c:v>
                </c:pt>
                <c:pt idx="339">
                  <c:v>1539.28</c:v>
                </c:pt>
                <c:pt idx="340">
                  <c:v>1539.17</c:v>
                </c:pt>
                <c:pt idx="341">
                  <c:v>1539.04</c:v>
                </c:pt>
                <c:pt idx="342">
                  <c:v>1538.91</c:v>
                </c:pt>
                <c:pt idx="343">
                  <c:v>1538.75</c:v>
                </c:pt>
                <c:pt idx="344">
                  <c:v>1538.58</c:v>
                </c:pt>
                <c:pt idx="345">
                  <c:v>1538.4</c:v>
                </c:pt>
                <c:pt idx="346">
                  <c:v>1538.21</c:v>
                </c:pt>
                <c:pt idx="347">
                  <c:v>1538</c:v>
                </c:pt>
                <c:pt idx="348">
                  <c:v>1537.78</c:v>
                </c:pt>
                <c:pt idx="349">
                  <c:v>1537.57</c:v>
                </c:pt>
                <c:pt idx="350">
                  <c:v>1537.31</c:v>
                </c:pt>
                <c:pt idx="351">
                  <c:v>1537.06</c:v>
                </c:pt>
                <c:pt idx="352">
                  <c:v>1536.82</c:v>
                </c:pt>
                <c:pt idx="353">
                  <c:v>1536.6</c:v>
                </c:pt>
                <c:pt idx="354">
                  <c:v>1536.4</c:v>
                </c:pt>
                <c:pt idx="355">
                  <c:v>1536.2</c:v>
                </c:pt>
                <c:pt idx="356">
                  <c:v>1536.01</c:v>
                </c:pt>
                <c:pt idx="357">
                  <c:v>1535.84</c:v>
                </c:pt>
                <c:pt idx="358">
                  <c:v>1535.68</c:v>
                </c:pt>
                <c:pt idx="359">
                  <c:v>1535.51</c:v>
                </c:pt>
                <c:pt idx="360">
                  <c:v>1535.37</c:v>
                </c:pt>
                <c:pt idx="361">
                  <c:v>1535.23</c:v>
                </c:pt>
                <c:pt idx="362">
                  <c:v>1535.09</c:v>
                </c:pt>
                <c:pt idx="363">
                  <c:v>1534.98</c:v>
                </c:pt>
                <c:pt idx="364">
                  <c:v>1534.86</c:v>
                </c:pt>
                <c:pt idx="365">
                  <c:v>1534.75</c:v>
                </c:pt>
                <c:pt idx="366">
                  <c:v>1534.64</c:v>
                </c:pt>
                <c:pt idx="367">
                  <c:v>1534.56</c:v>
                </c:pt>
                <c:pt idx="368">
                  <c:v>1534.47</c:v>
                </c:pt>
                <c:pt idx="369">
                  <c:v>1534.39</c:v>
                </c:pt>
                <c:pt idx="370">
                  <c:v>1534.31</c:v>
                </c:pt>
                <c:pt idx="371">
                  <c:v>1534.23</c:v>
                </c:pt>
                <c:pt idx="372">
                  <c:v>1534.16</c:v>
                </c:pt>
                <c:pt idx="373">
                  <c:v>1534.1</c:v>
                </c:pt>
                <c:pt idx="374">
                  <c:v>1534.04</c:v>
                </c:pt>
                <c:pt idx="375">
                  <c:v>1533.97</c:v>
                </c:pt>
                <c:pt idx="376">
                  <c:v>1533.92</c:v>
                </c:pt>
                <c:pt idx="377">
                  <c:v>1533.86</c:v>
                </c:pt>
                <c:pt idx="378">
                  <c:v>1533.8</c:v>
                </c:pt>
                <c:pt idx="379">
                  <c:v>1533.76</c:v>
                </c:pt>
                <c:pt idx="380">
                  <c:v>1533.71</c:v>
                </c:pt>
                <c:pt idx="381">
                  <c:v>1533.66</c:v>
                </c:pt>
                <c:pt idx="382">
                  <c:v>1533.6</c:v>
                </c:pt>
                <c:pt idx="383">
                  <c:v>1533.55</c:v>
                </c:pt>
                <c:pt idx="384">
                  <c:v>1533.48</c:v>
                </c:pt>
                <c:pt idx="385">
                  <c:v>1533.43</c:v>
                </c:pt>
                <c:pt idx="386">
                  <c:v>1533.36</c:v>
                </c:pt>
                <c:pt idx="387">
                  <c:v>1533.3</c:v>
                </c:pt>
                <c:pt idx="388">
                  <c:v>1533.24</c:v>
                </c:pt>
                <c:pt idx="389">
                  <c:v>1533.19</c:v>
                </c:pt>
                <c:pt idx="390">
                  <c:v>1533.13</c:v>
                </c:pt>
                <c:pt idx="391">
                  <c:v>1533.08</c:v>
                </c:pt>
                <c:pt idx="392">
                  <c:v>1533.04</c:v>
                </c:pt>
                <c:pt idx="393">
                  <c:v>1533</c:v>
                </c:pt>
                <c:pt idx="394">
                  <c:v>1532.96</c:v>
                </c:pt>
                <c:pt idx="395">
                  <c:v>1532.92</c:v>
                </c:pt>
                <c:pt idx="396">
                  <c:v>1532.88</c:v>
                </c:pt>
                <c:pt idx="397">
                  <c:v>1532.84</c:v>
                </c:pt>
                <c:pt idx="398">
                  <c:v>1532.8</c:v>
                </c:pt>
                <c:pt idx="399">
                  <c:v>1532.76</c:v>
                </c:pt>
                <c:pt idx="400">
                  <c:v>1532.73</c:v>
                </c:pt>
                <c:pt idx="401">
                  <c:v>1532.7</c:v>
                </c:pt>
                <c:pt idx="402">
                  <c:v>1532.67</c:v>
                </c:pt>
                <c:pt idx="403">
                  <c:v>1532.64</c:v>
                </c:pt>
                <c:pt idx="404">
                  <c:v>1532.61</c:v>
                </c:pt>
                <c:pt idx="405">
                  <c:v>1532.58</c:v>
                </c:pt>
                <c:pt idx="406">
                  <c:v>1532.55</c:v>
                </c:pt>
                <c:pt idx="407">
                  <c:v>1532.52</c:v>
                </c:pt>
                <c:pt idx="408">
                  <c:v>1532.5</c:v>
                </c:pt>
                <c:pt idx="409">
                  <c:v>1532.47</c:v>
                </c:pt>
                <c:pt idx="410">
                  <c:v>1532.44</c:v>
                </c:pt>
                <c:pt idx="411">
                  <c:v>1532.42</c:v>
                </c:pt>
                <c:pt idx="412">
                  <c:v>1532.39</c:v>
                </c:pt>
                <c:pt idx="413">
                  <c:v>1532.36</c:v>
                </c:pt>
                <c:pt idx="414">
                  <c:v>1532.34</c:v>
                </c:pt>
                <c:pt idx="415">
                  <c:v>1532.32</c:v>
                </c:pt>
                <c:pt idx="416">
                  <c:v>1532.3</c:v>
                </c:pt>
                <c:pt idx="417">
                  <c:v>1532.27</c:v>
                </c:pt>
                <c:pt idx="418">
                  <c:v>1532.25</c:v>
                </c:pt>
                <c:pt idx="419">
                  <c:v>1532.23</c:v>
                </c:pt>
                <c:pt idx="420">
                  <c:v>1532.21</c:v>
                </c:pt>
                <c:pt idx="421">
                  <c:v>1532.2</c:v>
                </c:pt>
                <c:pt idx="422">
                  <c:v>1532.18</c:v>
                </c:pt>
                <c:pt idx="423">
                  <c:v>1532.16</c:v>
                </c:pt>
                <c:pt idx="424">
                  <c:v>1532.15</c:v>
                </c:pt>
                <c:pt idx="425">
                  <c:v>1532.12</c:v>
                </c:pt>
                <c:pt idx="426">
                  <c:v>1532.11</c:v>
                </c:pt>
                <c:pt idx="427">
                  <c:v>1532.08</c:v>
                </c:pt>
                <c:pt idx="428">
                  <c:v>1532.06</c:v>
                </c:pt>
                <c:pt idx="429">
                  <c:v>1532.04</c:v>
                </c:pt>
                <c:pt idx="430">
                  <c:v>1532.03</c:v>
                </c:pt>
                <c:pt idx="431">
                  <c:v>1532.01</c:v>
                </c:pt>
                <c:pt idx="432">
                  <c:v>1532</c:v>
                </c:pt>
                <c:pt idx="433">
                  <c:v>1531.98</c:v>
                </c:pt>
                <c:pt idx="434">
                  <c:v>1531.96</c:v>
                </c:pt>
                <c:pt idx="435">
                  <c:v>1531.95</c:v>
                </c:pt>
                <c:pt idx="436">
                  <c:v>1531.94</c:v>
                </c:pt>
                <c:pt idx="437">
                  <c:v>1531.92</c:v>
                </c:pt>
                <c:pt idx="438">
                  <c:v>1531.91</c:v>
                </c:pt>
                <c:pt idx="439">
                  <c:v>1531.91</c:v>
                </c:pt>
                <c:pt idx="440">
                  <c:v>1531.9</c:v>
                </c:pt>
                <c:pt idx="441">
                  <c:v>1531.9</c:v>
                </c:pt>
                <c:pt idx="442">
                  <c:v>1531.89</c:v>
                </c:pt>
                <c:pt idx="443">
                  <c:v>1531.89</c:v>
                </c:pt>
                <c:pt idx="444">
                  <c:v>1531.88</c:v>
                </c:pt>
                <c:pt idx="445">
                  <c:v>1531.87</c:v>
                </c:pt>
                <c:pt idx="446">
                  <c:v>1531.86</c:v>
                </c:pt>
                <c:pt idx="447">
                  <c:v>1531.84</c:v>
                </c:pt>
                <c:pt idx="448">
                  <c:v>1531.84</c:v>
                </c:pt>
                <c:pt idx="449">
                  <c:v>1531.84</c:v>
                </c:pt>
                <c:pt idx="450">
                  <c:v>1531.84</c:v>
                </c:pt>
                <c:pt idx="451">
                  <c:v>1531.83</c:v>
                </c:pt>
                <c:pt idx="452">
                  <c:v>1531.81</c:v>
                </c:pt>
                <c:pt idx="453">
                  <c:v>1531.8</c:v>
                </c:pt>
                <c:pt idx="454">
                  <c:v>1531.78</c:v>
                </c:pt>
                <c:pt idx="455">
                  <c:v>1531.76</c:v>
                </c:pt>
                <c:pt idx="456">
                  <c:v>1531.74</c:v>
                </c:pt>
                <c:pt idx="457">
                  <c:v>1531.72</c:v>
                </c:pt>
                <c:pt idx="458">
                  <c:v>1531.71</c:v>
                </c:pt>
                <c:pt idx="459">
                  <c:v>1531.7</c:v>
                </c:pt>
                <c:pt idx="460">
                  <c:v>1531.68</c:v>
                </c:pt>
                <c:pt idx="461">
                  <c:v>1531.66</c:v>
                </c:pt>
                <c:pt idx="462">
                  <c:v>1531.64</c:v>
                </c:pt>
                <c:pt idx="463">
                  <c:v>1531.64</c:v>
                </c:pt>
                <c:pt idx="464">
                  <c:v>1531.63</c:v>
                </c:pt>
                <c:pt idx="465">
                  <c:v>1531.62</c:v>
                </c:pt>
                <c:pt idx="466">
                  <c:v>1531.61</c:v>
                </c:pt>
                <c:pt idx="467">
                  <c:v>1531.6</c:v>
                </c:pt>
                <c:pt idx="468">
                  <c:v>1531.58</c:v>
                </c:pt>
                <c:pt idx="469">
                  <c:v>1531.56</c:v>
                </c:pt>
                <c:pt idx="470">
                  <c:v>1531.56</c:v>
                </c:pt>
                <c:pt idx="471">
                  <c:v>1531.54</c:v>
                </c:pt>
                <c:pt idx="472">
                  <c:v>1531.52</c:v>
                </c:pt>
                <c:pt idx="473">
                  <c:v>1531.5</c:v>
                </c:pt>
                <c:pt idx="474">
                  <c:v>1531.49</c:v>
                </c:pt>
                <c:pt idx="475">
                  <c:v>1531.48</c:v>
                </c:pt>
                <c:pt idx="476">
                  <c:v>1531.46</c:v>
                </c:pt>
                <c:pt idx="477">
                  <c:v>1531.44</c:v>
                </c:pt>
                <c:pt idx="478">
                  <c:v>1531.43</c:v>
                </c:pt>
                <c:pt idx="479">
                  <c:v>1531.42</c:v>
                </c:pt>
                <c:pt idx="480">
                  <c:v>1531.4</c:v>
                </c:pt>
                <c:pt idx="481">
                  <c:v>1531.4</c:v>
                </c:pt>
                <c:pt idx="482">
                  <c:v>1531.38</c:v>
                </c:pt>
                <c:pt idx="483">
                  <c:v>1531.37</c:v>
                </c:pt>
                <c:pt idx="484">
                  <c:v>1531.36</c:v>
                </c:pt>
                <c:pt idx="485">
                  <c:v>1531.35</c:v>
                </c:pt>
                <c:pt idx="486">
                  <c:v>1531.34</c:v>
                </c:pt>
                <c:pt idx="487">
                  <c:v>1531.32</c:v>
                </c:pt>
                <c:pt idx="488">
                  <c:v>1531.32</c:v>
                </c:pt>
                <c:pt idx="489">
                  <c:v>1531.31</c:v>
                </c:pt>
                <c:pt idx="490">
                  <c:v>1531.3</c:v>
                </c:pt>
                <c:pt idx="491">
                  <c:v>1531.29</c:v>
                </c:pt>
                <c:pt idx="492">
                  <c:v>1531.28</c:v>
                </c:pt>
                <c:pt idx="493">
                  <c:v>1531.28</c:v>
                </c:pt>
                <c:pt idx="494">
                  <c:v>1531.27</c:v>
                </c:pt>
                <c:pt idx="495">
                  <c:v>1531.26</c:v>
                </c:pt>
                <c:pt idx="496">
                  <c:v>1531.24</c:v>
                </c:pt>
                <c:pt idx="497">
                  <c:v>1531.24</c:v>
                </c:pt>
                <c:pt idx="498">
                  <c:v>1531.23</c:v>
                </c:pt>
                <c:pt idx="499">
                  <c:v>1531.22</c:v>
                </c:pt>
                <c:pt idx="500">
                  <c:v>1531.21</c:v>
                </c:pt>
                <c:pt idx="501">
                  <c:v>1531.2</c:v>
                </c:pt>
                <c:pt idx="502">
                  <c:v>1531.19</c:v>
                </c:pt>
                <c:pt idx="503">
                  <c:v>1531.18</c:v>
                </c:pt>
                <c:pt idx="504">
                  <c:v>1531.17</c:v>
                </c:pt>
                <c:pt idx="505">
                  <c:v>1531.16</c:v>
                </c:pt>
                <c:pt idx="506">
                  <c:v>1531.16</c:v>
                </c:pt>
                <c:pt idx="507">
                  <c:v>1531.15</c:v>
                </c:pt>
                <c:pt idx="508">
                  <c:v>1531.14</c:v>
                </c:pt>
                <c:pt idx="509">
                  <c:v>1531.14</c:v>
                </c:pt>
                <c:pt idx="510">
                  <c:v>1531.12</c:v>
                </c:pt>
                <c:pt idx="511">
                  <c:v>1531.12</c:v>
                </c:pt>
                <c:pt idx="512">
                  <c:v>1531.11</c:v>
                </c:pt>
                <c:pt idx="513">
                  <c:v>1531.11</c:v>
                </c:pt>
                <c:pt idx="514">
                  <c:v>1531.11</c:v>
                </c:pt>
                <c:pt idx="515">
                  <c:v>1531.1</c:v>
                </c:pt>
                <c:pt idx="516">
                  <c:v>1531.1</c:v>
                </c:pt>
                <c:pt idx="517">
                  <c:v>1531.1</c:v>
                </c:pt>
                <c:pt idx="518">
                  <c:v>1531.1</c:v>
                </c:pt>
                <c:pt idx="519">
                  <c:v>1531.09</c:v>
                </c:pt>
                <c:pt idx="520">
                  <c:v>1531.08</c:v>
                </c:pt>
                <c:pt idx="521">
                  <c:v>1531.08</c:v>
                </c:pt>
                <c:pt idx="522">
                  <c:v>1531.08</c:v>
                </c:pt>
                <c:pt idx="523">
                  <c:v>1531.08</c:v>
                </c:pt>
                <c:pt idx="524">
                  <c:v>1531.07</c:v>
                </c:pt>
                <c:pt idx="525">
                  <c:v>1531.07</c:v>
                </c:pt>
                <c:pt idx="526">
                  <c:v>1531.07</c:v>
                </c:pt>
                <c:pt idx="527">
                  <c:v>1531.07</c:v>
                </c:pt>
                <c:pt idx="528">
                  <c:v>1531.07</c:v>
                </c:pt>
              </c:numCache>
            </c:numRef>
          </c:yVal>
          <c:smooth val="0"/>
          <c:extLst>
            <c:ext xmlns:c16="http://schemas.microsoft.com/office/drawing/2014/chart" uri="{C3380CC4-5D6E-409C-BE32-E72D297353CC}">
              <c16:uniqueId val="{00000000-8DA7-4939-940E-D7E0C59A2B81}"/>
            </c:ext>
          </c:extLst>
        </c:ser>
        <c:ser>
          <c:idx val="2"/>
          <c:order val="1"/>
          <c:tx>
            <c:strRef>
              <c:f>Gage_and_Event!$R$2</c:f>
              <c:strCache>
                <c:ptCount val="1"/>
                <c:pt idx="0">
                  <c:v>Adopted</c:v>
                </c:pt>
              </c:strCache>
            </c:strRef>
          </c:tx>
          <c:spPr>
            <a:ln w="19050">
              <a:solidFill>
                <a:srgbClr val="FF0000"/>
              </a:solidFill>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Gage_and_Event!$R$5:$R$2000</c:f>
              <c:numCache>
                <c:formatCode>General</c:formatCode>
                <c:ptCount val="1996"/>
                <c:pt idx="1">
                  <c:v>1531.34</c:v>
                </c:pt>
                <c:pt idx="2">
                  <c:v>1531.33</c:v>
                </c:pt>
                <c:pt idx="3">
                  <c:v>1531.34</c:v>
                </c:pt>
                <c:pt idx="4">
                  <c:v>1531.4</c:v>
                </c:pt>
                <c:pt idx="5">
                  <c:v>1531.49</c:v>
                </c:pt>
                <c:pt idx="6">
                  <c:v>1531.58</c:v>
                </c:pt>
                <c:pt idx="7">
                  <c:v>1531.64</c:v>
                </c:pt>
                <c:pt idx="8">
                  <c:v>1531.67</c:v>
                </c:pt>
                <c:pt idx="9">
                  <c:v>1531.69</c:v>
                </c:pt>
                <c:pt idx="10">
                  <c:v>1531.71</c:v>
                </c:pt>
                <c:pt idx="11">
                  <c:v>1531.74</c:v>
                </c:pt>
                <c:pt idx="12">
                  <c:v>1531.76</c:v>
                </c:pt>
                <c:pt idx="13">
                  <c:v>1531.81</c:v>
                </c:pt>
                <c:pt idx="14">
                  <c:v>1531.89</c:v>
                </c:pt>
                <c:pt idx="15">
                  <c:v>1531.93</c:v>
                </c:pt>
                <c:pt idx="16">
                  <c:v>1531.99</c:v>
                </c:pt>
                <c:pt idx="17">
                  <c:v>1532.04</c:v>
                </c:pt>
                <c:pt idx="18">
                  <c:v>1532.06</c:v>
                </c:pt>
                <c:pt idx="19">
                  <c:v>1532.08</c:v>
                </c:pt>
                <c:pt idx="20">
                  <c:v>1532.1</c:v>
                </c:pt>
                <c:pt idx="21">
                  <c:v>1532.11</c:v>
                </c:pt>
                <c:pt idx="22">
                  <c:v>1532.12</c:v>
                </c:pt>
                <c:pt idx="23">
                  <c:v>1532.13</c:v>
                </c:pt>
                <c:pt idx="24">
                  <c:v>1532.13</c:v>
                </c:pt>
                <c:pt idx="25">
                  <c:v>1532.13</c:v>
                </c:pt>
                <c:pt idx="26">
                  <c:v>1532.13</c:v>
                </c:pt>
                <c:pt idx="27">
                  <c:v>1532.13</c:v>
                </c:pt>
                <c:pt idx="28">
                  <c:v>1532.12</c:v>
                </c:pt>
                <c:pt idx="29">
                  <c:v>1532.12</c:v>
                </c:pt>
                <c:pt idx="30">
                  <c:v>1532.12</c:v>
                </c:pt>
                <c:pt idx="31">
                  <c:v>1532.13</c:v>
                </c:pt>
                <c:pt idx="32">
                  <c:v>1532.11</c:v>
                </c:pt>
                <c:pt idx="33">
                  <c:v>1532.11</c:v>
                </c:pt>
                <c:pt idx="34">
                  <c:v>1532.1</c:v>
                </c:pt>
                <c:pt idx="35">
                  <c:v>1532.09</c:v>
                </c:pt>
                <c:pt idx="36">
                  <c:v>1532.08</c:v>
                </c:pt>
                <c:pt idx="37">
                  <c:v>1532.08</c:v>
                </c:pt>
                <c:pt idx="38">
                  <c:v>1532.07</c:v>
                </c:pt>
                <c:pt idx="39">
                  <c:v>1532.06</c:v>
                </c:pt>
                <c:pt idx="40">
                  <c:v>1532.04</c:v>
                </c:pt>
                <c:pt idx="41">
                  <c:v>1532.03</c:v>
                </c:pt>
                <c:pt idx="42">
                  <c:v>1532.02</c:v>
                </c:pt>
                <c:pt idx="43">
                  <c:v>1532.01</c:v>
                </c:pt>
                <c:pt idx="44">
                  <c:v>1531.99</c:v>
                </c:pt>
                <c:pt idx="45">
                  <c:v>1531.98</c:v>
                </c:pt>
                <c:pt idx="46">
                  <c:v>1531.97</c:v>
                </c:pt>
                <c:pt idx="47">
                  <c:v>1531.96</c:v>
                </c:pt>
                <c:pt idx="48">
                  <c:v>1531.95</c:v>
                </c:pt>
                <c:pt idx="49">
                  <c:v>1531.95</c:v>
                </c:pt>
                <c:pt idx="50">
                  <c:v>1531.94</c:v>
                </c:pt>
                <c:pt idx="51">
                  <c:v>1531.93</c:v>
                </c:pt>
                <c:pt idx="52">
                  <c:v>1531.92</c:v>
                </c:pt>
                <c:pt idx="53">
                  <c:v>1531.92</c:v>
                </c:pt>
                <c:pt idx="54">
                  <c:v>1531.91</c:v>
                </c:pt>
                <c:pt idx="55">
                  <c:v>1531.91</c:v>
                </c:pt>
                <c:pt idx="56">
                  <c:v>1531.91</c:v>
                </c:pt>
                <c:pt idx="57">
                  <c:v>1531.9</c:v>
                </c:pt>
                <c:pt idx="58">
                  <c:v>1531.9</c:v>
                </c:pt>
                <c:pt idx="59">
                  <c:v>1531.89</c:v>
                </c:pt>
                <c:pt idx="60">
                  <c:v>1531.88</c:v>
                </c:pt>
                <c:pt idx="61">
                  <c:v>1531.87</c:v>
                </c:pt>
                <c:pt idx="62">
                  <c:v>1531.85</c:v>
                </c:pt>
                <c:pt idx="63">
                  <c:v>1531.84</c:v>
                </c:pt>
                <c:pt idx="64">
                  <c:v>1531.83</c:v>
                </c:pt>
                <c:pt idx="65">
                  <c:v>1531.82</c:v>
                </c:pt>
                <c:pt idx="66">
                  <c:v>1531.81</c:v>
                </c:pt>
                <c:pt idx="67">
                  <c:v>1531.8</c:v>
                </c:pt>
                <c:pt idx="68">
                  <c:v>1531.78</c:v>
                </c:pt>
                <c:pt idx="69">
                  <c:v>1531.77</c:v>
                </c:pt>
                <c:pt idx="70">
                  <c:v>1531.76</c:v>
                </c:pt>
                <c:pt idx="71">
                  <c:v>1531.74</c:v>
                </c:pt>
                <c:pt idx="72">
                  <c:v>1531.73</c:v>
                </c:pt>
                <c:pt idx="73">
                  <c:v>1531.71</c:v>
                </c:pt>
                <c:pt idx="74">
                  <c:v>1531.7</c:v>
                </c:pt>
                <c:pt idx="75">
                  <c:v>1531.68</c:v>
                </c:pt>
                <c:pt idx="76">
                  <c:v>1531.67</c:v>
                </c:pt>
                <c:pt idx="77">
                  <c:v>1531.65</c:v>
                </c:pt>
                <c:pt idx="78">
                  <c:v>1531.64</c:v>
                </c:pt>
                <c:pt idx="79">
                  <c:v>1531.63</c:v>
                </c:pt>
                <c:pt idx="80">
                  <c:v>1531.61</c:v>
                </c:pt>
                <c:pt idx="81">
                  <c:v>1531.6</c:v>
                </c:pt>
                <c:pt idx="82">
                  <c:v>1531.59</c:v>
                </c:pt>
                <c:pt idx="83">
                  <c:v>1531.57</c:v>
                </c:pt>
                <c:pt idx="84">
                  <c:v>1531.56</c:v>
                </c:pt>
                <c:pt idx="85">
                  <c:v>1531.54</c:v>
                </c:pt>
                <c:pt idx="86">
                  <c:v>1531.53</c:v>
                </c:pt>
                <c:pt idx="87">
                  <c:v>1531.52</c:v>
                </c:pt>
                <c:pt idx="88">
                  <c:v>1531.5</c:v>
                </c:pt>
                <c:pt idx="89">
                  <c:v>1531.49</c:v>
                </c:pt>
                <c:pt idx="90">
                  <c:v>1531.48</c:v>
                </c:pt>
                <c:pt idx="91">
                  <c:v>1531.47</c:v>
                </c:pt>
                <c:pt idx="92">
                  <c:v>1531.45</c:v>
                </c:pt>
                <c:pt idx="93">
                  <c:v>1531.44</c:v>
                </c:pt>
                <c:pt idx="94">
                  <c:v>1531.43</c:v>
                </c:pt>
                <c:pt idx="95">
                  <c:v>1531.42</c:v>
                </c:pt>
                <c:pt idx="96">
                  <c:v>1531.41</c:v>
                </c:pt>
                <c:pt idx="97">
                  <c:v>1531.39</c:v>
                </c:pt>
                <c:pt idx="98">
                  <c:v>1531.38</c:v>
                </c:pt>
                <c:pt idx="99">
                  <c:v>1531.37</c:v>
                </c:pt>
                <c:pt idx="100">
                  <c:v>1531.36</c:v>
                </c:pt>
                <c:pt idx="101">
                  <c:v>1531.35</c:v>
                </c:pt>
                <c:pt idx="102">
                  <c:v>1531.34</c:v>
                </c:pt>
                <c:pt idx="103">
                  <c:v>1531.33</c:v>
                </c:pt>
                <c:pt idx="104">
                  <c:v>1531.32</c:v>
                </c:pt>
                <c:pt idx="105">
                  <c:v>1531.3</c:v>
                </c:pt>
                <c:pt idx="106">
                  <c:v>1531.29</c:v>
                </c:pt>
                <c:pt idx="107">
                  <c:v>1531.29</c:v>
                </c:pt>
                <c:pt idx="108">
                  <c:v>1531.27</c:v>
                </c:pt>
                <c:pt idx="109">
                  <c:v>1531.26</c:v>
                </c:pt>
                <c:pt idx="110">
                  <c:v>1531.24</c:v>
                </c:pt>
                <c:pt idx="111">
                  <c:v>1531.24</c:v>
                </c:pt>
                <c:pt idx="112">
                  <c:v>1531.23</c:v>
                </c:pt>
                <c:pt idx="113">
                  <c:v>1531.22</c:v>
                </c:pt>
                <c:pt idx="114">
                  <c:v>1531.21</c:v>
                </c:pt>
                <c:pt idx="115">
                  <c:v>1531.2</c:v>
                </c:pt>
                <c:pt idx="116">
                  <c:v>1531.19</c:v>
                </c:pt>
                <c:pt idx="117">
                  <c:v>1531.17</c:v>
                </c:pt>
                <c:pt idx="118">
                  <c:v>1531.17</c:v>
                </c:pt>
                <c:pt idx="119">
                  <c:v>1531.16</c:v>
                </c:pt>
                <c:pt idx="120">
                  <c:v>1531.15</c:v>
                </c:pt>
                <c:pt idx="121">
                  <c:v>1531.14</c:v>
                </c:pt>
                <c:pt idx="122">
                  <c:v>1531.13</c:v>
                </c:pt>
                <c:pt idx="123">
                  <c:v>1531.12</c:v>
                </c:pt>
                <c:pt idx="124">
                  <c:v>1531.11</c:v>
                </c:pt>
                <c:pt idx="125">
                  <c:v>1531.1</c:v>
                </c:pt>
                <c:pt idx="126">
                  <c:v>1531.09</c:v>
                </c:pt>
                <c:pt idx="127">
                  <c:v>1531.08</c:v>
                </c:pt>
                <c:pt idx="128">
                  <c:v>1531.07</c:v>
                </c:pt>
                <c:pt idx="129">
                  <c:v>1531.06</c:v>
                </c:pt>
                <c:pt idx="130">
                  <c:v>1531.06</c:v>
                </c:pt>
                <c:pt idx="131">
                  <c:v>1531.04</c:v>
                </c:pt>
                <c:pt idx="132">
                  <c:v>1531.04</c:v>
                </c:pt>
                <c:pt idx="133">
                  <c:v>1531.03</c:v>
                </c:pt>
                <c:pt idx="134">
                  <c:v>1531.02</c:v>
                </c:pt>
                <c:pt idx="135">
                  <c:v>1531.01</c:v>
                </c:pt>
                <c:pt idx="136">
                  <c:v>1531</c:v>
                </c:pt>
                <c:pt idx="137">
                  <c:v>1530.99</c:v>
                </c:pt>
                <c:pt idx="138">
                  <c:v>1530.98</c:v>
                </c:pt>
                <c:pt idx="139">
                  <c:v>1530.98</c:v>
                </c:pt>
                <c:pt idx="140">
                  <c:v>1530.97</c:v>
                </c:pt>
                <c:pt idx="141">
                  <c:v>1530.96</c:v>
                </c:pt>
                <c:pt idx="142">
                  <c:v>1530.95</c:v>
                </c:pt>
                <c:pt idx="143">
                  <c:v>1530.94</c:v>
                </c:pt>
                <c:pt idx="144">
                  <c:v>1530.94</c:v>
                </c:pt>
                <c:pt idx="145">
                  <c:v>1530.93</c:v>
                </c:pt>
                <c:pt idx="146">
                  <c:v>1530.92</c:v>
                </c:pt>
                <c:pt idx="147">
                  <c:v>1530.91</c:v>
                </c:pt>
                <c:pt idx="148">
                  <c:v>1530.9</c:v>
                </c:pt>
                <c:pt idx="149">
                  <c:v>1530.89</c:v>
                </c:pt>
                <c:pt idx="150">
                  <c:v>1530.89</c:v>
                </c:pt>
                <c:pt idx="151">
                  <c:v>1530.88</c:v>
                </c:pt>
                <c:pt idx="152">
                  <c:v>1530.87</c:v>
                </c:pt>
                <c:pt idx="153">
                  <c:v>1530.87</c:v>
                </c:pt>
                <c:pt idx="154">
                  <c:v>1530.86</c:v>
                </c:pt>
                <c:pt idx="155">
                  <c:v>1530.85</c:v>
                </c:pt>
                <c:pt idx="156">
                  <c:v>1530.85</c:v>
                </c:pt>
                <c:pt idx="157">
                  <c:v>1531</c:v>
                </c:pt>
                <c:pt idx="158">
                  <c:v>1531.13</c:v>
                </c:pt>
                <c:pt idx="159">
                  <c:v>1531.43</c:v>
                </c:pt>
                <c:pt idx="160">
                  <c:v>1531.64</c:v>
                </c:pt>
                <c:pt idx="161">
                  <c:v>1531.51</c:v>
                </c:pt>
                <c:pt idx="162">
                  <c:v>1531.4</c:v>
                </c:pt>
                <c:pt idx="163">
                  <c:v>1531.47</c:v>
                </c:pt>
                <c:pt idx="164">
                  <c:v>1531.68</c:v>
                </c:pt>
                <c:pt idx="165">
                  <c:v>1531.86</c:v>
                </c:pt>
                <c:pt idx="166">
                  <c:v>1531.95</c:v>
                </c:pt>
                <c:pt idx="167">
                  <c:v>1531.84</c:v>
                </c:pt>
                <c:pt idx="168">
                  <c:v>1531.74</c:v>
                </c:pt>
                <c:pt idx="169">
                  <c:v>1531.7</c:v>
                </c:pt>
                <c:pt idx="170">
                  <c:v>1531.61</c:v>
                </c:pt>
                <c:pt idx="171">
                  <c:v>1531.59</c:v>
                </c:pt>
                <c:pt idx="172">
                  <c:v>1531.56</c:v>
                </c:pt>
                <c:pt idx="173">
                  <c:v>1531.54</c:v>
                </c:pt>
                <c:pt idx="174">
                  <c:v>1531.71</c:v>
                </c:pt>
                <c:pt idx="175">
                  <c:v>1531.5</c:v>
                </c:pt>
                <c:pt idx="176">
                  <c:v>1531.48</c:v>
                </c:pt>
                <c:pt idx="177">
                  <c:v>1531.47</c:v>
                </c:pt>
                <c:pt idx="178">
                  <c:v>1531.44</c:v>
                </c:pt>
                <c:pt idx="179">
                  <c:v>1531.41</c:v>
                </c:pt>
                <c:pt idx="180">
                  <c:v>1531.38</c:v>
                </c:pt>
                <c:pt idx="181">
                  <c:v>1531.38</c:v>
                </c:pt>
                <c:pt idx="182">
                  <c:v>1531.34</c:v>
                </c:pt>
                <c:pt idx="183">
                  <c:v>1531.32</c:v>
                </c:pt>
                <c:pt idx="184">
                  <c:v>1531.31</c:v>
                </c:pt>
                <c:pt idx="185">
                  <c:v>1531.29</c:v>
                </c:pt>
                <c:pt idx="186">
                  <c:v>1531.27</c:v>
                </c:pt>
                <c:pt idx="187">
                  <c:v>1531.26</c:v>
                </c:pt>
                <c:pt idx="188">
                  <c:v>1531.24</c:v>
                </c:pt>
                <c:pt idx="189">
                  <c:v>1531.22</c:v>
                </c:pt>
                <c:pt idx="190">
                  <c:v>1531.2</c:v>
                </c:pt>
                <c:pt idx="191">
                  <c:v>1531.19</c:v>
                </c:pt>
                <c:pt idx="192">
                  <c:v>1531.17</c:v>
                </c:pt>
                <c:pt idx="193">
                  <c:v>1531.14</c:v>
                </c:pt>
                <c:pt idx="194">
                  <c:v>1531.14</c:v>
                </c:pt>
                <c:pt idx="195">
                  <c:v>1531.13</c:v>
                </c:pt>
                <c:pt idx="196">
                  <c:v>1531.13</c:v>
                </c:pt>
                <c:pt idx="197">
                  <c:v>1531.13</c:v>
                </c:pt>
                <c:pt idx="198">
                  <c:v>1531.11</c:v>
                </c:pt>
                <c:pt idx="199">
                  <c:v>1531.1</c:v>
                </c:pt>
                <c:pt idx="200">
                  <c:v>1531.09</c:v>
                </c:pt>
                <c:pt idx="201">
                  <c:v>1531.08</c:v>
                </c:pt>
                <c:pt idx="202">
                  <c:v>1531.07</c:v>
                </c:pt>
                <c:pt idx="203">
                  <c:v>1531.06</c:v>
                </c:pt>
                <c:pt idx="204">
                  <c:v>1531.05</c:v>
                </c:pt>
                <c:pt idx="205">
                  <c:v>1531.04</c:v>
                </c:pt>
                <c:pt idx="206">
                  <c:v>1531.03</c:v>
                </c:pt>
                <c:pt idx="207">
                  <c:v>1531.02</c:v>
                </c:pt>
                <c:pt idx="208">
                  <c:v>1531.01</c:v>
                </c:pt>
                <c:pt idx="209">
                  <c:v>1531</c:v>
                </c:pt>
                <c:pt idx="210">
                  <c:v>1530.99</c:v>
                </c:pt>
                <c:pt idx="211">
                  <c:v>1530.98</c:v>
                </c:pt>
                <c:pt idx="212">
                  <c:v>1530.96</c:v>
                </c:pt>
                <c:pt idx="213">
                  <c:v>1530.95</c:v>
                </c:pt>
                <c:pt idx="214">
                  <c:v>1530.94</c:v>
                </c:pt>
                <c:pt idx="215">
                  <c:v>1530.93</c:v>
                </c:pt>
                <c:pt idx="216">
                  <c:v>1530.92</c:v>
                </c:pt>
                <c:pt idx="217">
                  <c:v>1530.9</c:v>
                </c:pt>
                <c:pt idx="218">
                  <c:v>1530.89</c:v>
                </c:pt>
                <c:pt idx="219">
                  <c:v>1530.91</c:v>
                </c:pt>
                <c:pt idx="220">
                  <c:v>1530.94</c:v>
                </c:pt>
                <c:pt idx="221">
                  <c:v>1530.96</c:v>
                </c:pt>
                <c:pt idx="222">
                  <c:v>1530.98</c:v>
                </c:pt>
                <c:pt idx="223">
                  <c:v>1530.97</c:v>
                </c:pt>
                <c:pt idx="224">
                  <c:v>1530.97</c:v>
                </c:pt>
                <c:pt idx="225">
                  <c:v>1530.97</c:v>
                </c:pt>
                <c:pt idx="226">
                  <c:v>1530.97</c:v>
                </c:pt>
                <c:pt idx="227">
                  <c:v>1530.95</c:v>
                </c:pt>
                <c:pt idx="228">
                  <c:v>1530.95</c:v>
                </c:pt>
                <c:pt idx="229">
                  <c:v>1530.96</c:v>
                </c:pt>
                <c:pt idx="230">
                  <c:v>1530.95</c:v>
                </c:pt>
                <c:pt idx="231">
                  <c:v>1530.94</c:v>
                </c:pt>
                <c:pt idx="232">
                  <c:v>1530.94</c:v>
                </c:pt>
                <c:pt idx="233">
                  <c:v>1530.94</c:v>
                </c:pt>
                <c:pt idx="234">
                  <c:v>1530.94</c:v>
                </c:pt>
                <c:pt idx="235">
                  <c:v>1530.95</c:v>
                </c:pt>
                <c:pt idx="236">
                  <c:v>1530.95</c:v>
                </c:pt>
                <c:pt idx="237">
                  <c:v>1530.94</c:v>
                </c:pt>
                <c:pt idx="238">
                  <c:v>1530.94</c:v>
                </c:pt>
                <c:pt idx="239">
                  <c:v>1530.93</c:v>
                </c:pt>
                <c:pt idx="240">
                  <c:v>1530.92</c:v>
                </c:pt>
                <c:pt idx="241">
                  <c:v>1530.92</c:v>
                </c:pt>
                <c:pt idx="242">
                  <c:v>1530.91</c:v>
                </c:pt>
                <c:pt idx="243">
                  <c:v>1530.91</c:v>
                </c:pt>
                <c:pt idx="244">
                  <c:v>1530.91</c:v>
                </c:pt>
                <c:pt idx="245">
                  <c:v>1530.9</c:v>
                </c:pt>
                <c:pt idx="246">
                  <c:v>1530.9</c:v>
                </c:pt>
                <c:pt idx="247">
                  <c:v>1530.89</c:v>
                </c:pt>
                <c:pt idx="248">
                  <c:v>1530.88</c:v>
                </c:pt>
                <c:pt idx="249">
                  <c:v>1530.88</c:v>
                </c:pt>
                <c:pt idx="250">
                  <c:v>1530.87</c:v>
                </c:pt>
                <c:pt idx="251">
                  <c:v>1530.87</c:v>
                </c:pt>
                <c:pt idx="252">
                  <c:v>1530.86</c:v>
                </c:pt>
                <c:pt idx="253">
                  <c:v>1530.85</c:v>
                </c:pt>
                <c:pt idx="254">
                  <c:v>1530.84</c:v>
                </c:pt>
                <c:pt idx="255">
                  <c:v>1530.84</c:v>
                </c:pt>
                <c:pt idx="256">
                  <c:v>1530.83</c:v>
                </c:pt>
                <c:pt idx="257">
                  <c:v>1530.82</c:v>
                </c:pt>
                <c:pt idx="258">
                  <c:v>1530.81</c:v>
                </c:pt>
                <c:pt idx="259">
                  <c:v>1530.81</c:v>
                </c:pt>
                <c:pt idx="260">
                  <c:v>1530.8</c:v>
                </c:pt>
                <c:pt idx="261">
                  <c:v>1530.79</c:v>
                </c:pt>
                <c:pt idx="262">
                  <c:v>1530.79</c:v>
                </c:pt>
                <c:pt idx="263">
                  <c:v>1530.78</c:v>
                </c:pt>
                <c:pt idx="264">
                  <c:v>1530.77</c:v>
                </c:pt>
                <c:pt idx="265">
                  <c:v>1530.76</c:v>
                </c:pt>
                <c:pt idx="266">
                  <c:v>1530.75</c:v>
                </c:pt>
                <c:pt idx="267">
                  <c:v>1530.75</c:v>
                </c:pt>
                <c:pt idx="268">
                  <c:v>1530.74</c:v>
                </c:pt>
                <c:pt idx="269">
                  <c:v>1530.73</c:v>
                </c:pt>
                <c:pt idx="270">
                  <c:v>1530.73</c:v>
                </c:pt>
                <c:pt idx="271">
                  <c:v>1530.72</c:v>
                </c:pt>
                <c:pt idx="272">
                  <c:v>1530.71</c:v>
                </c:pt>
                <c:pt idx="273">
                  <c:v>1530.7</c:v>
                </c:pt>
                <c:pt idx="274">
                  <c:v>1530.7</c:v>
                </c:pt>
                <c:pt idx="275">
                  <c:v>1530.69</c:v>
                </c:pt>
                <c:pt idx="276">
                  <c:v>1530.68</c:v>
                </c:pt>
                <c:pt idx="277">
                  <c:v>1530.68</c:v>
                </c:pt>
                <c:pt idx="278">
                  <c:v>1530.67</c:v>
                </c:pt>
                <c:pt idx="279">
                  <c:v>1530.66</c:v>
                </c:pt>
                <c:pt idx="280">
                  <c:v>1530.66</c:v>
                </c:pt>
                <c:pt idx="281">
                  <c:v>1530.65</c:v>
                </c:pt>
                <c:pt idx="282">
                  <c:v>1530.65</c:v>
                </c:pt>
                <c:pt idx="283">
                  <c:v>1530.64</c:v>
                </c:pt>
                <c:pt idx="284">
                  <c:v>1530.63</c:v>
                </c:pt>
                <c:pt idx="285">
                  <c:v>1530.63</c:v>
                </c:pt>
                <c:pt idx="286">
                  <c:v>1530.62</c:v>
                </c:pt>
                <c:pt idx="287">
                  <c:v>1530.61</c:v>
                </c:pt>
                <c:pt idx="288">
                  <c:v>1530.61</c:v>
                </c:pt>
                <c:pt idx="289">
                  <c:v>1530.6</c:v>
                </c:pt>
                <c:pt idx="290">
                  <c:v>1530.6</c:v>
                </c:pt>
                <c:pt idx="291">
                  <c:v>1530.59</c:v>
                </c:pt>
                <c:pt idx="292">
                  <c:v>1530.59</c:v>
                </c:pt>
                <c:pt idx="293">
                  <c:v>1530.58</c:v>
                </c:pt>
                <c:pt idx="294">
                  <c:v>1530.58</c:v>
                </c:pt>
                <c:pt idx="295">
                  <c:v>1530.57</c:v>
                </c:pt>
                <c:pt idx="296">
                  <c:v>1530.57</c:v>
                </c:pt>
                <c:pt idx="297">
                  <c:v>1530.56</c:v>
                </c:pt>
                <c:pt idx="298">
                  <c:v>1530.56</c:v>
                </c:pt>
                <c:pt idx="299">
                  <c:v>1530.55</c:v>
                </c:pt>
                <c:pt idx="300">
                  <c:v>1530.56</c:v>
                </c:pt>
                <c:pt idx="301">
                  <c:v>1530.54</c:v>
                </c:pt>
                <c:pt idx="302">
                  <c:v>1530.54</c:v>
                </c:pt>
                <c:pt idx="303">
                  <c:v>1530.53</c:v>
                </c:pt>
                <c:pt idx="304">
                  <c:v>1530.53</c:v>
                </c:pt>
                <c:pt idx="305">
                  <c:v>1530.55</c:v>
                </c:pt>
                <c:pt idx="306">
                  <c:v>1530.66</c:v>
                </c:pt>
                <c:pt idx="307">
                  <c:v>1530.81</c:v>
                </c:pt>
                <c:pt idx="308">
                  <c:v>1531.14</c:v>
                </c:pt>
                <c:pt idx="309">
                  <c:v>1531.64</c:v>
                </c:pt>
                <c:pt idx="310">
                  <c:v>1532.18</c:v>
                </c:pt>
                <c:pt idx="311">
                  <c:v>1533.47</c:v>
                </c:pt>
                <c:pt idx="312">
                  <c:v>1534.58</c:v>
                </c:pt>
                <c:pt idx="313">
                  <c:v>1536.72</c:v>
                </c:pt>
                <c:pt idx="314">
                  <c:v>1540.06</c:v>
                </c:pt>
                <c:pt idx="315">
                  <c:v>1541.61</c:v>
                </c:pt>
                <c:pt idx="316">
                  <c:v>1543.27</c:v>
                </c:pt>
                <c:pt idx="317">
                  <c:v>1543.45</c:v>
                </c:pt>
                <c:pt idx="318">
                  <c:v>1542.66</c:v>
                </c:pt>
                <c:pt idx="319">
                  <c:v>1541.9</c:v>
                </c:pt>
                <c:pt idx="320">
                  <c:v>1540.92</c:v>
                </c:pt>
                <c:pt idx="321">
                  <c:v>1540.19</c:v>
                </c:pt>
                <c:pt idx="322">
                  <c:v>1539.55</c:v>
                </c:pt>
                <c:pt idx="323">
                  <c:v>1539.68</c:v>
                </c:pt>
                <c:pt idx="324">
                  <c:v>1538.96</c:v>
                </c:pt>
                <c:pt idx="325">
                  <c:v>1538.84</c:v>
                </c:pt>
                <c:pt idx="326">
                  <c:v>1538.96</c:v>
                </c:pt>
                <c:pt idx="327">
                  <c:v>1538.77</c:v>
                </c:pt>
                <c:pt idx="328">
                  <c:v>1538.88</c:v>
                </c:pt>
                <c:pt idx="329">
                  <c:v>1538.75</c:v>
                </c:pt>
                <c:pt idx="330">
                  <c:v>1538.93</c:v>
                </c:pt>
                <c:pt idx="331">
                  <c:v>1538.95</c:v>
                </c:pt>
                <c:pt idx="332">
                  <c:v>1539.2</c:v>
                </c:pt>
                <c:pt idx="333">
                  <c:v>1539.28</c:v>
                </c:pt>
                <c:pt idx="334">
                  <c:v>1539.27</c:v>
                </c:pt>
                <c:pt idx="335">
                  <c:v>1539.29</c:v>
                </c:pt>
                <c:pt idx="336">
                  <c:v>1539</c:v>
                </c:pt>
                <c:pt idx="337">
                  <c:v>1538.93</c:v>
                </c:pt>
                <c:pt idx="338">
                  <c:v>1538.69</c:v>
                </c:pt>
                <c:pt idx="339">
                  <c:v>1538.48</c:v>
                </c:pt>
                <c:pt idx="340">
                  <c:v>1538.27</c:v>
                </c:pt>
                <c:pt idx="341">
                  <c:v>1538.05</c:v>
                </c:pt>
                <c:pt idx="342">
                  <c:v>1537.87</c:v>
                </c:pt>
                <c:pt idx="343">
                  <c:v>1537.65</c:v>
                </c:pt>
                <c:pt idx="344">
                  <c:v>1537.41</c:v>
                </c:pt>
                <c:pt idx="345">
                  <c:v>1537.14</c:v>
                </c:pt>
                <c:pt idx="346">
                  <c:v>1536.96</c:v>
                </c:pt>
                <c:pt idx="347">
                  <c:v>1536.78</c:v>
                </c:pt>
                <c:pt idx="348">
                  <c:v>1536.58</c:v>
                </c:pt>
                <c:pt idx="349">
                  <c:v>1536.36</c:v>
                </c:pt>
                <c:pt idx="350">
                  <c:v>1536.19</c:v>
                </c:pt>
                <c:pt idx="351">
                  <c:v>1536</c:v>
                </c:pt>
                <c:pt idx="352">
                  <c:v>1535.83</c:v>
                </c:pt>
                <c:pt idx="353">
                  <c:v>1535.66</c:v>
                </c:pt>
                <c:pt idx="354">
                  <c:v>1535.47</c:v>
                </c:pt>
                <c:pt idx="355">
                  <c:v>1535.31</c:v>
                </c:pt>
                <c:pt idx="356">
                  <c:v>1535.18</c:v>
                </c:pt>
                <c:pt idx="357">
                  <c:v>1535.05</c:v>
                </c:pt>
                <c:pt idx="358">
                  <c:v>1534.96</c:v>
                </c:pt>
                <c:pt idx="359">
                  <c:v>1534.83</c:v>
                </c:pt>
                <c:pt idx="360">
                  <c:v>1534.76</c:v>
                </c:pt>
                <c:pt idx="361">
                  <c:v>1534.64</c:v>
                </c:pt>
                <c:pt idx="362">
                  <c:v>1534.56</c:v>
                </c:pt>
                <c:pt idx="363">
                  <c:v>1534.47</c:v>
                </c:pt>
                <c:pt idx="364">
                  <c:v>1534.41</c:v>
                </c:pt>
                <c:pt idx="365">
                  <c:v>1534.33</c:v>
                </c:pt>
                <c:pt idx="366">
                  <c:v>1534.27</c:v>
                </c:pt>
                <c:pt idx="367">
                  <c:v>1534.2</c:v>
                </c:pt>
                <c:pt idx="368">
                  <c:v>1534.14</c:v>
                </c:pt>
                <c:pt idx="369">
                  <c:v>1534.08</c:v>
                </c:pt>
                <c:pt idx="370">
                  <c:v>1534.03</c:v>
                </c:pt>
                <c:pt idx="371">
                  <c:v>1533.98</c:v>
                </c:pt>
                <c:pt idx="372">
                  <c:v>1533.94</c:v>
                </c:pt>
                <c:pt idx="373">
                  <c:v>1533.89</c:v>
                </c:pt>
                <c:pt idx="374">
                  <c:v>1533.82</c:v>
                </c:pt>
                <c:pt idx="375">
                  <c:v>1533.78</c:v>
                </c:pt>
                <c:pt idx="376">
                  <c:v>1533.73</c:v>
                </c:pt>
                <c:pt idx="377">
                  <c:v>1533.7</c:v>
                </c:pt>
                <c:pt idx="378">
                  <c:v>1533.65</c:v>
                </c:pt>
                <c:pt idx="379">
                  <c:v>1533.59</c:v>
                </c:pt>
                <c:pt idx="380">
                  <c:v>1533.55</c:v>
                </c:pt>
                <c:pt idx="381">
                  <c:v>1533.49</c:v>
                </c:pt>
                <c:pt idx="382">
                  <c:v>1533.45</c:v>
                </c:pt>
                <c:pt idx="383">
                  <c:v>1533.43</c:v>
                </c:pt>
                <c:pt idx="384">
                  <c:v>1533.38</c:v>
                </c:pt>
                <c:pt idx="385">
                  <c:v>1533.34</c:v>
                </c:pt>
                <c:pt idx="386">
                  <c:v>1533.31</c:v>
                </c:pt>
                <c:pt idx="387">
                  <c:v>1533.26</c:v>
                </c:pt>
                <c:pt idx="388">
                  <c:v>1533.23</c:v>
                </c:pt>
                <c:pt idx="389">
                  <c:v>1533.17</c:v>
                </c:pt>
                <c:pt idx="390">
                  <c:v>1533.16</c:v>
                </c:pt>
                <c:pt idx="391">
                  <c:v>1533.13</c:v>
                </c:pt>
                <c:pt idx="392">
                  <c:v>1533.08</c:v>
                </c:pt>
                <c:pt idx="393">
                  <c:v>1533.05</c:v>
                </c:pt>
                <c:pt idx="394">
                  <c:v>1533.04</c:v>
                </c:pt>
                <c:pt idx="395">
                  <c:v>1533</c:v>
                </c:pt>
                <c:pt idx="396">
                  <c:v>1532.97</c:v>
                </c:pt>
                <c:pt idx="397">
                  <c:v>1532.94</c:v>
                </c:pt>
                <c:pt idx="398">
                  <c:v>1532.91</c:v>
                </c:pt>
                <c:pt idx="399">
                  <c:v>1532.89</c:v>
                </c:pt>
                <c:pt idx="400">
                  <c:v>1532.86</c:v>
                </c:pt>
                <c:pt idx="401">
                  <c:v>1532.84</c:v>
                </c:pt>
                <c:pt idx="402">
                  <c:v>1532.81</c:v>
                </c:pt>
                <c:pt idx="403">
                  <c:v>1532.77</c:v>
                </c:pt>
                <c:pt idx="404">
                  <c:v>1532.76</c:v>
                </c:pt>
                <c:pt idx="405">
                  <c:v>1532.74</c:v>
                </c:pt>
                <c:pt idx="406">
                  <c:v>1532.71</c:v>
                </c:pt>
                <c:pt idx="407">
                  <c:v>1532.7</c:v>
                </c:pt>
                <c:pt idx="408">
                  <c:v>1532.67</c:v>
                </c:pt>
                <c:pt idx="409">
                  <c:v>1532.64</c:v>
                </c:pt>
                <c:pt idx="410">
                  <c:v>1532.63</c:v>
                </c:pt>
                <c:pt idx="411">
                  <c:v>1532.6</c:v>
                </c:pt>
                <c:pt idx="412">
                  <c:v>1532.58</c:v>
                </c:pt>
                <c:pt idx="413">
                  <c:v>1532.57</c:v>
                </c:pt>
                <c:pt idx="414">
                  <c:v>1532.53</c:v>
                </c:pt>
                <c:pt idx="415">
                  <c:v>1532.53</c:v>
                </c:pt>
                <c:pt idx="416">
                  <c:v>1532.48</c:v>
                </c:pt>
                <c:pt idx="417">
                  <c:v>1532.48</c:v>
                </c:pt>
                <c:pt idx="418">
                  <c:v>1532.44</c:v>
                </c:pt>
                <c:pt idx="419">
                  <c:v>1532.45</c:v>
                </c:pt>
                <c:pt idx="420">
                  <c:v>1532.41</c:v>
                </c:pt>
                <c:pt idx="421">
                  <c:v>1532.39</c:v>
                </c:pt>
                <c:pt idx="422">
                  <c:v>1532.37</c:v>
                </c:pt>
                <c:pt idx="423">
                  <c:v>1532.36</c:v>
                </c:pt>
                <c:pt idx="424">
                  <c:v>1532.34</c:v>
                </c:pt>
                <c:pt idx="425">
                  <c:v>1532.3</c:v>
                </c:pt>
                <c:pt idx="426">
                  <c:v>1532.32</c:v>
                </c:pt>
                <c:pt idx="427">
                  <c:v>1532.29</c:v>
                </c:pt>
                <c:pt idx="428">
                  <c:v>1532.27</c:v>
                </c:pt>
                <c:pt idx="429">
                  <c:v>1532.23</c:v>
                </c:pt>
                <c:pt idx="430">
                  <c:v>1532.22</c:v>
                </c:pt>
                <c:pt idx="431">
                  <c:v>1532.2</c:v>
                </c:pt>
                <c:pt idx="432">
                  <c:v>1532.19</c:v>
                </c:pt>
                <c:pt idx="433">
                  <c:v>1532.18</c:v>
                </c:pt>
                <c:pt idx="434">
                  <c:v>1532.17</c:v>
                </c:pt>
                <c:pt idx="435">
                  <c:v>1532.14</c:v>
                </c:pt>
                <c:pt idx="436">
                  <c:v>1532.14</c:v>
                </c:pt>
                <c:pt idx="437">
                  <c:v>1532.1</c:v>
                </c:pt>
                <c:pt idx="438">
                  <c:v>1532.11</c:v>
                </c:pt>
                <c:pt idx="439">
                  <c:v>1532.08</c:v>
                </c:pt>
                <c:pt idx="440">
                  <c:v>1532.07</c:v>
                </c:pt>
                <c:pt idx="441">
                  <c:v>1532.06</c:v>
                </c:pt>
                <c:pt idx="442">
                  <c:v>1532.04</c:v>
                </c:pt>
                <c:pt idx="443">
                  <c:v>1532.03</c:v>
                </c:pt>
                <c:pt idx="444">
                  <c:v>1532.01</c:v>
                </c:pt>
                <c:pt idx="445">
                  <c:v>1531.98</c:v>
                </c:pt>
                <c:pt idx="446">
                  <c:v>1531.99</c:v>
                </c:pt>
                <c:pt idx="447">
                  <c:v>1531.96</c:v>
                </c:pt>
                <c:pt idx="448">
                  <c:v>1531.95</c:v>
                </c:pt>
                <c:pt idx="449">
                  <c:v>1531.94</c:v>
                </c:pt>
                <c:pt idx="450">
                  <c:v>1531.92</c:v>
                </c:pt>
                <c:pt idx="451">
                  <c:v>1531.91</c:v>
                </c:pt>
                <c:pt idx="452">
                  <c:v>1531.9</c:v>
                </c:pt>
                <c:pt idx="453">
                  <c:v>1531.88</c:v>
                </c:pt>
                <c:pt idx="454">
                  <c:v>1531.87</c:v>
                </c:pt>
                <c:pt idx="455">
                  <c:v>1531.85</c:v>
                </c:pt>
                <c:pt idx="456">
                  <c:v>1531.84</c:v>
                </c:pt>
                <c:pt idx="457">
                  <c:v>1531.83</c:v>
                </c:pt>
                <c:pt idx="458">
                  <c:v>1531.82</c:v>
                </c:pt>
                <c:pt idx="459">
                  <c:v>1531.81</c:v>
                </c:pt>
                <c:pt idx="460">
                  <c:v>1531.8</c:v>
                </c:pt>
                <c:pt idx="461">
                  <c:v>1531.78</c:v>
                </c:pt>
                <c:pt idx="462">
                  <c:v>1531.76</c:v>
                </c:pt>
                <c:pt idx="463">
                  <c:v>1531.75</c:v>
                </c:pt>
                <c:pt idx="464">
                  <c:v>1531.74</c:v>
                </c:pt>
                <c:pt idx="465">
                  <c:v>1531.72</c:v>
                </c:pt>
                <c:pt idx="466">
                  <c:v>1531.71</c:v>
                </c:pt>
                <c:pt idx="467">
                  <c:v>1531.7</c:v>
                </c:pt>
                <c:pt idx="468">
                  <c:v>1531.69</c:v>
                </c:pt>
                <c:pt idx="469">
                  <c:v>1531.67</c:v>
                </c:pt>
                <c:pt idx="470">
                  <c:v>1531.66</c:v>
                </c:pt>
                <c:pt idx="471">
                  <c:v>1531.66</c:v>
                </c:pt>
                <c:pt idx="472">
                  <c:v>1531.65</c:v>
                </c:pt>
                <c:pt idx="473">
                  <c:v>1531.64</c:v>
                </c:pt>
                <c:pt idx="474">
                  <c:v>1531.62</c:v>
                </c:pt>
                <c:pt idx="475">
                  <c:v>1531.61</c:v>
                </c:pt>
                <c:pt idx="476">
                  <c:v>1531.59</c:v>
                </c:pt>
                <c:pt idx="477">
                  <c:v>1531.58</c:v>
                </c:pt>
                <c:pt idx="478">
                  <c:v>1531.57</c:v>
                </c:pt>
                <c:pt idx="479">
                  <c:v>1531.56</c:v>
                </c:pt>
                <c:pt idx="480">
                  <c:v>1531.55</c:v>
                </c:pt>
                <c:pt idx="481">
                  <c:v>1531.54</c:v>
                </c:pt>
                <c:pt idx="482">
                  <c:v>1531.53</c:v>
                </c:pt>
                <c:pt idx="483">
                  <c:v>1531.52</c:v>
                </c:pt>
                <c:pt idx="484">
                  <c:v>1531.51</c:v>
                </c:pt>
                <c:pt idx="485">
                  <c:v>1531.5</c:v>
                </c:pt>
                <c:pt idx="486">
                  <c:v>1531.49</c:v>
                </c:pt>
                <c:pt idx="487">
                  <c:v>1531.47</c:v>
                </c:pt>
                <c:pt idx="488">
                  <c:v>1531.46</c:v>
                </c:pt>
                <c:pt idx="489">
                  <c:v>1531.45</c:v>
                </c:pt>
                <c:pt idx="490">
                  <c:v>1531.44</c:v>
                </c:pt>
                <c:pt idx="491">
                  <c:v>1531.43</c:v>
                </c:pt>
                <c:pt idx="492">
                  <c:v>1531.42</c:v>
                </c:pt>
                <c:pt idx="493">
                  <c:v>1531.41</c:v>
                </c:pt>
                <c:pt idx="494">
                  <c:v>1531.4</c:v>
                </c:pt>
                <c:pt idx="495">
                  <c:v>1531.39</c:v>
                </c:pt>
                <c:pt idx="496">
                  <c:v>1531.38</c:v>
                </c:pt>
                <c:pt idx="497">
                  <c:v>1531.37</c:v>
                </c:pt>
                <c:pt idx="498">
                  <c:v>1531.36</c:v>
                </c:pt>
                <c:pt idx="499">
                  <c:v>1531.35</c:v>
                </c:pt>
                <c:pt idx="500">
                  <c:v>1531.34</c:v>
                </c:pt>
                <c:pt idx="501">
                  <c:v>1531.33</c:v>
                </c:pt>
                <c:pt idx="502">
                  <c:v>1531.32</c:v>
                </c:pt>
                <c:pt idx="503">
                  <c:v>1531.31</c:v>
                </c:pt>
                <c:pt idx="504">
                  <c:v>1531.3</c:v>
                </c:pt>
                <c:pt idx="505">
                  <c:v>1531.29</c:v>
                </c:pt>
                <c:pt idx="506">
                  <c:v>1531.28</c:v>
                </c:pt>
                <c:pt idx="507">
                  <c:v>1531.27</c:v>
                </c:pt>
                <c:pt idx="508">
                  <c:v>1531.26</c:v>
                </c:pt>
                <c:pt idx="509">
                  <c:v>1531.27</c:v>
                </c:pt>
                <c:pt idx="510">
                  <c:v>1531.25</c:v>
                </c:pt>
                <c:pt idx="511">
                  <c:v>1531.24</c:v>
                </c:pt>
                <c:pt idx="512">
                  <c:v>1531.23</c:v>
                </c:pt>
                <c:pt idx="513">
                  <c:v>1531.22</c:v>
                </c:pt>
                <c:pt idx="514">
                  <c:v>1531.2</c:v>
                </c:pt>
                <c:pt idx="515">
                  <c:v>1531.21</c:v>
                </c:pt>
                <c:pt idx="516">
                  <c:v>1531.19</c:v>
                </c:pt>
                <c:pt idx="517">
                  <c:v>1531.19</c:v>
                </c:pt>
                <c:pt idx="518">
                  <c:v>1531.18</c:v>
                </c:pt>
                <c:pt idx="519">
                  <c:v>1531.17</c:v>
                </c:pt>
                <c:pt idx="520">
                  <c:v>1531.16</c:v>
                </c:pt>
                <c:pt idx="521">
                  <c:v>1531.15</c:v>
                </c:pt>
                <c:pt idx="522">
                  <c:v>1531.15</c:v>
                </c:pt>
                <c:pt idx="523">
                  <c:v>1531.13</c:v>
                </c:pt>
                <c:pt idx="524">
                  <c:v>1531.12</c:v>
                </c:pt>
                <c:pt idx="525">
                  <c:v>1531.12</c:v>
                </c:pt>
                <c:pt idx="526">
                  <c:v>1531.1</c:v>
                </c:pt>
                <c:pt idx="527">
                  <c:v>1531.09</c:v>
                </c:pt>
                <c:pt idx="528">
                  <c:v>1531.09</c:v>
                </c:pt>
              </c:numCache>
            </c:numRef>
          </c:yVal>
          <c:smooth val="0"/>
          <c:extLst>
            <c:ext xmlns:c16="http://schemas.microsoft.com/office/drawing/2014/chart" uri="{C3380CC4-5D6E-409C-BE32-E72D297353CC}">
              <c16:uniqueId val="{00000001-8DA7-4939-940E-D7E0C59A2B81}"/>
            </c:ext>
          </c:extLst>
        </c:ser>
        <c:ser>
          <c:idx val="7"/>
          <c:order val="7"/>
          <c:tx>
            <c:v>Obs Statisics Range</c:v>
          </c:tx>
          <c:spPr>
            <a:ln>
              <a:noFill/>
            </a:ln>
          </c:spPr>
          <c:marker>
            <c:symbol val="circle"/>
            <c:size val="5"/>
            <c:spPr>
              <a:solidFill>
                <a:schemeClr val="tx1">
                  <a:lumMod val="75000"/>
                  <a:lumOff val="25000"/>
                </a:schemeClr>
              </a:solidFill>
              <a:ln>
                <a:solidFill>
                  <a:schemeClr val="tx1">
                    <a:lumMod val="75000"/>
                    <a:lumOff val="25000"/>
                  </a:schemeClr>
                </a:solidFill>
              </a:ln>
            </c:spPr>
          </c:marker>
          <c:xVal>
            <c:numRef>
              <c:f>Gage_and_Event!$AO$5:$AO$2000</c:f>
              <c:numCache>
                <c:formatCode>m/d/yy\ h:mm;@</c:formatCode>
                <c:ptCount val="1996"/>
                <c:pt idx="0">
                  <c:v>37931.541666666664</c:v>
                </c:pt>
                <c:pt idx="1">
                  <c:v>37931.583333333336</c:v>
                </c:pt>
                <c:pt idx="2">
                  <c:v>37931.625</c:v>
                </c:pt>
                <c:pt idx="3">
                  <c:v>37931.666666666664</c:v>
                </c:pt>
                <c:pt idx="4">
                  <c:v>37931.708333333336</c:v>
                </c:pt>
                <c:pt idx="5">
                  <c:v>37931.75</c:v>
                </c:pt>
                <c:pt idx="6">
                  <c:v>37931.791666666664</c:v>
                </c:pt>
                <c:pt idx="7">
                  <c:v>37931.833333333336</c:v>
                </c:pt>
                <c:pt idx="8">
                  <c:v>37931.875</c:v>
                </c:pt>
                <c:pt idx="9">
                  <c:v>37931.916666666664</c:v>
                </c:pt>
                <c:pt idx="10">
                  <c:v>37931.958333333336</c:v>
                </c:pt>
                <c:pt idx="11">
                  <c:v>37932</c:v>
                </c:pt>
                <c:pt idx="12">
                  <c:v>37932.041666666664</c:v>
                </c:pt>
                <c:pt idx="13">
                  <c:v>37932.083333333336</c:v>
                </c:pt>
                <c:pt idx="14">
                  <c:v>37932.125</c:v>
                </c:pt>
                <c:pt idx="15">
                  <c:v>37932.166666666664</c:v>
                </c:pt>
                <c:pt idx="16">
                  <c:v>37932.208333333336</c:v>
                </c:pt>
                <c:pt idx="17">
                  <c:v>37932.25</c:v>
                </c:pt>
                <c:pt idx="18">
                  <c:v>37932.291666666664</c:v>
                </c:pt>
                <c:pt idx="19">
                  <c:v>37932.333333333336</c:v>
                </c:pt>
                <c:pt idx="20">
                  <c:v>37932.375</c:v>
                </c:pt>
                <c:pt idx="21">
                  <c:v>37932.416666666664</c:v>
                </c:pt>
                <c:pt idx="22">
                  <c:v>37932.458333333336</c:v>
                </c:pt>
                <c:pt idx="23">
                  <c:v>37932.5</c:v>
                </c:pt>
                <c:pt idx="24">
                  <c:v>37932.541666666664</c:v>
                </c:pt>
                <c:pt idx="25">
                  <c:v>37932.583333333336</c:v>
                </c:pt>
                <c:pt idx="26">
                  <c:v>37932.625</c:v>
                </c:pt>
                <c:pt idx="27">
                  <c:v>37932.666666666664</c:v>
                </c:pt>
                <c:pt idx="28">
                  <c:v>37932.708333333336</c:v>
                </c:pt>
                <c:pt idx="29">
                  <c:v>37932.75</c:v>
                </c:pt>
                <c:pt idx="30">
                  <c:v>37932.791666666664</c:v>
                </c:pt>
                <c:pt idx="31">
                  <c:v>37932.833333333336</c:v>
                </c:pt>
                <c:pt idx="32">
                  <c:v>37932.875</c:v>
                </c:pt>
                <c:pt idx="33">
                  <c:v>37932.916666666664</c:v>
                </c:pt>
                <c:pt idx="34">
                  <c:v>37932.958333333336</c:v>
                </c:pt>
                <c:pt idx="35">
                  <c:v>37933</c:v>
                </c:pt>
                <c:pt idx="36">
                  <c:v>37933.041666666664</c:v>
                </c:pt>
                <c:pt idx="37">
                  <c:v>37933.083333333336</c:v>
                </c:pt>
                <c:pt idx="38">
                  <c:v>37933.125</c:v>
                </c:pt>
                <c:pt idx="39">
                  <c:v>37933.166666666664</c:v>
                </c:pt>
                <c:pt idx="40">
                  <c:v>37933.208333333336</c:v>
                </c:pt>
                <c:pt idx="41">
                  <c:v>37933.25</c:v>
                </c:pt>
                <c:pt idx="42">
                  <c:v>37933.291666666664</c:v>
                </c:pt>
                <c:pt idx="43">
                  <c:v>37933.333333333336</c:v>
                </c:pt>
                <c:pt idx="44">
                  <c:v>37933.375</c:v>
                </c:pt>
                <c:pt idx="45">
                  <c:v>37933.416666666664</c:v>
                </c:pt>
                <c:pt idx="46">
                  <c:v>37933.458333333336</c:v>
                </c:pt>
                <c:pt idx="47">
                  <c:v>37933.5</c:v>
                </c:pt>
                <c:pt idx="48">
                  <c:v>37933.541666666664</c:v>
                </c:pt>
                <c:pt idx="49">
                  <c:v>37933.583333333336</c:v>
                </c:pt>
                <c:pt idx="50">
                  <c:v>37933.625</c:v>
                </c:pt>
                <c:pt idx="51">
                  <c:v>37933.666666666664</c:v>
                </c:pt>
                <c:pt idx="52">
                  <c:v>37933.708333333336</c:v>
                </c:pt>
                <c:pt idx="53">
                  <c:v>37933.75</c:v>
                </c:pt>
                <c:pt idx="54">
                  <c:v>37933.791666666664</c:v>
                </c:pt>
                <c:pt idx="55">
                  <c:v>37933.833333333336</c:v>
                </c:pt>
                <c:pt idx="56">
                  <c:v>37933.875</c:v>
                </c:pt>
                <c:pt idx="57">
                  <c:v>37933.916666666664</c:v>
                </c:pt>
                <c:pt idx="58">
                  <c:v>37933.958333333336</c:v>
                </c:pt>
                <c:pt idx="59">
                  <c:v>37934</c:v>
                </c:pt>
                <c:pt idx="60">
                  <c:v>37934.041666666664</c:v>
                </c:pt>
                <c:pt idx="61">
                  <c:v>37934.083333333336</c:v>
                </c:pt>
                <c:pt idx="62">
                  <c:v>37934.125</c:v>
                </c:pt>
                <c:pt idx="63">
                  <c:v>37934.166666666664</c:v>
                </c:pt>
                <c:pt idx="64">
                  <c:v>37934.208333333336</c:v>
                </c:pt>
                <c:pt idx="65">
                  <c:v>37934.25</c:v>
                </c:pt>
                <c:pt idx="66">
                  <c:v>37934.291666666664</c:v>
                </c:pt>
                <c:pt idx="67">
                  <c:v>37934.333333333336</c:v>
                </c:pt>
                <c:pt idx="68">
                  <c:v>37934.375</c:v>
                </c:pt>
                <c:pt idx="69">
                  <c:v>37934.416666666664</c:v>
                </c:pt>
                <c:pt idx="70">
                  <c:v>37934.458333333336</c:v>
                </c:pt>
                <c:pt idx="71">
                  <c:v>37934.5</c:v>
                </c:pt>
                <c:pt idx="72">
                  <c:v>37934.541666666664</c:v>
                </c:pt>
                <c:pt idx="73">
                  <c:v>37934.583333333336</c:v>
                </c:pt>
                <c:pt idx="74">
                  <c:v>37934.625</c:v>
                </c:pt>
                <c:pt idx="75">
                  <c:v>37934.666666666664</c:v>
                </c:pt>
                <c:pt idx="76">
                  <c:v>37934.708333333336</c:v>
                </c:pt>
                <c:pt idx="77">
                  <c:v>37934.75</c:v>
                </c:pt>
                <c:pt idx="78">
                  <c:v>37934.791666666664</c:v>
                </c:pt>
                <c:pt idx="79">
                  <c:v>37934.833333333336</c:v>
                </c:pt>
                <c:pt idx="80">
                  <c:v>37934.875</c:v>
                </c:pt>
                <c:pt idx="81">
                  <c:v>37934.916666666664</c:v>
                </c:pt>
                <c:pt idx="82">
                  <c:v>37934.958333333336</c:v>
                </c:pt>
                <c:pt idx="83">
                  <c:v>37935</c:v>
                </c:pt>
                <c:pt idx="84">
                  <c:v>37935.041666666664</c:v>
                </c:pt>
                <c:pt idx="85">
                  <c:v>37935.083333333336</c:v>
                </c:pt>
                <c:pt idx="86">
                  <c:v>37935.125</c:v>
                </c:pt>
                <c:pt idx="87">
                  <c:v>37935.166666666664</c:v>
                </c:pt>
                <c:pt idx="88">
                  <c:v>37935.208333333336</c:v>
                </c:pt>
                <c:pt idx="89">
                  <c:v>37935.25</c:v>
                </c:pt>
                <c:pt idx="90">
                  <c:v>37935.291666666664</c:v>
                </c:pt>
                <c:pt idx="91">
                  <c:v>37935.333333333336</c:v>
                </c:pt>
                <c:pt idx="92">
                  <c:v>37935.375</c:v>
                </c:pt>
                <c:pt idx="93">
                  <c:v>37935.416666666664</c:v>
                </c:pt>
                <c:pt idx="94">
                  <c:v>37935.458333333336</c:v>
                </c:pt>
                <c:pt idx="95">
                  <c:v>37935.5</c:v>
                </c:pt>
                <c:pt idx="96">
                  <c:v>37935.541666666664</c:v>
                </c:pt>
                <c:pt idx="97">
                  <c:v>37935.583333333336</c:v>
                </c:pt>
                <c:pt idx="98">
                  <c:v>37935.625</c:v>
                </c:pt>
                <c:pt idx="99">
                  <c:v>37935.666666666664</c:v>
                </c:pt>
                <c:pt idx="100">
                  <c:v>37935.708333333336</c:v>
                </c:pt>
                <c:pt idx="101">
                  <c:v>37935.75</c:v>
                </c:pt>
                <c:pt idx="102">
                  <c:v>37935.791666666664</c:v>
                </c:pt>
                <c:pt idx="103">
                  <c:v>37935.833333333336</c:v>
                </c:pt>
                <c:pt idx="104">
                  <c:v>37935.875</c:v>
                </c:pt>
                <c:pt idx="105">
                  <c:v>37935.916666666664</c:v>
                </c:pt>
                <c:pt idx="106">
                  <c:v>37935.958333333336</c:v>
                </c:pt>
                <c:pt idx="107">
                  <c:v>37936</c:v>
                </c:pt>
                <c:pt idx="108">
                  <c:v>37936.041666666664</c:v>
                </c:pt>
                <c:pt idx="109">
                  <c:v>37936.083333333336</c:v>
                </c:pt>
                <c:pt idx="110">
                  <c:v>37936.125</c:v>
                </c:pt>
                <c:pt idx="111">
                  <c:v>37936.166666666664</c:v>
                </c:pt>
                <c:pt idx="112">
                  <c:v>37936.208333333336</c:v>
                </c:pt>
                <c:pt idx="113">
                  <c:v>37936.25</c:v>
                </c:pt>
                <c:pt idx="114">
                  <c:v>37936.291666666664</c:v>
                </c:pt>
                <c:pt idx="115">
                  <c:v>37936.333333333336</c:v>
                </c:pt>
                <c:pt idx="116">
                  <c:v>37936.375</c:v>
                </c:pt>
                <c:pt idx="117">
                  <c:v>37936.416666666664</c:v>
                </c:pt>
                <c:pt idx="118">
                  <c:v>37936.458333333336</c:v>
                </c:pt>
                <c:pt idx="119">
                  <c:v>37936.5</c:v>
                </c:pt>
                <c:pt idx="120">
                  <c:v>37936.541666666664</c:v>
                </c:pt>
                <c:pt idx="121">
                  <c:v>37936.583333333336</c:v>
                </c:pt>
                <c:pt idx="122">
                  <c:v>37936.625</c:v>
                </c:pt>
                <c:pt idx="123">
                  <c:v>37936.666666666664</c:v>
                </c:pt>
                <c:pt idx="124">
                  <c:v>37936.708333333336</c:v>
                </c:pt>
                <c:pt idx="125">
                  <c:v>37936.75</c:v>
                </c:pt>
                <c:pt idx="126">
                  <c:v>37936.791666666664</c:v>
                </c:pt>
                <c:pt idx="127">
                  <c:v>37936.833333333336</c:v>
                </c:pt>
                <c:pt idx="128">
                  <c:v>37936.875</c:v>
                </c:pt>
                <c:pt idx="129">
                  <c:v>37936.916666666664</c:v>
                </c:pt>
                <c:pt idx="130">
                  <c:v>37936.958333333336</c:v>
                </c:pt>
                <c:pt idx="131">
                  <c:v>37937</c:v>
                </c:pt>
                <c:pt idx="132">
                  <c:v>37937.041666666664</c:v>
                </c:pt>
                <c:pt idx="133">
                  <c:v>37937.083333333336</c:v>
                </c:pt>
                <c:pt idx="134">
                  <c:v>37937.125</c:v>
                </c:pt>
                <c:pt idx="135">
                  <c:v>37937.166666666664</c:v>
                </c:pt>
                <c:pt idx="136">
                  <c:v>37937.208333333336</c:v>
                </c:pt>
                <c:pt idx="137">
                  <c:v>37937.25</c:v>
                </c:pt>
                <c:pt idx="138">
                  <c:v>37937.291666666664</c:v>
                </c:pt>
                <c:pt idx="139">
                  <c:v>37937.333333333336</c:v>
                </c:pt>
                <c:pt idx="140">
                  <c:v>37937.375</c:v>
                </c:pt>
                <c:pt idx="141">
                  <c:v>37937.416666666664</c:v>
                </c:pt>
                <c:pt idx="142">
                  <c:v>37937.458333333336</c:v>
                </c:pt>
                <c:pt idx="143">
                  <c:v>37937.5</c:v>
                </c:pt>
                <c:pt idx="144">
                  <c:v>37937.541666666664</c:v>
                </c:pt>
                <c:pt idx="145">
                  <c:v>37937.583333333336</c:v>
                </c:pt>
                <c:pt idx="146">
                  <c:v>37937.625</c:v>
                </c:pt>
                <c:pt idx="147">
                  <c:v>37937.666666666664</c:v>
                </c:pt>
                <c:pt idx="148">
                  <c:v>37937.708333333336</c:v>
                </c:pt>
                <c:pt idx="149">
                  <c:v>37937.75</c:v>
                </c:pt>
                <c:pt idx="150">
                  <c:v>37937.791666666664</c:v>
                </c:pt>
                <c:pt idx="151">
                  <c:v>37937.833333333336</c:v>
                </c:pt>
                <c:pt idx="152">
                  <c:v>37937.875</c:v>
                </c:pt>
                <c:pt idx="153">
                  <c:v>37937.916666666664</c:v>
                </c:pt>
                <c:pt idx="154">
                  <c:v>37937.958333333336</c:v>
                </c:pt>
                <c:pt idx="155">
                  <c:v>37938</c:v>
                </c:pt>
                <c:pt idx="156">
                  <c:v>37938.041666666664</c:v>
                </c:pt>
                <c:pt idx="157">
                  <c:v>37938.083333333336</c:v>
                </c:pt>
                <c:pt idx="158">
                  <c:v>37938.125</c:v>
                </c:pt>
                <c:pt idx="159">
                  <c:v>37938.166666666664</c:v>
                </c:pt>
                <c:pt idx="160">
                  <c:v>37938.208333333336</c:v>
                </c:pt>
                <c:pt idx="161">
                  <c:v>37938.25</c:v>
                </c:pt>
                <c:pt idx="162">
                  <c:v>37938.291666666664</c:v>
                </c:pt>
                <c:pt idx="163">
                  <c:v>37938.333333333336</c:v>
                </c:pt>
                <c:pt idx="164">
                  <c:v>37938.375</c:v>
                </c:pt>
                <c:pt idx="165">
                  <c:v>37938.416666666664</c:v>
                </c:pt>
                <c:pt idx="166">
                  <c:v>37938.458333333336</c:v>
                </c:pt>
                <c:pt idx="167">
                  <c:v>37938.5</c:v>
                </c:pt>
                <c:pt idx="168">
                  <c:v>37938.541666666664</c:v>
                </c:pt>
                <c:pt idx="169">
                  <c:v>37938.583333333336</c:v>
                </c:pt>
                <c:pt idx="170">
                  <c:v>37938.625</c:v>
                </c:pt>
                <c:pt idx="171">
                  <c:v>37938.666666666664</c:v>
                </c:pt>
                <c:pt idx="172">
                  <c:v>37938.708333333336</c:v>
                </c:pt>
                <c:pt idx="173">
                  <c:v>37938.75</c:v>
                </c:pt>
                <c:pt idx="174">
                  <c:v>37938.791666666664</c:v>
                </c:pt>
                <c:pt idx="175">
                  <c:v>37938.833333333336</c:v>
                </c:pt>
                <c:pt idx="176">
                  <c:v>37938.875</c:v>
                </c:pt>
                <c:pt idx="177">
                  <c:v>37938.916666666664</c:v>
                </c:pt>
                <c:pt idx="178">
                  <c:v>37938.958333333336</c:v>
                </c:pt>
                <c:pt idx="179">
                  <c:v>37939</c:v>
                </c:pt>
                <c:pt idx="180">
                  <c:v>37939.041666666664</c:v>
                </c:pt>
                <c:pt idx="181">
                  <c:v>37939.083333333336</c:v>
                </c:pt>
                <c:pt idx="182">
                  <c:v>37939.125</c:v>
                </c:pt>
                <c:pt idx="183">
                  <c:v>37939.166666666664</c:v>
                </c:pt>
                <c:pt idx="184">
                  <c:v>37939.208333333336</c:v>
                </c:pt>
                <c:pt idx="185">
                  <c:v>37939.25</c:v>
                </c:pt>
                <c:pt idx="186">
                  <c:v>37939.291666666664</c:v>
                </c:pt>
                <c:pt idx="187">
                  <c:v>37939.333333333336</c:v>
                </c:pt>
                <c:pt idx="188">
                  <c:v>37939.375</c:v>
                </c:pt>
                <c:pt idx="189">
                  <c:v>37939.416666666664</c:v>
                </c:pt>
                <c:pt idx="190">
                  <c:v>37939.458333333336</c:v>
                </c:pt>
                <c:pt idx="191">
                  <c:v>37939.5</c:v>
                </c:pt>
                <c:pt idx="192">
                  <c:v>37939.541666666664</c:v>
                </c:pt>
                <c:pt idx="193">
                  <c:v>37939.583333333336</c:v>
                </c:pt>
                <c:pt idx="194">
                  <c:v>37939.625</c:v>
                </c:pt>
                <c:pt idx="195">
                  <c:v>37939.666666666664</c:v>
                </c:pt>
                <c:pt idx="196">
                  <c:v>37939.708333333336</c:v>
                </c:pt>
                <c:pt idx="197">
                  <c:v>37939.75</c:v>
                </c:pt>
                <c:pt idx="198">
                  <c:v>37939.791666666664</c:v>
                </c:pt>
                <c:pt idx="199">
                  <c:v>37939.833333333336</c:v>
                </c:pt>
                <c:pt idx="200">
                  <c:v>37939.875</c:v>
                </c:pt>
                <c:pt idx="201">
                  <c:v>37939.916666666664</c:v>
                </c:pt>
                <c:pt idx="202">
                  <c:v>37939.958333333336</c:v>
                </c:pt>
                <c:pt idx="203">
                  <c:v>37940</c:v>
                </c:pt>
                <c:pt idx="204">
                  <c:v>37940.041666666664</c:v>
                </c:pt>
                <c:pt idx="205">
                  <c:v>37940.083333333336</c:v>
                </c:pt>
                <c:pt idx="206">
                  <c:v>37940.125</c:v>
                </c:pt>
                <c:pt idx="207">
                  <c:v>37940.166666666664</c:v>
                </c:pt>
                <c:pt idx="208">
                  <c:v>37940.208333333336</c:v>
                </c:pt>
                <c:pt idx="209">
                  <c:v>37940.25</c:v>
                </c:pt>
                <c:pt idx="210">
                  <c:v>37940.291666666664</c:v>
                </c:pt>
                <c:pt idx="211">
                  <c:v>37940.333333333336</c:v>
                </c:pt>
                <c:pt idx="212">
                  <c:v>37940.375</c:v>
                </c:pt>
                <c:pt idx="213">
                  <c:v>37940.416666666664</c:v>
                </c:pt>
                <c:pt idx="214">
                  <c:v>37940.458333333336</c:v>
                </c:pt>
                <c:pt idx="215">
                  <c:v>37940.5</c:v>
                </c:pt>
                <c:pt idx="216">
                  <c:v>37940.541666666664</c:v>
                </c:pt>
                <c:pt idx="217">
                  <c:v>37940.583333333336</c:v>
                </c:pt>
                <c:pt idx="218">
                  <c:v>37940.625</c:v>
                </c:pt>
                <c:pt idx="219">
                  <c:v>37940.666666666664</c:v>
                </c:pt>
                <c:pt idx="220">
                  <c:v>37940.708333333336</c:v>
                </c:pt>
                <c:pt idx="221">
                  <c:v>37940.75</c:v>
                </c:pt>
                <c:pt idx="222">
                  <c:v>37940.791666666664</c:v>
                </c:pt>
                <c:pt idx="223">
                  <c:v>37940.833333333336</c:v>
                </c:pt>
                <c:pt idx="224">
                  <c:v>37940.875</c:v>
                </c:pt>
                <c:pt idx="225">
                  <c:v>37940.916666666664</c:v>
                </c:pt>
                <c:pt idx="226">
                  <c:v>37940.958333333336</c:v>
                </c:pt>
                <c:pt idx="227">
                  <c:v>37941</c:v>
                </c:pt>
                <c:pt idx="228">
                  <c:v>37941.041666666664</c:v>
                </c:pt>
                <c:pt idx="229">
                  <c:v>37941.083333333336</c:v>
                </c:pt>
                <c:pt idx="230">
                  <c:v>37941.125</c:v>
                </c:pt>
                <c:pt idx="231">
                  <c:v>37941.166666666664</c:v>
                </c:pt>
                <c:pt idx="232">
                  <c:v>37941.208333333336</c:v>
                </c:pt>
                <c:pt idx="233">
                  <c:v>37941.25</c:v>
                </c:pt>
                <c:pt idx="234">
                  <c:v>37941.291666666664</c:v>
                </c:pt>
                <c:pt idx="235">
                  <c:v>37941.333333333336</c:v>
                </c:pt>
                <c:pt idx="236">
                  <c:v>37941.375</c:v>
                </c:pt>
                <c:pt idx="237">
                  <c:v>37941.416666666664</c:v>
                </c:pt>
                <c:pt idx="238">
                  <c:v>37941.458333333336</c:v>
                </c:pt>
                <c:pt idx="239">
                  <c:v>37941.5</c:v>
                </c:pt>
                <c:pt idx="240">
                  <c:v>37941.541666666664</c:v>
                </c:pt>
                <c:pt idx="241">
                  <c:v>37941.583333333336</c:v>
                </c:pt>
                <c:pt idx="242">
                  <c:v>37941.625</c:v>
                </c:pt>
                <c:pt idx="243">
                  <c:v>37941.666666666664</c:v>
                </c:pt>
                <c:pt idx="244">
                  <c:v>37941.708333333336</c:v>
                </c:pt>
                <c:pt idx="245">
                  <c:v>37941.75</c:v>
                </c:pt>
                <c:pt idx="246">
                  <c:v>37941.791666666664</c:v>
                </c:pt>
                <c:pt idx="247">
                  <c:v>37941.833333333336</c:v>
                </c:pt>
                <c:pt idx="248">
                  <c:v>37941.875</c:v>
                </c:pt>
                <c:pt idx="249">
                  <c:v>37941.916666666664</c:v>
                </c:pt>
                <c:pt idx="250">
                  <c:v>37941.958333333336</c:v>
                </c:pt>
                <c:pt idx="251">
                  <c:v>37942</c:v>
                </c:pt>
                <c:pt idx="252">
                  <c:v>37942.041666666664</c:v>
                </c:pt>
                <c:pt idx="253">
                  <c:v>37942.083333333336</c:v>
                </c:pt>
                <c:pt idx="254">
                  <c:v>37942.125</c:v>
                </c:pt>
                <c:pt idx="255">
                  <c:v>37942.166666666664</c:v>
                </c:pt>
                <c:pt idx="256">
                  <c:v>37942.208333333336</c:v>
                </c:pt>
                <c:pt idx="257">
                  <c:v>37942.25</c:v>
                </c:pt>
                <c:pt idx="258">
                  <c:v>37942.291666666664</c:v>
                </c:pt>
                <c:pt idx="259">
                  <c:v>37942.333333333336</c:v>
                </c:pt>
                <c:pt idx="260">
                  <c:v>37942.375</c:v>
                </c:pt>
                <c:pt idx="261">
                  <c:v>37942.416666666664</c:v>
                </c:pt>
                <c:pt idx="262">
                  <c:v>37942.458333333336</c:v>
                </c:pt>
                <c:pt idx="263">
                  <c:v>37942.5</c:v>
                </c:pt>
                <c:pt idx="264">
                  <c:v>37942.541666666664</c:v>
                </c:pt>
                <c:pt idx="265">
                  <c:v>37942.583333333336</c:v>
                </c:pt>
                <c:pt idx="266">
                  <c:v>37942.625</c:v>
                </c:pt>
                <c:pt idx="267">
                  <c:v>37942.666666666664</c:v>
                </c:pt>
                <c:pt idx="268">
                  <c:v>37942.708333333336</c:v>
                </c:pt>
                <c:pt idx="269">
                  <c:v>37942.75</c:v>
                </c:pt>
                <c:pt idx="270">
                  <c:v>37942.791666666664</c:v>
                </c:pt>
                <c:pt idx="271">
                  <c:v>37942.833333333336</c:v>
                </c:pt>
                <c:pt idx="272">
                  <c:v>37942.875</c:v>
                </c:pt>
                <c:pt idx="273">
                  <c:v>37942.916666666664</c:v>
                </c:pt>
                <c:pt idx="274">
                  <c:v>37942.958333333336</c:v>
                </c:pt>
                <c:pt idx="275">
                  <c:v>37943</c:v>
                </c:pt>
                <c:pt idx="276">
                  <c:v>37943.041666666664</c:v>
                </c:pt>
                <c:pt idx="277">
                  <c:v>37943.083333333336</c:v>
                </c:pt>
                <c:pt idx="278">
                  <c:v>37943.125</c:v>
                </c:pt>
                <c:pt idx="279">
                  <c:v>37943.166666666664</c:v>
                </c:pt>
                <c:pt idx="280">
                  <c:v>37943.208333333336</c:v>
                </c:pt>
                <c:pt idx="281">
                  <c:v>37943.25</c:v>
                </c:pt>
                <c:pt idx="282">
                  <c:v>37943.291666666664</c:v>
                </c:pt>
                <c:pt idx="283">
                  <c:v>37943.333333333336</c:v>
                </c:pt>
                <c:pt idx="284">
                  <c:v>37943.375</c:v>
                </c:pt>
                <c:pt idx="285">
                  <c:v>37943.416666666664</c:v>
                </c:pt>
                <c:pt idx="286">
                  <c:v>37943.458333333336</c:v>
                </c:pt>
                <c:pt idx="287">
                  <c:v>37943.5</c:v>
                </c:pt>
                <c:pt idx="288">
                  <c:v>37943.541666666664</c:v>
                </c:pt>
                <c:pt idx="289">
                  <c:v>37943.583333333336</c:v>
                </c:pt>
                <c:pt idx="290">
                  <c:v>37943.625</c:v>
                </c:pt>
                <c:pt idx="291">
                  <c:v>37943.666666666664</c:v>
                </c:pt>
                <c:pt idx="292">
                  <c:v>37943.708333333336</c:v>
                </c:pt>
                <c:pt idx="293">
                  <c:v>37943.75</c:v>
                </c:pt>
                <c:pt idx="294">
                  <c:v>37943.791666666664</c:v>
                </c:pt>
                <c:pt idx="295">
                  <c:v>37943.833333333336</c:v>
                </c:pt>
                <c:pt idx="296">
                  <c:v>37943.875</c:v>
                </c:pt>
                <c:pt idx="297">
                  <c:v>37943.916666666664</c:v>
                </c:pt>
                <c:pt idx="298">
                  <c:v>37943.958333333336</c:v>
                </c:pt>
                <c:pt idx="299">
                  <c:v>37944</c:v>
                </c:pt>
                <c:pt idx="300">
                  <c:v>37944.041666666664</c:v>
                </c:pt>
                <c:pt idx="301">
                  <c:v>37944.083333333336</c:v>
                </c:pt>
                <c:pt idx="302">
                  <c:v>37944.125</c:v>
                </c:pt>
                <c:pt idx="303">
                  <c:v>37944.166666666664</c:v>
                </c:pt>
                <c:pt idx="304">
                  <c:v>37944.208333333336</c:v>
                </c:pt>
                <c:pt idx="305">
                  <c:v>37944.25</c:v>
                </c:pt>
                <c:pt idx="306">
                  <c:v>37944.291666666664</c:v>
                </c:pt>
                <c:pt idx="307">
                  <c:v>37944.333333333336</c:v>
                </c:pt>
                <c:pt idx="308">
                  <c:v>37944.375</c:v>
                </c:pt>
                <c:pt idx="309">
                  <c:v>37944.416666666664</c:v>
                </c:pt>
                <c:pt idx="310">
                  <c:v>37944.458333333336</c:v>
                </c:pt>
                <c:pt idx="311">
                  <c:v>37944.5</c:v>
                </c:pt>
                <c:pt idx="312">
                  <c:v>37944.541666666664</c:v>
                </c:pt>
                <c:pt idx="313">
                  <c:v>37944.583333333336</c:v>
                </c:pt>
                <c:pt idx="314">
                  <c:v>37944.625</c:v>
                </c:pt>
                <c:pt idx="315">
                  <c:v>37944.666666666664</c:v>
                </c:pt>
                <c:pt idx="316">
                  <c:v>37944.708333333336</c:v>
                </c:pt>
                <c:pt idx="317">
                  <c:v>37944.75</c:v>
                </c:pt>
                <c:pt idx="318">
                  <c:v>37944.791666666664</c:v>
                </c:pt>
                <c:pt idx="319">
                  <c:v>37944.833333333336</c:v>
                </c:pt>
                <c:pt idx="320">
                  <c:v>37944.875</c:v>
                </c:pt>
                <c:pt idx="321">
                  <c:v>37944.916666666664</c:v>
                </c:pt>
                <c:pt idx="322">
                  <c:v>37944.958333333336</c:v>
                </c:pt>
                <c:pt idx="323">
                  <c:v>37945</c:v>
                </c:pt>
                <c:pt idx="324">
                  <c:v>37945.041666666664</c:v>
                </c:pt>
                <c:pt idx="325">
                  <c:v>37945.083333333336</c:v>
                </c:pt>
                <c:pt idx="326">
                  <c:v>37945.125</c:v>
                </c:pt>
                <c:pt idx="327">
                  <c:v>37945.166666666664</c:v>
                </c:pt>
                <c:pt idx="328">
                  <c:v>37945.208333333336</c:v>
                </c:pt>
                <c:pt idx="329">
                  <c:v>37945.25</c:v>
                </c:pt>
                <c:pt idx="330">
                  <c:v>37945.291666666664</c:v>
                </c:pt>
                <c:pt idx="331">
                  <c:v>37945.333333333336</c:v>
                </c:pt>
                <c:pt idx="332">
                  <c:v>37945.375</c:v>
                </c:pt>
                <c:pt idx="333">
                  <c:v>37945.416666666664</c:v>
                </c:pt>
                <c:pt idx="334">
                  <c:v>37945.458333333336</c:v>
                </c:pt>
                <c:pt idx="335">
                  <c:v>37945.5</c:v>
                </c:pt>
                <c:pt idx="336">
                  <c:v>37945.541666666664</c:v>
                </c:pt>
                <c:pt idx="337">
                  <c:v>37945.583333333336</c:v>
                </c:pt>
                <c:pt idx="338">
                  <c:v>37945.625</c:v>
                </c:pt>
                <c:pt idx="339">
                  <c:v>37945.666666666664</c:v>
                </c:pt>
                <c:pt idx="340">
                  <c:v>37945.708333333336</c:v>
                </c:pt>
                <c:pt idx="341">
                  <c:v>37945.75</c:v>
                </c:pt>
                <c:pt idx="342">
                  <c:v>37945.791666666664</c:v>
                </c:pt>
                <c:pt idx="343">
                  <c:v>37945.833333333336</c:v>
                </c:pt>
                <c:pt idx="344">
                  <c:v>37945.875</c:v>
                </c:pt>
                <c:pt idx="345">
                  <c:v>37945.916666666664</c:v>
                </c:pt>
                <c:pt idx="346">
                  <c:v>37945.958333333336</c:v>
                </c:pt>
                <c:pt idx="347">
                  <c:v>37946</c:v>
                </c:pt>
                <c:pt idx="348">
                  <c:v>37946.041666666664</c:v>
                </c:pt>
                <c:pt idx="349">
                  <c:v>37946.083333333336</c:v>
                </c:pt>
                <c:pt idx="350">
                  <c:v>37946.125</c:v>
                </c:pt>
                <c:pt idx="351">
                  <c:v>37946.166666666664</c:v>
                </c:pt>
                <c:pt idx="352">
                  <c:v>37946.208333333336</c:v>
                </c:pt>
                <c:pt idx="353">
                  <c:v>37946.25</c:v>
                </c:pt>
                <c:pt idx="354">
                  <c:v>37946.291666666664</c:v>
                </c:pt>
                <c:pt idx="355">
                  <c:v>37946.333333333336</c:v>
                </c:pt>
                <c:pt idx="356">
                  <c:v>37946.375</c:v>
                </c:pt>
                <c:pt idx="357">
                  <c:v>37946.416666666664</c:v>
                </c:pt>
                <c:pt idx="358">
                  <c:v>37946.458333333336</c:v>
                </c:pt>
                <c:pt idx="359">
                  <c:v>37946.5</c:v>
                </c:pt>
                <c:pt idx="360">
                  <c:v>37946.541666666664</c:v>
                </c:pt>
                <c:pt idx="361">
                  <c:v>37946.583333333336</c:v>
                </c:pt>
                <c:pt idx="362">
                  <c:v>37946.625</c:v>
                </c:pt>
                <c:pt idx="363">
                  <c:v>37946.666666666664</c:v>
                </c:pt>
                <c:pt idx="364">
                  <c:v>37946.708333333336</c:v>
                </c:pt>
                <c:pt idx="365">
                  <c:v>37946.75</c:v>
                </c:pt>
                <c:pt idx="366">
                  <c:v>37946.791666666664</c:v>
                </c:pt>
                <c:pt idx="367">
                  <c:v>37946.833333333336</c:v>
                </c:pt>
                <c:pt idx="368">
                  <c:v>37946.875</c:v>
                </c:pt>
                <c:pt idx="369">
                  <c:v>37946.916666666664</c:v>
                </c:pt>
                <c:pt idx="370">
                  <c:v>37946.958333333336</c:v>
                </c:pt>
                <c:pt idx="371">
                  <c:v>37947</c:v>
                </c:pt>
                <c:pt idx="372">
                  <c:v>37947.041666666664</c:v>
                </c:pt>
                <c:pt idx="373">
                  <c:v>37947.083333333336</c:v>
                </c:pt>
                <c:pt idx="374">
                  <c:v>37947.125</c:v>
                </c:pt>
                <c:pt idx="375">
                  <c:v>37947.166666666664</c:v>
                </c:pt>
                <c:pt idx="376">
                  <c:v>37947.208333333336</c:v>
                </c:pt>
                <c:pt idx="377">
                  <c:v>37947.25</c:v>
                </c:pt>
                <c:pt idx="378">
                  <c:v>37947.291666666664</c:v>
                </c:pt>
                <c:pt idx="379">
                  <c:v>37947.333333333336</c:v>
                </c:pt>
                <c:pt idx="380">
                  <c:v>37947.375</c:v>
                </c:pt>
                <c:pt idx="381">
                  <c:v>37947.416666666664</c:v>
                </c:pt>
                <c:pt idx="382">
                  <c:v>37947.458333333336</c:v>
                </c:pt>
                <c:pt idx="383">
                  <c:v>37947.5</c:v>
                </c:pt>
                <c:pt idx="384">
                  <c:v>37947.541666666664</c:v>
                </c:pt>
                <c:pt idx="385">
                  <c:v>37947.583333333336</c:v>
                </c:pt>
                <c:pt idx="386">
                  <c:v>37947.625</c:v>
                </c:pt>
                <c:pt idx="387">
                  <c:v>37947.666666666664</c:v>
                </c:pt>
                <c:pt idx="388">
                  <c:v>37947.708333333336</c:v>
                </c:pt>
                <c:pt idx="389">
                  <c:v>37947.75</c:v>
                </c:pt>
                <c:pt idx="390">
                  <c:v>37947.791666666664</c:v>
                </c:pt>
                <c:pt idx="391">
                  <c:v>37947.833333333336</c:v>
                </c:pt>
                <c:pt idx="392">
                  <c:v>37947.875</c:v>
                </c:pt>
                <c:pt idx="393">
                  <c:v>37947.916666666664</c:v>
                </c:pt>
                <c:pt idx="394">
                  <c:v>37947.958333333336</c:v>
                </c:pt>
                <c:pt idx="395">
                  <c:v>37948</c:v>
                </c:pt>
                <c:pt idx="396">
                  <c:v>37948.041666666664</c:v>
                </c:pt>
                <c:pt idx="397">
                  <c:v>37948.083333333336</c:v>
                </c:pt>
                <c:pt idx="398">
                  <c:v>37948.125</c:v>
                </c:pt>
                <c:pt idx="399">
                  <c:v>37948.166666666664</c:v>
                </c:pt>
                <c:pt idx="400">
                  <c:v>37948.208333333336</c:v>
                </c:pt>
                <c:pt idx="401">
                  <c:v>37948.25</c:v>
                </c:pt>
                <c:pt idx="402">
                  <c:v>37948.291666666664</c:v>
                </c:pt>
                <c:pt idx="403">
                  <c:v>37948.333333333336</c:v>
                </c:pt>
                <c:pt idx="404">
                  <c:v>37948.375</c:v>
                </c:pt>
                <c:pt idx="405">
                  <c:v>37948.416666666664</c:v>
                </c:pt>
                <c:pt idx="406">
                  <c:v>37948.458333333336</c:v>
                </c:pt>
                <c:pt idx="407">
                  <c:v>37948.5</c:v>
                </c:pt>
                <c:pt idx="408">
                  <c:v>37948.541666666664</c:v>
                </c:pt>
                <c:pt idx="409">
                  <c:v>37948.583333333336</c:v>
                </c:pt>
                <c:pt idx="410">
                  <c:v>37948.625</c:v>
                </c:pt>
                <c:pt idx="411">
                  <c:v>37948.666666666664</c:v>
                </c:pt>
                <c:pt idx="412">
                  <c:v>37948.708333333336</c:v>
                </c:pt>
                <c:pt idx="413">
                  <c:v>37948.75</c:v>
                </c:pt>
                <c:pt idx="414">
                  <c:v>37948.791666666664</c:v>
                </c:pt>
                <c:pt idx="415">
                  <c:v>37948.833333333336</c:v>
                </c:pt>
                <c:pt idx="416">
                  <c:v>37948.875</c:v>
                </c:pt>
                <c:pt idx="417">
                  <c:v>37948.916666666664</c:v>
                </c:pt>
                <c:pt idx="418">
                  <c:v>37948.958333333336</c:v>
                </c:pt>
                <c:pt idx="419">
                  <c:v>37949</c:v>
                </c:pt>
                <c:pt idx="420">
                  <c:v>37949.041666666664</c:v>
                </c:pt>
                <c:pt idx="421">
                  <c:v>37949.083333333336</c:v>
                </c:pt>
                <c:pt idx="422">
                  <c:v>37949.125</c:v>
                </c:pt>
                <c:pt idx="423">
                  <c:v>37949.166666666664</c:v>
                </c:pt>
                <c:pt idx="424">
                  <c:v>37949.208333333336</c:v>
                </c:pt>
                <c:pt idx="425">
                  <c:v>37949.25</c:v>
                </c:pt>
                <c:pt idx="426">
                  <c:v>37949.291666666664</c:v>
                </c:pt>
                <c:pt idx="427">
                  <c:v>37949.333333333336</c:v>
                </c:pt>
                <c:pt idx="428">
                  <c:v>37949.375</c:v>
                </c:pt>
                <c:pt idx="429">
                  <c:v>37949.416666666664</c:v>
                </c:pt>
                <c:pt idx="430">
                  <c:v>37949.458333333336</c:v>
                </c:pt>
                <c:pt idx="431">
                  <c:v>37949.5</c:v>
                </c:pt>
                <c:pt idx="432">
                  <c:v>37949.541666666664</c:v>
                </c:pt>
                <c:pt idx="433">
                  <c:v>37949.583333333336</c:v>
                </c:pt>
                <c:pt idx="434">
                  <c:v>37949.625</c:v>
                </c:pt>
                <c:pt idx="435">
                  <c:v>37949.666666666664</c:v>
                </c:pt>
                <c:pt idx="436">
                  <c:v>37949.708333333336</c:v>
                </c:pt>
                <c:pt idx="437">
                  <c:v>37949.75</c:v>
                </c:pt>
                <c:pt idx="438">
                  <c:v>37949.791666666664</c:v>
                </c:pt>
                <c:pt idx="439">
                  <c:v>37949.833333333336</c:v>
                </c:pt>
                <c:pt idx="440">
                  <c:v>37949.875</c:v>
                </c:pt>
                <c:pt idx="441">
                  <c:v>37949.916666666664</c:v>
                </c:pt>
                <c:pt idx="442">
                  <c:v>37949.958333333336</c:v>
                </c:pt>
                <c:pt idx="443">
                  <c:v>37950</c:v>
                </c:pt>
                <c:pt idx="444">
                  <c:v>37950.041666666664</c:v>
                </c:pt>
                <c:pt idx="445">
                  <c:v>37950.083333333336</c:v>
                </c:pt>
                <c:pt idx="446">
                  <c:v>37950.125</c:v>
                </c:pt>
                <c:pt idx="447">
                  <c:v>37950.166666666664</c:v>
                </c:pt>
                <c:pt idx="448">
                  <c:v>37950.208333333336</c:v>
                </c:pt>
                <c:pt idx="449">
                  <c:v>37950.25</c:v>
                </c:pt>
                <c:pt idx="450">
                  <c:v>37950.291666666664</c:v>
                </c:pt>
                <c:pt idx="451">
                  <c:v>37950.333333333336</c:v>
                </c:pt>
                <c:pt idx="452">
                  <c:v>37950.375</c:v>
                </c:pt>
                <c:pt idx="453">
                  <c:v>37950.416666666664</c:v>
                </c:pt>
                <c:pt idx="454">
                  <c:v>37950.458333333336</c:v>
                </c:pt>
                <c:pt idx="455">
                  <c:v>37950.5</c:v>
                </c:pt>
                <c:pt idx="456">
                  <c:v>37950.541666666664</c:v>
                </c:pt>
                <c:pt idx="457">
                  <c:v>37950.583333333336</c:v>
                </c:pt>
                <c:pt idx="458">
                  <c:v>37950.625</c:v>
                </c:pt>
                <c:pt idx="459">
                  <c:v>37950.666666666664</c:v>
                </c:pt>
                <c:pt idx="460">
                  <c:v>37950.708333333336</c:v>
                </c:pt>
                <c:pt idx="461">
                  <c:v>37950.75</c:v>
                </c:pt>
                <c:pt idx="462">
                  <c:v>37950.791666666664</c:v>
                </c:pt>
                <c:pt idx="463">
                  <c:v>37950.833333333336</c:v>
                </c:pt>
                <c:pt idx="464">
                  <c:v>37950.875</c:v>
                </c:pt>
                <c:pt idx="465">
                  <c:v>37950.916666666664</c:v>
                </c:pt>
                <c:pt idx="466">
                  <c:v>37950.958333333336</c:v>
                </c:pt>
                <c:pt idx="467">
                  <c:v>37951</c:v>
                </c:pt>
                <c:pt idx="468">
                  <c:v>37951.041666666664</c:v>
                </c:pt>
                <c:pt idx="469">
                  <c:v>37951.083333333336</c:v>
                </c:pt>
                <c:pt idx="470">
                  <c:v>37951.125</c:v>
                </c:pt>
                <c:pt idx="471">
                  <c:v>37951.166666666664</c:v>
                </c:pt>
                <c:pt idx="472">
                  <c:v>37951.208333333336</c:v>
                </c:pt>
                <c:pt idx="473">
                  <c:v>37951.25</c:v>
                </c:pt>
                <c:pt idx="474">
                  <c:v>37951.291666666664</c:v>
                </c:pt>
                <c:pt idx="475">
                  <c:v>37951.333333333336</c:v>
                </c:pt>
                <c:pt idx="476">
                  <c:v>37951.375</c:v>
                </c:pt>
                <c:pt idx="477">
                  <c:v>37951.416666666664</c:v>
                </c:pt>
                <c:pt idx="478">
                  <c:v>37951.458333333336</c:v>
                </c:pt>
                <c:pt idx="479">
                  <c:v>37951.5</c:v>
                </c:pt>
                <c:pt idx="480">
                  <c:v>37951.541666666664</c:v>
                </c:pt>
                <c:pt idx="481">
                  <c:v>37951.583333333336</c:v>
                </c:pt>
                <c:pt idx="482">
                  <c:v>37951.625</c:v>
                </c:pt>
                <c:pt idx="483">
                  <c:v>37951.666666666664</c:v>
                </c:pt>
                <c:pt idx="484">
                  <c:v>37951.708333333336</c:v>
                </c:pt>
                <c:pt idx="485">
                  <c:v>37951.75</c:v>
                </c:pt>
                <c:pt idx="486">
                  <c:v>37951.791666666664</c:v>
                </c:pt>
                <c:pt idx="487">
                  <c:v>37951.833333333336</c:v>
                </c:pt>
                <c:pt idx="488">
                  <c:v>37951.875</c:v>
                </c:pt>
                <c:pt idx="489">
                  <c:v>37951.916666666664</c:v>
                </c:pt>
                <c:pt idx="490">
                  <c:v>37951.958333333336</c:v>
                </c:pt>
                <c:pt idx="491">
                  <c:v>37952</c:v>
                </c:pt>
                <c:pt idx="492">
                  <c:v>37952.041666666664</c:v>
                </c:pt>
                <c:pt idx="493">
                  <c:v>37952.083333333336</c:v>
                </c:pt>
                <c:pt idx="494">
                  <c:v>37952.125</c:v>
                </c:pt>
                <c:pt idx="495">
                  <c:v>37952.166666666664</c:v>
                </c:pt>
                <c:pt idx="496">
                  <c:v>37952.208333333336</c:v>
                </c:pt>
                <c:pt idx="497">
                  <c:v>37952.25</c:v>
                </c:pt>
                <c:pt idx="498">
                  <c:v>37952.291666666664</c:v>
                </c:pt>
                <c:pt idx="499">
                  <c:v>37952.333333333336</c:v>
                </c:pt>
                <c:pt idx="500">
                  <c:v>37952.375</c:v>
                </c:pt>
                <c:pt idx="501">
                  <c:v>37952.416666666664</c:v>
                </c:pt>
                <c:pt idx="502">
                  <c:v>37952.458333333336</c:v>
                </c:pt>
                <c:pt idx="503">
                  <c:v>37952.5</c:v>
                </c:pt>
                <c:pt idx="504">
                  <c:v>37952.541666666664</c:v>
                </c:pt>
                <c:pt idx="505">
                  <c:v>37952.583333333336</c:v>
                </c:pt>
                <c:pt idx="506">
                  <c:v>37952.625</c:v>
                </c:pt>
                <c:pt idx="507">
                  <c:v>37952.666666666664</c:v>
                </c:pt>
                <c:pt idx="508">
                  <c:v>37952.708333333336</c:v>
                </c:pt>
                <c:pt idx="509">
                  <c:v>37952.75</c:v>
                </c:pt>
                <c:pt idx="510">
                  <c:v>37952.791666666664</c:v>
                </c:pt>
                <c:pt idx="511">
                  <c:v>37952.833333333336</c:v>
                </c:pt>
                <c:pt idx="512">
                  <c:v>37952.875</c:v>
                </c:pt>
                <c:pt idx="513">
                  <c:v>37952.916666666664</c:v>
                </c:pt>
                <c:pt idx="514">
                  <c:v>37952.958333333336</c:v>
                </c:pt>
                <c:pt idx="515">
                  <c:v>37953</c:v>
                </c:pt>
                <c:pt idx="516">
                  <c:v>37953.041666666664</c:v>
                </c:pt>
                <c:pt idx="517">
                  <c:v>37953.083333333336</c:v>
                </c:pt>
                <c:pt idx="518">
                  <c:v>37953.125</c:v>
                </c:pt>
                <c:pt idx="519">
                  <c:v>37953.166666666664</c:v>
                </c:pt>
                <c:pt idx="520">
                  <c:v>37953.208333333336</c:v>
                </c:pt>
                <c:pt idx="521">
                  <c:v>37953.25</c:v>
                </c:pt>
                <c:pt idx="522">
                  <c:v>37953.291666666664</c:v>
                </c:pt>
                <c:pt idx="523">
                  <c:v>37953.333333333336</c:v>
                </c:pt>
                <c:pt idx="524">
                  <c:v>37953.375</c:v>
                </c:pt>
                <c:pt idx="525">
                  <c:v>37953.416666666664</c:v>
                </c:pt>
                <c:pt idx="526">
                  <c:v>37953.458333333336</c:v>
                </c:pt>
                <c:pt idx="527">
                  <c:v>37953.5</c:v>
                </c:pt>
              </c:numCache>
            </c:numRef>
          </c:xVal>
          <c:yVal>
            <c:numRef>
              <c:f>Gage_and_Event!$AP$5:$AP$2000</c:f>
              <c:numCache>
                <c:formatCode>General</c:formatCode>
                <c:ptCount val="1996"/>
                <c:pt idx="0">
                  <c:v>1532.35</c:v>
                </c:pt>
                <c:pt idx="1">
                  <c:v>1532.37</c:v>
                </c:pt>
                <c:pt idx="2">
                  <c:v>1532.38</c:v>
                </c:pt>
                <c:pt idx="3">
                  <c:v>1532.41</c:v>
                </c:pt>
                <c:pt idx="4">
                  <c:v>1532.43</c:v>
                </c:pt>
                <c:pt idx="5">
                  <c:v>1532.47</c:v>
                </c:pt>
                <c:pt idx="6">
                  <c:v>1532.58</c:v>
                </c:pt>
                <c:pt idx="7">
                  <c:v>1532.72</c:v>
                </c:pt>
                <c:pt idx="8">
                  <c:v>1532.87</c:v>
                </c:pt>
                <c:pt idx="9">
                  <c:v>1532.98</c:v>
                </c:pt>
                <c:pt idx="10">
                  <c:v>1533.02</c:v>
                </c:pt>
                <c:pt idx="11">
                  <c:v>1533.05</c:v>
                </c:pt>
                <c:pt idx="12">
                  <c:v>1533.09</c:v>
                </c:pt>
                <c:pt idx="13">
                  <c:v>1533.15</c:v>
                </c:pt>
                <c:pt idx="14">
                  <c:v>1533.19</c:v>
                </c:pt>
                <c:pt idx="15">
                  <c:v>1533.23</c:v>
                </c:pt>
                <c:pt idx="16">
                  <c:v>1533.26</c:v>
                </c:pt>
                <c:pt idx="17">
                  <c:v>1533.27</c:v>
                </c:pt>
                <c:pt idx="18">
                  <c:v>1533.27</c:v>
                </c:pt>
                <c:pt idx="19">
                  <c:v>1533.25</c:v>
                </c:pt>
                <c:pt idx="20">
                  <c:v>1533.23</c:v>
                </c:pt>
                <c:pt idx="21">
                  <c:v>1533.23</c:v>
                </c:pt>
                <c:pt idx="22">
                  <c:v>1533.21</c:v>
                </c:pt>
                <c:pt idx="23">
                  <c:v>1533.19</c:v>
                </c:pt>
                <c:pt idx="24">
                  <c:v>1533.18</c:v>
                </c:pt>
                <c:pt idx="25">
                  <c:v>1533.16</c:v>
                </c:pt>
                <c:pt idx="26">
                  <c:v>1533.15</c:v>
                </c:pt>
                <c:pt idx="27">
                  <c:v>1533.14</c:v>
                </c:pt>
                <c:pt idx="28">
                  <c:v>1533.11</c:v>
                </c:pt>
                <c:pt idx="29">
                  <c:v>1533.09</c:v>
                </c:pt>
                <c:pt idx="30">
                  <c:v>1533.05</c:v>
                </c:pt>
                <c:pt idx="31">
                  <c:v>1533.01</c:v>
                </c:pt>
                <c:pt idx="32">
                  <c:v>1532.97</c:v>
                </c:pt>
                <c:pt idx="33">
                  <c:v>1532.93</c:v>
                </c:pt>
                <c:pt idx="34">
                  <c:v>1532.88</c:v>
                </c:pt>
                <c:pt idx="35">
                  <c:v>1532.84</c:v>
                </c:pt>
                <c:pt idx="36">
                  <c:v>1532.79</c:v>
                </c:pt>
                <c:pt idx="37">
                  <c:v>1532.75</c:v>
                </c:pt>
                <c:pt idx="38">
                  <c:v>1532.71</c:v>
                </c:pt>
                <c:pt idx="39">
                  <c:v>1532.67</c:v>
                </c:pt>
                <c:pt idx="40">
                  <c:v>1532.62</c:v>
                </c:pt>
                <c:pt idx="41">
                  <c:v>1532.58</c:v>
                </c:pt>
                <c:pt idx="42">
                  <c:v>1532.53</c:v>
                </c:pt>
                <c:pt idx="43">
                  <c:v>1532.49</c:v>
                </c:pt>
                <c:pt idx="44">
                  <c:v>1532.45</c:v>
                </c:pt>
                <c:pt idx="45">
                  <c:v>1532.41</c:v>
                </c:pt>
                <c:pt idx="46">
                  <c:v>1532.37</c:v>
                </c:pt>
                <c:pt idx="47">
                  <c:v>1532.33</c:v>
                </c:pt>
                <c:pt idx="48">
                  <c:v>1532.29</c:v>
                </c:pt>
                <c:pt idx="49">
                  <c:v>1532.25</c:v>
                </c:pt>
                <c:pt idx="50">
                  <c:v>1532.21</c:v>
                </c:pt>
                <c:pt idx="51">
                  <c:v>1532.17</c:v>
                </c:pt>
                <c:pt idx="52">
                  <c:v>1532.13</c:v>
                </c:pt>
                <c:pt idx="53">
                  <c:v>1532.09</c:v>
                </c:pt>
                <c:pt idx="54">
                  <c:v>1532.06</c:v>
                </c:pt>
                <c:pt idx="55">
                  <c:v>1532.03</c:v>
                </c:pt>
                <c:pt idx="56">
                  <c:v>1531.99</c:v>
                </c:pt>
                <c:pt idx="57">
                  <c:v>1531.97</c:v>
                </c:pt>
                <c:pt idx="58">
                  <c:v>1531.93</c:v>
                </c:pt>
                <c:pt idx="59">
                  <c:v>1531.89</c:v>
                </c:pt>
                <c:pt idx="60">
                  <c:v>1531.85</c:v>
                </c:pt>
                <c:pt idx="61">
                  <c:v>1531.82</c:v>
                </c:pt>
                <c:pt idx="62">
                  <c:v>1531.79</c:v>
                </c:pt>
                <c:pt idx="63">
                  <c:v>1531.76</c:v>
                </c:pt>
                <c:pt idx="64">
                  <c:v>1531.73</c:v>
                </c:pt>
                <c:pt idx="65">
                  <c:v>1531.7</c:v>
                </c:pt>
                <c:pt idx="66">
                  <c:v>1531.67</c:v>
                </c:pt>
                <c:pt idx="67">
                  <c:v>1531.65</c:v>
                </c:pt>
                <c:pt idx="68">
                  <c:v>1531.62</c:v>
                </c:pt>
                <c:pt idx="69">
                  <c:v>1531.59</c:v>
                </c:pt>
                <c:pt idx="70">
                  <c:v>1531.57</c:v>
                </c:pt>
                <c:pt idx="71">
                  <c:v>1531.55</c:v>
                </c:pt>
                <c:pt idx="72">
                  <c:v>1531.52</c:v>
                </c:pt>
                <c:pt idx="73">
                  <c:v>1531.49</c:v>
                </c:pt>
                <c:pt idx="74">
                  <c:v>1531.47</c:v>
                </c:pt>
                <c:pt idx="75">
                  <c:v>1531.45</c:v>
                </c:pt>
                <c:pt idx="76">
                  <c:v>1531.43</c:v>
                </c:pt>
                <c:pt idx="77">
                  <c:v>1531.4</c:v>
                </c:pt>
                <c:pt idx="78">
                  <c:v>1531.38</c:v>
                </c:pt>
                <c:pt idx="79">
                  <c:v>1531.35</c:v>
                </c:pt>
                <c:pt idx="80">
                  <c:v>1531.34</c:v>
                </c:pt>
                <c:pt idx="81">
                  <c:v>1531.32</c:v>
                </c:pt>
                <c:pt idx="82">
                  <c:v>1531.3</c:v>
                </c:pt>
                <c:pt idx="83">
                  <c:v>1531.28</c:v>
                </c:pt>
                <c:pt idx="84">
                  <c:v>1531.27</c:v>
                </c:pt>
                <c:pt idx="85">
                  <c:v>1531.25</c:v>
                </c:pt>
                <c:pt idx="86">
                  <c:v>1531.23</c:v>
                </c:pt>
                <c:pt idx="87">
                  <c:v>1531.22</c:v>
                </c:pt>
                <c:pt idx="88">
                  <c:v>1531.2</c:v>
                </c:pt>
                <c:pt idx="89">
                  <c:v>1531.19</c:v>
                </c:pt>
                <c:pt idx="90">
                  <c:v>1531.17</c:v>
                </c:pt>
                <c:pt idx="91">
                  <c:v>1531.15</c:v>
                </c:pt>
                <c:pt idx="92">
                  <c:v>1531.13</c:v>
                </c:pt>
                <c:pt idx="93">
                  <c:v>1531.11</c:v>
                </c:pt>
                <c:pt idx="94">
                  <c:v>1531.11</c:v>
                </c:pt>
                <c:pt idx="95">
                  <c:v>1531.09</c:v>
                </c:pt>
                <c:pt idx="96">
                  <c:v>1531.07</c:v>
                </c:pt>
                <c:pt idx="97">
                  <c:v>1531.06</c:v>
                </c:pt>
                <c:pt idx="98">
                  <c:v>1531.05</c:v>
                </c:pt>
                <c:pt idx="99">
                  <c:v>1531.03</c:v>
                </c:pt>
                <c:pt idx="100">
                  <c:v>1531.02</c:v>
                </c:pt>
                <c:pt idx="101">
                  <c:v>1531.01</c:v>
                </c:pt>
                <c:pt idx="102">
                  <c:v>1530.99</c:v>
                </c:pt>
                <c:pt idx="103">
                  <c:v>1530.98</c:v>
                </c:pt>
                <c:pt idx="104">
                  <c:v>1530.96</c:v>
                </c:pt>
                <c:pt idx="105">
                  <c:v>1530.95</c:v>
                </c:pt>
                <c:pt idx="106">
                  <c:v>1530.94</c:v>
                </c:pt>
                <c:pt idx="107">
                  <c:v>1530.93</c:v>
                </c:pt>
                <c:pt idx="108">
                  <c:v>1530.91</c:v>
                </c:pt>
                <c:pt idx="109">
                  <c:v>1530.91</c:v>
                </c:pt>
                <c:pt idx="110">
                  <c:v>1530.9</c:v>
                </c:pt>
                <c:pt idx="111">
                  <c:v>1530.89</c:v>
                </c:pt>
                <c:pt idx="112">
                  <c:v>1530.87</c:v>
                </c:pt>
                <c:pt idx="113">
                  <c:v>1530.87</c:v>
                </c:pt>
                <c:pt idx="114">
                  <c:v>1530.86</c:v>
                </c:pt>
                <c:pt idx="115">
                  <c:v>1530.85</c:v>
                </c:pt>
                <c:pt idx="116">
                  <c:v>1530.84</c:v>
                </c:pt>
                <c:pt idx="117">
                  <c:v>1530.83</c:v>
                </c:pt>
                <c:pt idx="118">
                  <c:v>1530.82</c:v>
                </c:pt>
                <c:pt idx="119">
                  <c:v>1530.81</c:v>
                </c:pt>
                <c:pt idx="120">
                  <c:v>1530.8</c:v>
                </c:pt>
                <c:pt idx="121">
                  <c:v>1530.79</c:v>
                </c:pt>
                <c:pt idx="122">
                  <c:v>1530.79</c:v>
                </c:pt>
                <c:pt idx="123">
                  <c:v>1530.78</c:v>
                </c:pt>
                <c:pt idx="124">
                  <c:v>1530.77</c:v>
                </c:pt>
                <c:pt idx="125">
                  <c:v>1530.77</c:v>
                </c:pt>
                <c:pt idx="126">
                  <c:v>1530.76</c:v>
                </c:pt>
                <c:pt idx="127">
                  <c:v>1530.75</c:v>
                </c:pt>
                <c:pt idx="128">
                  <c:v>1530.74</c:v>
                </c:pt>
                <c:pt idx="129">
                  <c:v>1530.73</c:v>
                </c:pt>
                <c:pt idx="130">
                  <c:v>1530.73</c:v>
                </c:pt>
                <c:pt idx="131">
                  <c:v>1530.72</c:v>
                </c:pt>
                <c:pt idx="132">
                  <c:v>1530.71</c:v>
                </c:pt>
                <c:pt idx="133">
                  <c:v>1530.71</c:v>
                </c:pt>
                <c:pt idx="134">
                  <c:v>1530.71</c:v>
                </c:pt>
                <c:pt idx="135">
                  <c:v>1530.7</c:v>
                </c:pt>
                <c:pt idx="136">
                  <c:v>1530.69</c:v>
                </c:pt>
                <c:pt idx="137">
                  <c:v>1530.69</c:v>
                </c:pt>
                <c:pt idx="138">
                  <c:v>1530.68</c:v>
                </c:pt>
                <c:pt idx="139">
                  <c:v>1530.68</c:v>
                </c:pt>
                <c:pt idx="140">
                  <c:v>1530.67</c:v>
                </c:pt>
                <c:pt idx="141">
                  <c:v>1530.67</c:v>
                </c:pt>
                <c:pt idx="142">
                  <c:v>1530.66</c:v>
                </c:pt>
                <c:pt idx="143">
                  <c:v>1530.65</c:v>
                </c:pt>
                <c:pt idx="144">
                  <c:v>1530.65</c:v>
                </c:pt>
                <c:pt idx="145">
                  <c:v>1530.64</c:v>
                </c:pt>
                <c:pt idx="146">
                  <c:v>1530.63</c:v>
                </c:pt>
                <c:pt idx="147">
                  <c:v>1530.63</c:v>
                </c:pt>
                <c:pt idx="148">
                  <c:v>1530.62</c:v>
                </c:pt>
                <c:pt idx="149">
                  <c:v>1530.61</c:v>
                </c:pt>
                <c:pt idx="150">
                  <c:v>1530.61</c:v>
                </c:pt>
                <c:pt idx="151">
                  <c:v>1530.61</c:v>
                </c:pt>
                <c:pt idx="152">
                  <c:v>1530.62</c:v>
                </c:pt>
                <c:pt idx="153">
                  <c:v>1530.62</c:v>
                </c:pt>
                <c:pt idx="154">
                  <c:v>1530.63</c:v>
                </c:pt>
                <c:pt idx="155">
                  <c:v>1530.63</c:v>
                </c:pt>
                <c:pt idx="156">
                  <c:v>1530.69</c:v>
                </c:pt>
                <c:pt idx="157">
                  <c:v>1530.75</c:v>
                </c:pt>
                <c:pt idx="158">
                  <c:v>1530.8</c:v>
                </c:pt>
                <c:pt idx="159">
                  <c:v>1531.04</c:v>
                </c:pt>
                <c:pt idx="160">
                  <c:v>1531.34</c:v>
                </c:pt>
                <c:pt idx="161">
                  <c:v>1531.47</c:v>
                </c:pt>
                <c:pt idx="162">
                  <c:v>1531.51</c:v>
                </c:pt>
                <c:pt idx="163">
                  <c:v>1531.58</c:v>
                </c:pt>
                <c:pt idx="164">
                  <c:v>1531.65</c:v>
                </c:pt>
                <c:pt idx="165">
                  <c:v>1531.83</c:v>
                </c:pt>
                <c:pt idx="166">
                  <c:v>1531.87</c:v>
                </c:pt>
                <c:pt idx="167">
                  <c:v>1531.86</c:v>
                </c:pt>
                <c:pt idx="168">
                  <c:v>1531.88</c:v>
                </c:pt>
                <c:pt idx="169">
                  <c:v>1531.91</c:v>
                </c:pt>
                <c:pt idx="170">
                  <c:v>1531.93</c:v>
                </c:pt>
                <c:pt idx="171">
                  <c:v>1531.93</c:v>
                </c:pt>
                <c:pt idx="172">
                  <c:v>1531.91</c:v>
                </c:pt>
                <c:pt idx="173">
                  <c:v>1531.89</c:v>
                </c:pt>
                <c:pt idx="174">
                  <c:v>1531.87</c:v>
                </c:pt>
                <c:pt idx="175">
                  <c:v>1531.85</c:v>
                </c:pt>
                <c:pt idx="176">
                  <c:v>1531.83</c:v>
                </c:pt>
                <c:pt idx="177">
                  <c:v>1531.81</c:v>
                </c:pt>
                <c:pt idx="178">
                  <c:v>1531.79</c:v>
                </c:pt>
                <c:pt idx="179">
                  <c:v>1531.77</c:v>
                </c:pt>
                <c:pt idx="180">
                  <c:v>1531.74</c:v>
                </c:pt>
                <c:pt idx="181">
                  <c:v>1531.71</c:v>
                </c:pt>
                <c:pt idx="182">
                  <c:v>1531.69</c:v>
                </c:pt>
                <c:pt idx="183">
                  <c:v>1531.66</c:v>
                </c:pt>
                <c:pt idx="184">
                  <c:v>1531.63</c:v>
                </c:pt>
                <c:pt idx="185">
                  <c:v>1531.63</c:v>
                </c:pt>
                <c:pt idx="186">
                  <c:v>1531.62</c:v>
                </c:pt>
                <c:pt idx="187">
                  <c:v>1531.6</c:v>
                </c:pt>
                <c:pt idx="188">
                  <c:v>1531.59</c:v>
                </c:pt>
                <c:pt idx="189">
                  <c:v>1531.57</c:v>
                </c:pt>
                <c:pt idx="190">
                  <c:v>1531.55</c:v>
                </c:pt>
                <c:pt idx="191">
                  <c:v>1531.52</c:v>
                </c:pt>
                <c:pt idx="192">
                  <c:v>1531.5</c:v>
                </c:pt>
                <c:pt idx="193">
                  <c:v>1531.47</c:v>
                </c:pt>
                <c:pt idx="194">
                  <c:v>1531.45</c:v>
                </c:pt>
                <c:pt idx="195">
                  <c:v>1531.43</c:v>
                </c:pt>
                <c:pt idx="196">
                  <c:v>1531.4</c:v>
                </c:pt>
                <c:pt idx="197">
                  <c:v>1531.38</c:v>
                </c:pt>
                <c:pt idx="198">
                  <c:v>1531.36</c:v>
                </c:pt>
                <c:pt idx="199">
                  <c:v>1531.34</c:v>
                </c:pt>
                <c:pt idx="200">
                  <c:v>1531.32</c:v>
                </c:pt>
                <c:pt idx="201">
                  <c:v>1531.31</c:v>
                </c:pt>
                <c:pt idx="202">
                  <c:v>1531.29</c:v>
                </c:pt>
                <c:pt idx="203">
                  <c:v>1531.27</c:v>
                </c:pt>
                <c:pt idx="204">
                  <c:v>1531.25</c:v>
                </c:pt>
                <c:pt idx="205">
                  <c:v>1531.23</c:v>
                </c:pt>
                <c:pt idx="206">
                  <c:v>1531.22</c:v>
                </c:pt>
                <c:pt idx="207">
                  <c:v>1531.21</c:v>
                </c:pt>
                <c:pt idx="208">
                  <c:v>1531.19</c:v>
                </c:pt>
                <c:pt idx="209">
                  <c:v>1531.18</c:v>
                </c:pt>
                <c:pt idx="210">
                  <c:v>1531.16</c:v>
                </c:pt>
                <c:pt idx="211">
                  <c:v>1531.15</c:v>
                </c:pt>
                <c:pt idx="212">
                  <c:v>1531.14</c:v>
                </c:pt>
                <c:pt idx="213">
                  <c:v>1531.12</c:v>
                </c:pt>
                <c:pt idx="214">
                  <c:v>1531.11</c:v>
                </c:pt>
                <c:pt idx="215">
                  <c:v>1531.1</c:v>
                </c:pt>
                <c:pt idx="216">
                  <c:v>1531.09</c:v>
                </c:pt>
                <c:pt idx="217">
                  <c:v>1531.08</c:v>
                </c:pt>
                <c:pt idx="218">
                  <c:v>1531.07</c:v>
                </c:pt>
                <c:pt idx="219">
                  <c:v>1531.07</c:v>
                </c:pt>
                <c:pt idx="220">
                  <c:v>1531.07</c:v>
                </c:pt>
                <c:pt idx="221">
                  <c:v>1531.07</c:v>
                </c:pt>
                <c:pt idx="222">
                  <c:v>1531.07</c:v>
                </c:pt>
                <c:pt idx="223">
                  <c:v>1531.07</c:v>
                </c:pt>
                <c:pt idx="224">
                  <c:v>1531.06</c:v>
                </c:pt>
                <c:pt idx="225">
                  <c:v>1531.06</c:v>
                </c:pt>
                <c:pt idx="226">
                  <c:v>1531.06</c:v>
                </c:pt>
                <c:pt idx="227">
                  <c:v>1531.05</c:v>
                </c:pt>
                <c:pt idx="228">
                  <c:v>1531.05</c:v>
                </c:pt>
                <c:pt idx="229">
                  <c:v>1531.05</c:v>
                </c:pt>
                <c:pt idx="230">
                  <c:v>1531.05</c:v>
                </c:pt>
                <c:pt idx="231">
                  <c:v>1531.05</c:v>
                </c:pt>
                <c:pt idx="232">
                  <c:v>1531.05</c:v>
                </c:pt>
                <c:pt idx="233">
                  <c:v>1531.05</c:v>
                </c:pt>
                <c:pt idx="234">
                  <c:v>1531.05</c:v>
                </c:pt>
                <c:pt idx="235">
                  <c:v>1531.05</c:v>
                </c:pt>
                <c:pt idx="236">
                  <c:v>1531.04</c:v>
                </c:pt>
                <c:pt idx="237">
                  <c:v>1531.03</c:v>
                </c:pt>
                <c:pt idx="238">
                  <c:v>1531.02</c:v>
                </c:pt>
                <c:pt idx="239">
                  <c:v>1531.01</c:v>
                </c:pt>
                <c:pt idx="240">
                  <c:v>1531</c:v>
                </c:pt>
                <c:pt idx="241">
                  <c:v>1530.99</c:v>
                </c:pt>
                <c:pt idx="242">
                  <c:v>1530.99</c:v>
                </c:pt>
                <c:pt idx="243">
                  <c:v>1530.97</c:v>
                </c:pt>
                <c:pt idx="244">
                  <c:v>1530.97</c:v>
                </c:pt>
                <c:pt idx="245">
                  <c:v>1530.96</c:v>
                </c:pt>
                <c:pt idx="246">
                  <c:v>1530.95</c:v>
                </c:pt>
                <c:pt idx="247">
                  <c:v>1530.95</c:v>
                </c:pt>
                <c:pt idx="248">
                  <c:v>1530.95</c:v>
                </c:pt>
                <c:pt idx="249">
                  <c:v>1530.94</c:v>
                </c:pt>
                <c:pt idx="250">
                  <c:v>1530.94</c:v>
                </c:pt>
                <c:pt idx="251">
                  <c:v>1530.94</c:v>
                </c:pt>
                <c:pt idx="252">
                  <c:v>1530.94</c:v>
                </c:pt>
                <c:pt idx="253">
                  <c:v>1530.94</c:v>
                </c:pt>
                <c:pt idx="254">
                  <c:v>1530.94</c:v>
                </c:pt>
                <c:pt idx="255">
                  <c:v>1530.94</c:v>
                </c:pt>
                <c:pt idx="256">
                  <c:v>1530.94</c:v>
                </c:pt>
                <c:pt idx="257">
                  <c:v>1530.94</c:v>
                </c:pt>
                <c:pt idx="258">
                  <c:v>1530.94</c:v>
                </c:pt>
                <c:pt idx="259">
                  <c:v>1530.93</c:v>
                </c:pt>
                <c:pt idx="260">
                  <c:v>1530.92</c:v>
                </c:pt>
                <c:pt idx="261">
                  <c:v>1530.91</c:v>
                </c:pt>
                <c:pt idx="262">
                  <c:v>1530.91</c:v>
                </c:pt>
                <c:pt idx="263">
                  <c:v>1530.9</c:v>
                </c:pt>
                <c:pt idx="264">
                  <c:v>1530.89</c:v>
                </c:pt>
                <c:pt idx="265">
                  <c:v>1530.89</c:v>
                </c:pt>
                <c:pt idx="266">
                  <c:v>1530.88</c:v>
                </c:pt>
                <c:pt idx="267">
                  <c:v>1530.87</c:v>
                </c:pt>
                <c:pt idx="268">
                  <c:v>1530.86</c:v>
                </c:pt>
                <c:pt idx="269">
                  <c:v>1530.85</c:v>
                </c:pt>
                <c:pt idx="270">
                  <c:v>1530.85</c:v>
                </c:pt>
                <c:pt idx="271">
                  <c:v>1530.84</c:v>
                </c:pt>
                <c:pt idx="272">
                  <c:v>1530.84</c:v>
                </c:pt>
                <c:pt idx="273">
                  <c:v>1530.84</c:v>
                </c:pt>
                <c:pt idx="274">
                  <c:v>1530.83</c:v>
                </c:pt>
                <c:pt idx="275">
                  <c:v>1530.82</c:v>
                </c:pt>
                <c:pt idx="276">
                  <c:v>1530.82</c:v>
                </c:pt>
                <c:pt idx="277">
                  <c:v>1530.81</c:v>
                </c:pt>
                <c:pt idx="278">
                  <c:v>1530.81</c:v>
                </c:pt>
                <c:pt idx="279">
                  <c:v>1530.81</c:v>
                </c:pt>
                <c:pt idx="280">
                  <c:v>1530.81</c:v>
                </c:pt>
                <c:pt idx="281">
                  <c:v>1530.8</c:v>
                </c:pt>
                <c:pt idx="282">
                  <c:v>1530.8</c:v>
                </c:pt>
                <c:pt idx="283">
                  <c:v>1530.8</c:v>
                </c:pt>
                <c:pt idx="284">
                  <c:v>1530.79</c:v>
                </c:pt>
                <c:pt idx="285">
                  <c:v>1530.79</c:v>
                </c:pt>
                <c:pt idx="286">
                  <c:v>1530.78</c:v>
                </c:pt>
                <c:pt idx="287">
                  <c:v>1530.77</c:v>
                </c:pt>
                <c:pt idx="288">
                  <c:v>1530.77</c:v>
                </c:pt>
                <c:pt idx="289">
                  <c:v>1530.76</c:v>
                </c:pt>
                <c:pt idx="290">
                  <c:v>1530.76</c:v>
                </c:pt>
                <c:pt idx="291">
                  <c:v>1530.76</c:v>
                </c:pt>
                <c:pt idx="292">
                  <c:v>1530.75</c:v>
                </c:pt>
                <c:pt idx="293">
                  <c:v>1530.75</c:v>
                </c:pt>
                <c:pt idx="294">
                  <c:v>1530.75</c:v>
                </c:pt>
                <c:pt idx="295">
                  <c:v>1530.74</c:v>
                </c:pt>
                <c:pt idx="296">
                  <c:v>1530.74</c:v>
                </c:pt>
                <c:pt idx="297">
                  <c:v>1530.74</c:v>
                </c:pt>
                <c:pt idx="298">
                  <c:v>1530.74</c:v>
                </c:pt>
                <c:pt idx="299">
                  <c:v>1530.74</c:v>
                </c:pt>
                <c:pt idx="300">
                  <c:v>1530.73</c:v>
                </c:pt>
                <c:pt idx="301">
                  <c:v>1530.73</c:v>
                </c:pt>
                <c:pt idx="302">
                  <c:v>1530.73</c:v>
                </c:pt>
                <c:pt idx="303">
                  <c:v>1530.73</c:v>
                </c:pt>
                <c:pt idx="304">
                  <c:v>1530.74</c:v>
                </c:pt>
                <c:pt idx="305">
                  <c:v>1530.77</c:v>
                </c:pt>
                <c:pt idx="306">
                  <c:v>1530.82</c:v>
                </c:pt>
                <c:pt idx="307">
                  <c:v>1530.9</c:v>
                </c:pt>
                <c:pt idx="308">
                  <c:v>1531.1</c:v>
                </c:pt>
                <c:pt idx="309">
                  <c:v>1531.58</c:v>
                </c:pt>
                <c:pt idx="310">
                  <c:v>1532.66</c:v>
                </c:pt>
                <c:pt idx="311">
                  <c:v>1534.47</c:v>
                </c:pt>
                <c:pt idx="312">
                  <c:v>1536.02</c:v>
                </c:pt>
                <c:pt idx="313">
                  <c:v>1538.04</c:v>
                </c:pt>
                <c:pt idx="314">
                  <c:v>1540.39</c:v>
                </c:pt>
                <c:pt idx="315">
                  <c:v>1541.99</c:v>
                </c:pt>
                <c:pt idx="316">
                  <c:v>1542.45</c:v>
                </c:pt>
                <c:pt idx="317">
                  <c:v>1542.48</c:v>
                </c:pt>
                <c:pt idx="318">
                  <c:v>1542.39</c:v>
                </c:pt>
                <c:pt idx="319">
                  <c:v>1542.07</c:v>
                </c:pt>
                <c:pt idx="320">
                  <c:v>1541.69</c:v>
                </c:pt>
                <c:pt idx="321">
                  <c:v>1541.32</c:v>
                </c:pt>
                <c:pt idx="322">
                  <c:v>1540.93</c:v>
                </c:pt>
                <c:pt idx="323">
                  <c:v>1540.62</c:v>
                </c:pt>
                <c:pt idx="324">
                  <c:v>1540.38</c:v>
                </c:pt>
                <c:pt idx="325">
                  <c:v>1540.2</c:v>
                </c:pt>
                <c:pt idx="326">
                  <c:v>1540.1</c:v>
                </c:pt>
                <c:pt idx="327">
                  <c:v>1540</c:v>
                </c:pt>
                <c:pt idx="328">
                  <c:v>1539.92</c:v>
                </c:pt>
                <c:pt idx="329">
                  <c:v>1539.86</c:v>
                </c:pt>
                <c:pt idx="330">
                  <c:v>1539.82</c:v>
                </c:pt>
                <c:pt idx="331">
                  <c:v>1539.77</c:v>
                </c:pt>
                <c:pt idx="332">
                  <c:v>1539.72</c:v>
                </c:pt>
                <c:pt idx="333">
                  <c:v>1539.68</c:v>
                </c:pt>
                <c:pt idx="334">
                  <c:v>1539.61</c:v>
                </c:pt>
                <c:pt idx="335">
                  <c:v>1539.55</c:v>
                </c:pt>
                <c:pt idx="336">
                  <c:v>1539.48</c:v>
                </c:pt>
                <c:pt idx="337">
                  <c:v>1539.4</c:v>
                </c:pt>
                <c:pt idx="338">
                  <c:v>1539.28</c:v>
                </c:pt>
                <c:pt idx="339">
                  <c:v>1539.17</c:v>
                </c:pt>
                <c:pt idx="340">
                  <c:v>1539.04</c:v>
                </c:pt>
                <c:pt idx="341">
                  <c:v>1538.91</c:v>
                </c:pt>
                <c:pt idx="342">
                  <c:v>1538.75</c:v>
                </c:pt>
                <c:pt idx="343">
                  <c:v>1538.58</c:v>
                </c:pt>
                <c:pt idx="344">
                  <c:v>1538.4</c:v>
                </c:pt>
                <c:pt idx="345">
                  <c:v>1538.21</c:v>
                </c:pt>
                <c:pt idx="346">
                  <c:v>1538</c:v>
                </c:pt>
                <c:pt idx="347">
                  <c:v>1537.78</c:v>
                </c:pt>
                <c:pt idx="348">
                  <c:v>1537.57</c:v>
                </c:pt>
                <c:pt idx="349">
                  <c:v>1537.31</c:v>
                </c:pt>
                <c:pt idx="350">
                  <c:v>1537.06</c:v>
                </c:pt>
                <c:pt idx="351">
                  <c:v>1536.82</c:v>
                </c:pt>
                <c:pt idx="352">
                  <c:v>1536.6</c:v>
                </c:pt>
                <c:pt idx="353">
                  <c:v>1536.4</c:v>
                </c:pt>
                <c:pt idx="354">
                  <c:v>1536.2</c:v>
                </c:pt>
                <c:pt idx="355">
                  <c:v>1536.01</c:v>
                </c:pt>
                <c:pt idx="356">
                  <c:v>1535.84</c:v>
                </c:pt>
                <c:pt idx="357">
                  <c:v>1535.68</c:v>
                </c:pt>
                <c:pt idx="358">
                  <c:v>1535.51</c:v>
                </c:pt>
                <c:pt idx="359">
                  <c:v>1535.37</c:v>
                </c:pt>
                <c:pt idx="360">
                  <c:v>1535.23</c:v>
                </c:pt>
                <c:pt idx="361">
                  <c:v>1535.09</c:v>
                </c:pt>
                <c:pt idx="362">
                  <c:v>1534.98</c:v>
                </c:pt>
                <c:pt idx="363">
                  <c:v>1534.86</c:v>
                </c:pt>
                <c:pt idx="364">
                  <c:v>1534.75</c:v>
                </c:pt>
                <c:pt idx="365">
                  <c:v>1534.64</c:v>
                </c:pt>
                <c:pt idx="366">
                  <c:v>1534.56</c:v>
                </c:pt>
                <c:pt idx="367">
                  <c:v>1534.47</c:v>
                </c:pt>
                <c:pt idx="368">
                  <c:v>1534.39</c:v>
                </c:pt>
                <c:pt idx="369">
                  <c:v>1534.31</c:v>
                </c:pt>
                <c:pt idx="370">
                  <c:v>1534.23</c:v>
                </c:pt>
                <c:pt idx="371">
                  <c:v>1534.16</c:v>
                </c:pt>
                <c:pt idx="372">
                  <c:v>1534.1</c:v>
                </c:pt>
                <c:pt idx="373">
                  <c:v>1534.04</c:v>
                </c:pt>
                <c:pt idx="374">
                  <c:v>1533.97</c:v>
                </c:pt>
                <c:pt idx="375">
                  <c:v>1533.92</c:v>
                </c:pt>
                <c:pt idx="376">
                  <c:v>1533.86</c:v>
                </c:pt>
                <c:pt idx="377">
                  <c:v>1533.8</c:v>
                </c:pt>
                <c:pt idx="378">
                  <c:v>1533.76</c:v>
                </c:pt>
                <c:pt idx="379">
                  <c:v>1533.71</c:v>
                </c:pt>
                <c:pt idx="380">
                  <c:v>1533.66</c:v>
                </c:pt>
                <c:pt idx="381">
                  <c:v>1533.6</c:v>
                </c:pt>
                <c:pt idx="382">
                  <c:v>1533.55</c:v>
                </c:pt>
                <c:pt idx="383">
                  <c:v>1533.48</c:v>
                </c:pt>
                <c:pt idx="384">
                  <c:v>1533.43</c:v>
                </c:pt>
                <c:pt idx="385">
                  <c:v>1533.36</c:v>
                </c:pt>
                <c:pt idx="386">
                  <c:v>1533.3</c:v>
                </c:pt>
                <c:pt idx="387">
                  <c:v>1533.24</c:v>
                </c:pt>
                <c:pt idx="388">
                  <c:v>1533.19</c:v>
                </c:pt>
                <c:pt idx="389">
                  <c:v>1533.13</c:v>
                </c:pt>
                <c:pt idx="390">
                  <c:v>1533.08</c:v>
                </c:pt>
                <c:pt idx="391">
                  <c:v>1533.04</c:v>
                </c:pt>
                <c:pt idx="392">
                  <c:v>1533</c:v>
                </c:pt>
                <c:pt idx="393">
                  <c:v>1532.96</c:v>
                </c:pt>
                <c:pt idx="394">
                  <c:v>1532.92</c:v>
                </c:pt>
                <c:pt idx="395">
                  <c:v>1532.88</c:v>
                </c:pt>
                <c:pt idx="396">
                  <c:v>1532.84</c:v>
                </c:pt>
                <c:pt idx="397">
                  <c:v>1532.8</c:v>
                </c:pt>
                <c:pt idx="398">
                  <c:v>1532.76</c:v>
                </c:pt>
                <c:pt idx="399">
                  <c:v>1532.73</c:v>
                </c:pt>
                <c:pt idx="400">
                  <c:v>1532.7</c:v>
                </c:pt>
                <c:pt idx="401">
                  <c:v>1532.67</c:v>
                </c:pt>
                <c:pt idx="402">
                  <c:v>1532.64</c:v>
                </c:pt>
                <c:pt idx="403">
                  <c:v>1532.61</c:v>
                </c:pt>
                <c:pt idx="404">
                  <c:v>1532.58</c:v>
                </c:pt>
                <c:pt idx="405">
                  <c:v>1532.55</c:v>
                </c:pt>
                <c:pt idx="406">
                  <c:v>1532.52</c:v>
                </c:pt>
                <c:pt idx="407">
                  <c:v>1532.5</c:v>
                </c:pt>
                <c:pt idx="408">
                  <c:v>1532.47</c:v>
                </c:pt>
                <c:pt idx="409">
                  <c:v>1532.44</c:v>
                </c:pt>
                <c:pt idx="410">
                  <c:v>1532.42</c:v>
                </c:pt>
                <c:pt idx="411">
                  <c:v>1532.39</c:v>
                </c:pt>
                <c:pt idx="412">
                  <c:v>1532.36</c:v>
                </c:pt>
                <c:pt idx="413">
                  <c:v>1532.34</c:v>
                </c:pt>
                <c:pt idx="414">
                  <c:v>1532.32</c:v>
                </c:pt>
                <c:pt idx="415">
                  <c:v>1532.3</c:v>
                </c:pt>
                <c:pt idx="416">
                  <c:v>1532.27</c:v>
                </c:pt>
                <c:pt idx="417">
                  <c:v>1532.25</c:v>
                </c:pt>
                <c:pt idx="418">
                  <c:v>1532.23</c:v>
                </c:pt>
                <c:pt idx="419">
                  <c:v>1532.21</c:v>
                </c:pt>
                <c:pt idx="420">
                  <c:v>1532.2</c:v>
                </c:pt>
                <c:pt idx="421">
                  <c:v>1532.18</c:v>
                </c:pt>
                <c:pt idx="422">
                  <c:v>1532.16</c:v>
                </c:pt>
                <c:pt idx="423">
                  <c:v>1532.15</c:v>
                </c:pt>
                <c:pt idx="424">
                  <c:v>1532.12</c:v>
                </c:pt>
                <c:pt idx="425">
                  <c:v>1532.11</c:v>
                </c:pt>
                <c:pt idx="426">
                  <c:v>1532.08</c:v>
                </c:pt>
                <c:pt idx="427">
                  <c:v>1532.06</c:v>
                </c:pt>
                <c:pt idx="428">
                  <c:v>1532.04</c:v>
                </c:pt>
                <c:pt idx="429">
                  <c:v>1532.03</c:v>
                </c:pt>
                <c:pt idx="430">
                  <c:v>1532.01</c:v>
                </c:pt>
                <c:pt idx="431">
                  <c:v>1532</c:v>
                </c:pt>
                <c:pt idx="432">
                  <c:v>1531.98</c:v>
                </c:pt>
                <c:pt idx="433">
                  <c:v>1531.96</c:v>
                </c:pt>
                <c:pt idx="434">
                  <c:v>1531.95</c:v>
                </c:pt>
                <c:pt idx="435">
                  <c:v>1531.94</c:v>
                </c:pt>
                <c:pt idx="436">
                  <c:v>1531.92</c:v>
                </c:pt>
                <c:pt idx="437">
                  <c:v>1531.91</c:v>
                </c:pt>
                <c:pt idx="438">
                  <c:v>1531.91</c:v>
                </c:pt>
                <c:pt idx="439">
                  <c:v>1531.9</c:v>
                </c:pt>
                <c:pt idx="440">
                  <c:v>1531.9</c:v>
                </c:pt>
                <c:pt idx="441">
                  <c:v>1531.89</c:v>
                </c:pt>
                <c:pt idx="442">
                  <c:v>1531.89</c:v>
                </c:pt>
                <c:pt idx="443">
                  <c:v>1531.88</c:v>
                </c:pt>
                <c:pt idx="444">
                  <c:v>1531.87</c:v>
                </c:pt>
                <c:pt idx="445">
                  <c:v>1531.86</c:v>
                </c:pt>
                <c:pt idx="446">
                  <c:v>1531.84</c:v>
                </c:pt>
                <c:pt idx="447">
                  <c:v>1531.84</c:v>
                </c:pt>
                <c:pt idx="448">
                  <c:v>1531.84</c:v>
                </c:pt>
                <c:pt idx="449">
                  <c:v>1531.84</c:v>
                </c:pt>
                <c:pt idx="450">
                  <c:v>1531.83</c:v>
                </c:pt>
                <c:pt idx="451">
                  <c:v>1531.81</c:v>
                </c:pt>
                <c:pt idx="452">
                  <c:v>1531.8</c:v>
                </c:pt>
                <c:pt idx="453">
                  <c:v>1531.78</c:v>
                </c:pt>
                <c:pt idx="454">
                  <c:v>1531.76</c:v>
                </c:pt>
                <c:pt idx="455">
                  <c:v>1531.74</c:v>
                </c:pt>
                <c:pt idx="456">
                  <c:v>1531.72</c:v>
                </c:pt>
                <c:pt idx="457">
                  <c:v>1531.71</c:v>
                </c:pt>
                <c:pt idx="458">
                  <c:v>1531.7</c:v>
                </c:pt>
                <c:pt idx="459">
                  <c:v>1531.68</c:v>
                </c:pt>
                <c:pt idx="460">
                  <c:v>1531.66</c:v>
                </c:pt>
                <c:pt idx="461">
                  <c:v>1531.64</c:v>
                </c:pt>
                <c:pt idx="462">
                  <c:v>1531.64</c:v>
                </c:pt>
                <c:pt idx="463">
                  <c:v>1531.63</c:v>
                </c:pt>
                <c:pt idx="464">
                  <c:v>1531.62</c:v>
                </c:pt>
                <c:pt idx="465">
                  <c:v>1531.61</c:v>
                </c:pt>
                <c:pt idx="466">
                  <c:v>1531.6</c:v>
                </c:pt>
                <c:pt idx="467">
                  <c:v>1531.58</c:v>
                </c:pt>
                <c:pt idx="468">
                  <c:v>1531.56</c:v>
                </c:pt>
                <c:pt idx="469">
                  <c:v>1531.56</c:v>
                </c:pt>
                <c:pt idx="470">
                  <c:v>1531.54</c:v>
                </c:pt>
                <c:pt idx="471">
                  <c:v>1531.52</c:v>
                </c:pt>
                <c:pt idx="472">
                  <c:v>1531.5</c:v>
                </c:pt>
                <c:pt idx="473">
                  <c:v>1531.49</c:v>
                </c:pt>
                <c:pt idx="474">
                  <c:v>1531.48</c:v>
                </c:pt>
                <c:pt idx="475">
                  <c:v>1531.46</c:v>
                </c:pt>
                <c:pt idx="476">
                  <c:v>1531.44</c:v>
                </c:pt>
                <c:pt idx="477">
                  <c:v>1531.43</c:v>
                </c:pt>
                <c:pt idx="478">
                  <c:v>1531.42</c:v>
                </c:pt>
                <c:pt idx="479">
                  <c:v>1531.4</c:v>
                </c:pt>
                <c:pt idx="480">
                  <c:v>1531.4</c:v>
                </c:pt>
                <c:pt idx="481">
                  <c:v>1531.38</c:v>
                </c:pt>
                <c:pt idx="482">
                  <c:v>1531.37</c:v>
                </c:pt>
                <c:pt idx="483">
                  <c:v>1531.36</c:v>
                </c:pt>
                <c:pt idx="484">
                  <c:v>1531.35</c:v>
                </c:pt>
                <c:pt idx="485">
                  <c:v>1531.34</c:v>
                </c:pt>
                <c:pt idx="486">
                  <c:v>1531.32</c:v>
                </c:pt>
                <c:pt idx="487">
                  <c:v>1531.32</c:v>
                </c:pt>
                <c:pt idx="488">
                  <c:v>1531.31</c:v>
                </c:pt>
                <c:pt idx="489">
                  <c:v>1531.3</c:v>
                </c:pt>
                <c:pt idx="490">
                  <c:v>1531.29</c:v>
                </c:pt>
                <c:pt idx="491">
                  <c:v>1531.28</c:v>
                </c:pt>
                <c:pt idx="492">
                  <c:v>1531.28</c:v>
                </c:pt>
                <c:pt idx="493">
                  <c:v>1531.27</c:v>
                </c:pt>
                <c:pt idx="494">
                  <c:v>1531.26</c:v>
                </c:pt>
                <c:pt idx="495">
                  <c:v>1531.24</c:v>
                </c:pt>
                <c:pt idx="496">
                  <c:v>1531.24</c:v>
                </c:pt>
                <c:pt idx="497">
                  <c:v>1531.23</c:v>
                </c:pt>
                <c:pt idx="498">
                  <c:v>1531.22</c:v>
                </c:pt>
                <c:pt idx="499">
                  <c:v>1531.21</c:v>
                </c:pt>
                <c:pt idx="500">
                  <c:v>1531.2</c:v>
                </c:pt>
                <c:pt idx="501">
                  <c:v>1531.19</c:v>
                </c:pt>
                <c:pt idx="502">
                  <c:v>1531.18</c:v>
                </c:pt>
                <c:pt idx="503">
                  <c:v>1531.17</c:v>
                </c:pt>
                <c:pt idx="504">
                  <c:v>1531.16</c:v>
                </c:pt>
                <c:pt idx="505">
                  <c:v>1531.16</c:v>
                </c:pt>
                <c:pt idx="506">
                  <c:v>1531.15</c:v>
                </c:pt>
                <c:pt idx="507">
                  <c:v>1531.14</c:v>
                </c:pt>
                <c:pt idx="508">
                  <c:v>1531.14</c:v>
                </c:pt>
                <c:pt idx="509">
                  <c:v>1531.12</c:v>
                </c:pt>
                <c:pt idx="510">
                  <c:v>1531.12</c:v>
                </c:pt>
                <c:pt idx="511">
                  <c:v>1531.11</c:v>
                </c:pt>
                <c:pt idx="512">
                  <c:v>1531.11</c:v>
                </c:pt>
                <c:pt idx="513">
                  <c:v>1531.11</c:v>
                </c:pt>
                <c:pt idx="514">
                  <c:v>1531.1</c:v>
                </c:pt>
                <c:pt idx="515">
                  <c:v>1531.1</c:v>
                </c:pt>
                <c:pt idx="516">
                  <c:v>1531.1</c:v>
                </c:pt>
                <c:pt idx="517">
                  <c:v>1531.1</c:v>
                </c:pt>
                <c:pt idx="518">
                  <c:v>1531.09</c:v>
                </c:pt>
                <c:pt idx="519">
                  <c:v>1531.08</c:v>
                </c:pt>
                <c:pt idx="520">
                  <c:v>1531.08</c:v>
                </c:pt>
                <c:pt idx="521">
                  <c:v>1531.08</c:v>
                </c:pt>
                <c:pt idx="522">
                  <c:v>1531.08</c:v>
                </c:pt>
                <c:pt idx="523">
                  <c:v>1531.07</c:v>
                </c:pt>
                <c:pt idx="524">
                  <c:v>1531.07</c:v>
                </c:pt>
                <c:pt idx="525">
                  <c:v>1531.07</c:v>
                </c:pt>
                <c:pt idx="526">
                  <c:v>1531.07</c:v>
                </c:pt>
                <c:pt idx="527">
                  <c:v>1531.07</c:v>
                </c:pt>
              </c:numCache>
            </c:numRef>
          </c:yVal>
          <c:smooth val="0"/>
          <c:extLst>
            <c:ext xmlns:c16="http://schemas.microsoft.com/office/drawing/2014/chart" uri="{C3380CC4-5D6E-409C-BE32-E72D297353CC}">
              <c16:uniqueId val="{00000007-8DA7-4939-940E-D7E0C59A2B81}"/>
            </c:ext>
          </c:extLst>
        </c:ser>
        <c:ser>
          <c:idx val="8"/>
          <c:order val="8"/>
          <c:tx>
            <c:v>Mod Statistics Range</c:v>
          </c:tx>
          <c:spPr>
            <a:ln>
              <a:noFill/>
            </a:ln>
          </c:spPr>
          <c:marker>
            <c:symbol val="circle"/>
            <c:size val="5"/>
            <c:spPr>
              <a:solidFill>
                <a:srgbClr val="FF0000"/>
              </a:solidFill>
              <a:ln>
                <a:solidFill>
                  <a:schemeClr val="tx1">
                    <a:lumMod val="75000"/>
                    <a:lumOff val="25000"/>
                  </a:schemeClr>
                </a:solidFill>
              </a:ln>
            </c:spPr>
          </c:marker>
          <c:xVal>
            <c:numRef>
              <c:f>Gage_and_Event!$AO$5:$AO$2000</c:f>
              <c:numCache>
                <c:formatCode>m/d/yy\ h:mm;@</c:formatCode>
                <c:ptCount val="1996"/>
                <c:pt idx="0">
                  <c:v>37931.541666666664</c:v>
                </c:pt>
                <c:pt idx="1">
                  <c:v>37931.583333333336</c:v>
                </c:pt>
                <c:pt idx="2">
                  <c:v>37931.625</c:v>
                </c:pt>
                <c:pt idx="3">
                  <c:v>37931.666666666664</c:v>
                </c:pt>
                <c:pt idx="4">
                  <c:v>37931.708333333336</c:v>
                </c:pt>
                <c:pt idx="5">
                  <c:v>37931.75</c:v>
                </c:pt>
                <c:pt idx="6">
                  <c:v>37931.791666666664</c:v>
                </c:pt>
                <c:pt idx="7">
                  <c:v>37931.833333333336</c:v>
                </c:pt>
                <c:pt idx="8">
                  <c:v>37931.875</c:v>
                </c:pt>
                <c:pt idx="9">
                  <c:v>37931.916666666664</c:v>
                </c:pt>
                <c:pt idx="10">
                  <c:v>37931.958333333336</c:v>
                </c:pt>
                <c:pt idx="11">
                  <c:v>37932</c:v>
                </c:pt>
                <c:pt idx="12">
                  <c:v>37932.041666666664</c:v>
                </c:pt>
                <c:pt idx="13">
                  <c:v>37932.083333333336</c:v>
                </c:pt>
                <c:pt idx="14">
                  <c:v>37932.125</c:v>
                </c:pt>
                <c:pt idx="15">
                  <c:v>37932.166666666664</c:v>
                </c:pt>
                <c:pt idx="16">
                  <c:v>37932.208333333336</c:v>
                </c:pt>
                <c:pt idx="17">
                  <c:v>37932.25</c:v>
                </c:pt>
                <c:pt idx="18">
                  <c:v>37932.291666666664</c:v>
                </c:pt>
                <c:pt idx="19">
                  <c:v>37932.333333333336</c:v>
                </c:pt>
                <c:pt idx="20">
                  <c:v>37932.375</c:v>
                </c:pt>
                <c:pt idx="21">
                  <c:v>37932.416666666664</c:v>
                </c:pt>
                <c:pt idx="22">
                  <c:v>37932.458333333336</c:v>
                </c:pt>
                <c:pt idx="23">
                  <c:v>37932.5</c:v>
                </c:pt>
                <c:pt idx="24">
                  <c:v>37932.541666666664</c:v>
                </c:pt>
                <c:pt idx="25">
                  <c:v>37932.583333333336</c:v>
                </c:pt>
                <c:pt idx="26">
                  <c:v>37932.625</c:v>
                </c:pt>
                <c:pt idx="27">
                  <c:v>37932.666666666664</c:v>
                </c:pt>
                <c:pt idx="28">
                  <c:v>37932.708333333336</c:v>
                </c:pt>
                <c:pt idx="29">
                  <c:v>37932.75</c:v>
                </c:pt>
                <c:pt idx="30">
                  <c:v>37932.791666666664</c:v>
                </c:pt>
                <c:pt idx="31">
                  <c:v>37932.833333333336</c:v>
                </c:pt>
                <c:pt idx="32">
                  <c:v>37932.875</c:v>
                </c:pt>
                <c:pt idx="33">
                  <c:v>37932.916666666664</c:v>
                </c:pt>
                <c:pt idx="34">
                  <c:v>37932.958333333336</c:v>
                </c:pt>
                <c:pt idx="35">
                  <c:v>37933</c:v>
                </c:pt>
                <c:pt idx="36">
                  <c:v>37933.041666666664</c:v>
                </c:pt>
                <c:pt idx="37">
                  <c:v>37933.083333333336</c:v>
                </c:pt>
                <c:pt idx="38">
                  <c:v>37933.125</c:v>
                </c:pt>
                <c:pt idx="39">
                  <c:v>37933.166666666664</c:v>
                </c:pt>
                <c:pt idx="40">
                  <c:v>37933.208333333336</c:v>
                </c:pt>
                <c:pt idx="41">
                  <c:v>37933.25</c:v>
                </c:pt>
                <c:pt idx="42">
                  <c:v>37933.291666666664</c:v>
                </c:pt>
                <c:pt idx="43">
                  <c:v>37933.333333333336</c:v>
                </c:pt>
                <c:pt idx="44">
                  <c:v>37933.375</c:v>
                </c:pt>
                <c:pt idx="45">
                  <c:v>37933.416666666664</c:v>
                </c:pt>
                <c:pt idx="46">
                  <c:v>37933.458333333336</c:v>
                </c:pt>
                <c:pt idx="47">
                  <c:v>37933.5</c:v>
                </c:pt>
                <c:pt idx="48">
                  <c:v>37933.541666666664</c:v>
                </c:pt>
                <c:pt idx="49">
                  <c:v>37933.583333333336</c:v>
                </c:pt>
                <c:pt idx="50">
                  <c:v>37933.625</c:v>
                </c:pt>
                <c:pt idx="51">
                  <c:v>37933.666666666664</c:v>
                </c:pt>
                <c:pt idx="52">
                  <c:v>37933.708333333336</c:v>
                </c:pt>
                <c:pt idx="53">
                  <c:v>37933.75</c:v>
                </c:pt>
                <c:pt idx="54">
                  <c:v>37933.791666666664</c:v>
                </c:pt>
                <c:pt idx="55">
                  <c:v>37933.833333333336</c:v>
                </c:pt>
                <c:pt idx="56">
                  <c:v>37933.875</c:v>
                </c:pt>
                <c:pt idx="57">
                  <c:v>37933.916666666664</c:v>
                </c:pt>
                <c:pt idx="58">
                  <c:v>37933.958333333336</c:v>
                </c:pt>
                <c:pt idx="59">
                  <c:v>37934</c:v>
                </c:pt>
                <c:pt idx="60">
                  <c:v>37934.041666666664</c:v>
                </c:pt>
                <c:pt idx="61">
                  <c:v>37934.083333333336</c:v>
                </c:pt>
                <c:pt idx="62">
                  <c:v>37934.125</c:v>
                </c:pt>
                <c:pt idx="63">
                  <c:v>37934.166666666664</c:v>
                </c:pt>
                <c:pt idx="64">
                  <c:v>37934.208333333336</c:v>
                </c:pt>
                <c:pt idx="65">
                  <c:v>37934.25</c:v>
                </c:pt>
                <c:pt idx="66">
                  <c:v>37934.291666666664</c:v>
                </c:pt>
                <c:pt idx="67">
                  <c:v>37934.333333333336</c:v>
                </c:pt>
                <c:pt idx="68">
                  <c:v>37934.375</c:v>
                </c:pt>
                <c:pt idx="69">
                  <c:v>37934.416666666664</c:v>
                </c:pt>
                <c:pt idx="70">
                  <c:v>37934.458333333336</c:v>
                </c:pt>
                <c:pt idx="71">
                  <c:v>37934.5</c:v>
                </c:pt>
                <c:pt idx="72">
                  <c:v>37934.541666666664</c:v>
                </c:pt>
                <c:pt idx="73">
                  <c:v>37934.583333333336</c:v>
                </c:pt>
                <c:pt idx="74">
                  <c:v>37934.625</c:v>
                </c:pt>
                <c:pt idx="75">
                  <c:v>37934.666666666664</c:v>
                </c:pt>
                <c:pt idx="76">
                  <c:v>37934.708333333336</c:v>
                </c:pt>
                <c:pt idx="77">
                  <c:v>37934.75</c:v>
                </c:pt>
                <c:pt idx="78">
                  <c:v>37934.791666666664</c:v>
                </c:pt>
                <c:pt idx="79">
                  <c:v>37934.833333333336</c:v>
                </c:pt>
                <c:pt idx="80">
                  <c:v>37934.875</c:v>
                </c:pt>
                <c:pt idx="81">
                  <c:v>37934.916666666664</c:v>
                </c:pt>
                <c:pt idx="82">
                  <c:v>37934.958333333336</c:v>
                </c:pt>
                <c:pt idx="83">
                  <c:v>37935</c:v>
                </c:pt>
                <c:pt idx="84">
                  <c:v>37935.041666666664</c:v>
                </c:pt>
                <c:pt idx="85">
                  <c:v>37935.083333333336</c:v>
                </c:pt>
                <c:pt idx="86">
                  <c:v>37935.125</c:v>
                </c:pt>
                <c:pt idx="87">
                  <c:v>37935.166666666664</c:v>
                </c:pt>
                <c:pt idx="88">
                  <c:v>37935.208333333336</c:v>
                </c:pt>
                <c:pt idx="89">
                  <c:v>37935.25</c:v>
                </c:pt>
                <c:pt idx="90">
                  <c:v>37935.291666666664</c:v>
                </c:pt>
                <c:pt idx="91">
                  <c:v>37935.333333333336</c:v>
                </c:pt>
                <c:pt idx="92">
                  <c:v>37935.375</c:v>
                </c:pt>
                <c:pt idx="93">
                  <c:v>37935.416666666664</c:v>
                </c:pt>
                <c:pt idx="94">
                  <c:v>37935.458333333336</c:v>
                </c:pt>
                <c:pt idx="95">
                  <c:v>37935.5</c:v>
                </c:pt>
                <c:pt idx="96">
                  <c:v>37935.541666666664</c:v>
                </c:pt>
                <c:pt idx="97">
                  <c:v>37935.583333333336</c:v>
                </c:pt>
                <c:pt idx="98">
                  <c:v>37935.625</c:v>
                </c:pt>
                <c:pt idx="99">
                  <c:v>37935.666666666664</c:v>
                </c:pt>
                <c:pt idx="100">
                  <c:v>37935.708333333336</c:v>
                </c:pt>
                <c:pt idx="101">
                  <c:v>37935.75</c:v>
                </c:pt>
                <c:pt idx="102">
                  <c:v>37935.791666666664</c:v>
                </c:pt>
                <c:pt idx="103">
                  <c:v>37935.833333333336</c:v>
                </c:pt>
                <c:pt idx="104">
                  <c:v>37935.875</c:v>
                </c:pt>
                <c:pt idx="105">
                  <c:v>37935.916666666664</c:v>
                </c:pt>
                <c:pt idx="106">
                  <c:v>37935.958333333336</c:v>
                </c:pt>
                <c:pt idx="107">
                  <c:v>37936</c:v>
                </c:pt>
                <c:pt idx="108">
                  <c:v>37936.041666666664</c:v>
                </c:pt>
                <c:pt idx="109">
                  <c:v>37936.083333333336</c:v>
                </c:pt>
                <c:pt idx="110">
                  <c:v>37936.125</c:v>
                </c:pt>
                <c:pt idx="111">
                  <c:v>37936.166666666664</c:v>
                </c:pt>
                <c:pt idx="112">
                  <c:v>37936.208333333336</c:v>
                </c:pt>
                <c:pt idx="113">
                  <c:v>37936.25</c:v>
                </c:pt>
                <c:pt idx="114">
                  <c:v>37936.291666666664</c:v>
                </c:pt>
                <c:pt idx="115">
                  <c:v>37936.333333333336</c:v>
                </c:pt>
                <c:pt idx="116">
                  <c:v>37936.375</c:v>
                </c:pt>
                <c:pt idx="117">
                  <c:v>37936.416666666664</c:v>
                </c:pt>
                <c:pt idx="118">
                  <c:v>37936.458333333336</c:v>
                </c:pt>
                <c:pt idx="119">
                  <c:v>37936.5</c:v>
                </c:pt>
                <c:pt idx="120">
                  <c:v>37936.541666666664</c:v>
                </c:pt>
                <c:pt idx="121">
                  <c:v>37936.583333333336</c:v>
                </c:pt>
                <c:pt idx="122">
                  <c:v>37936.625</c:v>
                </c:pt>
                <c:pt idx="123">
                  <c:v>37936.666666666664</c:v>
                </c:pt>
                <c:pt idx="124">
                  <c:v>37936.708333333336</c:v>
                </c:pt>
                <c:pt idx="125">
                  <c:v>37936.75</c:v>
                </c:pt>
                <c:pt idx="126">
                  <c:v>37936.791666666664</c:v>
                </c:pt>
                <c:pt idx="127">
                  <c:v>37936.833333333336</c:v>
                </c:pt>
                <c:pt idx="128">
                  <c:v>37936.875</c:v>
                </c:pt>
                <c:pt idx="129">
                  <c:v>37936.916666666664</c:v>
                </c:pt>
                <c:pt idx="130">
                  <c:v>37936.958333333336</c:v>
                </c:pt>
                <c:pt idx="131">
                  <c:v>37937</c:v>
                </c:pt>
                <c:pt idx="132">
                  <c:v>37937.041666666664</c:v>
                </c:pt>
                <c:pt idx="133">
                  <c:v>37937.083333333336</c:v>
                </c:pt>
                <c:pt idx="134">
                  <c:v>37937.125</c:v>
                </c:pt>
                <c:pt idx="135">
                  <c:v>37937.166666666664</c:v>
                </c:pt>
                <c:pt idx="136">
                  <c:v>37937.208333333336</c:v>
                </c:pt>
                <c:pt idx="137">
                  <c:v>37937.25</c:v>
                </c:pt>
                <c:pt idx="138">
                  <c:v>37937.291666666664</c:v>
                </c:pt>
                <c:pt idx="139">
                  <c:v>37937.333333333336</c:v>
                </c:pt>
                <c:pt idx="140">
                  <c:v>37937.375</c:v>
                </c:pt>
                <c:pt idx="141">
                  <c:v>37937.416666666664</c:v>
                </c:pt>
                <c:pt idx="142">
                  <c:v>37937.458333333336</c:v>
                </c:pt>
                <c:pt idx="143">
                  <c:v>37937.5</c:v>
                </c:pt>
                <c:pt idx="144">
                  <c:v>37937.541666666664</c:v>
                </c:pt>
                <c:pt idx="145">
                  <c:v>37937.583333333336</c:v>
                </c:pt>
                <c:pt idx="146">
                  <c:v>37937.625</c:v>
                </c:pt>
                <c:pt idx="147">
                  <c:v>37937.666666666664</c:v>
                </c:pt>
                <c:pt idx="148">
                  <c:v>37937.708333333336</c:v>
                </c:pt>
                <c:pt idx="149">
                  <c:v>37937.75</c:v>
                </c:pt>
                <c:pt idx="150">
                  <c:v>37937.791666666664</c:v>
                </c:pt>
                <c:pt idx="151">
                  <c:v>37937.833333333336</c:v>
                </c:pt>
                <c:pt idx="152">
                  <c:v>37937.875</c:v>
                </c:pt>
                <c:pt idx="153">
                  <c:v>37937.916666666664</c:v>
                </c:pt>
                <c:pt idx="154">
                  <c:v>37937.958333333336</c:v>
                </c:pt>
                <c:pt idx="155">
                  <c:v>37938</c:v>
                </c:pt>
                <c:pt idx="156">
                  <c:v>37938.041666666664</c:v>
                </c:pt>
                <c:pt idx="157">
                  <c:v>37938.083333333336</c:v>
                </c:pt>
                <c:pt idx="158">
                  <c:v>37938.125</c:v>
                </c:pt>
                <c:pt idx="159">
                  <c:v>37938.166666666664</c:v>
                </c:pt>
                <c:pt idx="160">
                  <c:v>37938.208333333336</c:v>
                </c:pt>
                <c:pt idx="161">
                  <c:v>37938.25</c:v>
                </c:pt>
                <c:pt idx="162">
                  <c:v>37938.291666666664</c:v>
                </c:pt>
                <c:pt idx="163">
                  <c:v>37938.333333333336</c:v>
                </c:pt>
                <c:pt idx="164">
                  <c:v>37938.375</c:v>
                </c:pt>
                <c:pt idx="165">
                  <c:v>37938.416666666664</c:v>
                </c:pt>
                <c:pt idx="166">
                  <c:v>37938.458333333336</c:v>
                </c:pt>
                <c:pt idx="167">
                  <c:v>37938.5</c:v>
                </c:pt>
                <c:pt idx="168">
                  <c:v>37938.541666666664</c:v>
                </c:pt>
                <c:pt idx="169">
                  <c:v>37938.583333333336</c:v>
                </c:pt>
                <c:pt idx="170">
                  <c:v>37938.625</c:v>
                </c:pt>
                <c:pt idx="171">
                  <c:v>37938.666666666664</c:v>
                </c:pt>
                <c:pt idx="172">
                  <c:v>37938.708333333336</c:v>
                </c:pt>
                <c:pt idx="173">
                  <c:v>37938.75</c:v>
                </c:pt>
                <c:pt idx="174">
                  <c:v>37938.791666666664</c:v>
                </c:pt>
                <c:pt idx="175">
                  <c:v>37938.833333333336</c:v>
                </c:pt>
                <c:pt idx="176">
                  <c:v>37938.875</c:v>
                </c:pt>
                <c:pt idx="177">
                  <c:v>37938.916666666664</c:v>
                </c:pt>
                <c:pt idx="178">
                  <c:v>37938.958333333336</c:v>
                </c:pt>
                <c:pt idx="179">
                  <c:v>37939</c:v>
                </c:pt>
                <c:pt idx="180">
                  <c:v>37939.041666666664</c:v>
                </c:pt>
                <c:pt idx="181">
                  <c:v>37939.083333333336</c:v>
                </c:pt>
                <c:pt idx="182">
                  <c:v>37939.125</c:v>
                </c:pt>
                <c:pt idx="183">
                  <c:v>37939.166666666664</c:v>
                </c:pt>
                <c:pt idx="184">
                  <c:v>37939.208333333336</c:v>
                </c:pt>
                <c:pt idx="185">
                  <c:v>37939.25</c:v>
                </c:pt>
                <c:pt idx="186">
                  <c:v>37939.291666666664</c:v>
                </c:pt>
                <c:pt idx="187">
                  <c:v>37939.333333333336</c:v>
                </c:pt>
                <c:pt idx="188">
                  <c:v>37939.375</c:v>
                </c:pt>
                <c:pt idx="189">
                  <c:v>37939.416666666664</c:v>
                </c:pt>
                <c:pt idx="190">
                  <c:v>37939.458333333336</c:v>
                </c:pt>
                <c:pt idx="191">
                  <c:v>37939.5</c:v>
                </c:pt>
                <c:pt idx="192">
                  <c:v>37939.541666666664</c:v>
                </c:pt>
                <c:pt idx="193">
                  <c:v>37939.583333333336</c:v>
                </c:pt>
                <c:pt idx="194">
                  <c:v>37939.625</c:v>
                </c:pt>
                <c:pt idx="195">
                  <c:v>37939.666666666664</c:v>
                </c:pt>
                <c:pt idx="196">
                  <c:v>37939.708333333336</c:v>
                </c:pt>
                <c:pt idx="197">
                  <c:v>37939.75</c:v>
                </c:pt>
                <c:pt idx="198">
                  <c:v>37939.791666666664</c:v>
                </c:pt>
                <c:pt idx="199">
                  <c:v>37939.833333333336</c:v>
                </c:pt>
                <c:pt idx="200">
                  <c:v>37939.875</c:v>
                </c:pt>
                <c:pt idx="201">
                  <c:v>37939.916666666664</c:v>
                </c:pt>
                <c:pt idx="202">
                  <c:v>37939.958333333336</c:v>
                </c:pt>
                <c:pt idx="203">
                  <c:v>37940</c:v>
                </c:pt>
                <c:pt idx="204">
                  <c:v>37940.041666666664</c:v>
                </c:pt>
                <c:pt idx="205">
                  <c:v>37940.083333333336</c:v>
                </c:pt>
                <c:pt idx="206">
                  <c:v>37940.125</c:v>
                </c:pt>
                <c:pt idx="207">
                  <c:v>37940.166666666664</c:v>
                </c:pt>
                <c:pt idx="208">
                  <c:v>37940.208333333336</c:v>
                </c:pt>
                <c:pt idx="209">
                  <c:v>37940.25</c:v>
                </c:pt>
                <c:pt idx="210">
                  <c:v>37940.291666666664</c:v>
                </c:pt>
                <c:pt idx="211">
                  <c:v>37940.333333333336</c:v>
                </c:pt>
                <c:pt idx="212">
                  <c:v>37940.375</c:v>
                </c:pt>
                <c:pt idx="213">
                  <c:v>37940.416666666664</c:v>
                </c:pt>
                <c:pt idx="214">
                  <c:v>37940.458333333336</c:v>
                </c:pt>
                <c:pt idx="215">
                  <c:v>37940.5</c:v>
                </c:pt>
                <c:pt idx="216">
                  <c:v>37940.541666666664</c:v>
                </c:pt>
                <c:pt idx="217">
                  <c:v>37940.583333333336</c:v>
                </c:pt>
                <c:pt idx="218">
                  <c:v>37940.625</c:v>
                </c:pt>
                <c:pt idx="219">
                  <c:v>37940.666666666664</c:v>
                </c:pt>
                <c:pt idx="220">
                  <c:v>37940.708333333336</c:v>
                </c:pt>
                <c:pt idx="221">
                  <c:v>37940.75</c:v>
                </c:pt>
                <c:pt idx="222">
                  <c:v>37940.791666666664</c:v>
                </c:pt>
                <c:pt idx="223">
                  <c:v>37940.833333333336</c:v>
                </c:pt>
                <c:pt idx="224">
                  <c:v>37940.875</c:v>
                </c:pt>
                <c:pt idx="225">
                  <c:v>37940.916666666664</c:v>
                </c:pt>
                <c:pt idx="226">
                  <c:v>37940.958333333336</c:v>
                </c:pt>
                <c:pt idx="227">
                  <c:v>37941</c:v>
                </c:pt>
                <c:pt idx="228">
                  <c:v>37941.041666666664</c:v>
                </c:pt>
                <c:pt idx="229">
                  <c:v>37941.083333333336</c:v>
                </c:pt>
                <c:pt idx="230">
                  <c:v>37941.125</c:v>
                </c:pt>
                <c:pt idx="231">
                  <c:v>37941.166666666664</c:v>
                </c:pt>
                <c:pt idx="232">
                  <c:v>37941.208333333336</c:v>
                </c:pt>
                <c:pt idx="233">
                  <c:v>37941.25</c:v>
                </c:pt>
                <c:pt idx="234">
                  <c:v>37941.291666666664</c:v>
                </c:pt>
                <c:pt idx="235">
                  <c:v>37941.333333333336</c:v>
                </c:pt>
                <c:pt idx="236">
                  <c:v>37941.375</c:v>
                </c:pt>
                <c:pt idx="237">
                  <c:v>37941.416666666664</c:v>
                </c:pt>
                <c:pt idx="238">
                  <c:v>37941.458333333336</c:v>
                </c:pt>
                <c:pt idx="239">
                  <c:v>37941.5</c:v>
                </c:pt>
                <c:pt idx="240">
                  <c:v>37941.541666666664</c:v>
                </c:pt>
                <c:pt idx="241">
                  <c:v>37941.583333333336</c:v>
                </c:pt>
                <c:pt idx="242">
                  <c:v>37941.625</c:v>
                </c:pt>
                <c:pt idx="243">
                  <c:v>37941.666666666664</c:v>
                </c:pt>
                <c:pt idx="244">
                  <c:v>37941.708333333336</c:v>
                </c:pt>
                <c:pt idx="245">
                  <c:v>37941.75</c:v>
                </c:pt>
                <c:pt idx="246">
                  <c:v>37941.791666666664</c:v>
                </c:pt>
                <c:pt idx="247">
                  <c:v>37941.833333333336</c:v>
                </c:pt>
                <c:pt idx="248">
                  <c:v>37941.875</c:v>
                </c:pt>
                <c:pt idx="249">
                  <c:v>37941.916666666664</c:v>
                </c:pt>
                <c:pt idx="250">
                  <c:v>37941.958333333336</c:v>
                </c:pt>
                <c:pt idx="251">
                  <c:v>37942</c:v>
                </c:pt>
                <c:pt idx="252">
                  <c:v>37942.041666666664</c:v>
                </c:pt>
                <c:pt idx="253">
                  <c:v>37942.083333333336</c:v>
                </c:pt>
                <c:pt idx="254">
                  <c:v>37942.125</c:v>
                </c:pt>
                <c:pt idx="255">
                  <c:v>37942.166666666664</c:v>
                </c:pt>
                <c:pt idx="256">
                  <c:v>37942.208333333336</c:v>
                </c:pt>
                <c:pt idx="257">
                  <c:v>37942.25</c:v>
                </c:pt>
                <c:pt idx="258">
                  <c:v>37942.291666666664</c:v>
                </c:pt>
                <c:pt idx="259">
                  <c:v>37942.333333333336</c:v>
                </c:pt>
                <c:pt idx="260">
                  <c:v>37942.375</c:v>
                </c:pt>
                <c:pt idx="261">
                  <c:v>37942.416666666664</c:v>
                </c:pt>
                <c:pt idx="262">
                  <c:v>37942.458333333336</c:v>
                </c:pt>
                <c:pt idx="263">
                  <c:v>37942.5</c:v>
                </c:pt>
                <c:pt idx="264">
                  <c:v>37942.541666666664</c:v>
                </c:pt>
                <c:pt idx="265">
                  <c:v>37942.583333333336</c:v>
                </c:pt>
                <c:pt idx="266">
                  <c:v>37942.625</c:v>
                </c:pt>
                <c:pt idx="267">
                  <c:v>37942.666666666664</c:v>
                </c:pt>
                <c:pt idx="268">
                  <c:v>37942.708333333336</c:v>
                </c:pt>
                <c:pt idx="269">
                  <c:v>37942.75</c:v>
                </c:pt>
                <c:pt idx="270">
                  <c:v>37942.791666666664</c:v>
                </c:pt>
                <c:pt idx="271">
                  <c:v>37942.833333333336</c:v>
                </c:pt>
                <c:pt idx="272">
                  <c:v>37942.875</c:v>
                </c:pt>
                <c:pt idx="273">
                  <c:v>37942.916666666664</c:v>
                </c:pt>
                <c:pt idx="274">
                  <c:v>37942.958333333336</c:v>
                </c:pt>
                <c:pt idx="275">
                  <c:v>37943</c:v>
                </c:pt>
                <c:pt idx="276">
                  <c:v>37943.041666666664</c:v>
                </c:pt>
                <c:pt idx="277">
                  <c:v>37943.083333333336</c:v>
                </c:pt>
                <c:pt idx="278">
                  <c:v>37943.125</c:v>
                </c:pt>
                <c:pt idx="279">
                  <c:v>37943.166666666664</c:v>
                </c:pt>
                <c:pt idx="280">
                  <c:v>37943.208333333336</c:v>
                </c:pt>
                <c:pt idx="281">
                  <c:v>37943.25</c:v>
                </c:pt>
                <c:pt idx="282">
                  <c:v>37943.291666666664</c:v>
                </c:pt>
                <c:pt idx="283">
                  <c:v>37943.333333333336</c:v>
                </c:pt>
                <c:pt idx="284">
                  <c:v>37943.375</c:v>
                </c:pt>
                <c:pt idx="285">
                  <c:v>37943.416666666664</c:v>
                </c:pt>
                <c:pt idx="286">
                  <c:v>37943.458333333336</c:v>
                </c:pt>
                <c:pt idx="287">
                  <c:v>37943.5</c:v>
                </c:pt>
                <c:pt idx="288">
                  <c:v>37943.541666666664</c:v>
                </c:pt>
                <c:pt idx="289">
                  <c:v>37943.583333333336</c:v>
                </c:pt>
                <c:pt idx="290">
                  <c:v>37943.625</c:v>
                </c:pt>
                <c:pt idx="291">
                  <c:v>37943.666666666664</c:v>
                </c:pt>
                <c:pt idx="292">
                  <c:v>37943.708333333336</c:v>
                </c:pt>
                <c:pt idx="293">
                  <c:v>37943.75</c:v>
                </c:pt>
                <c:pt idx="294">
                  <c:v>37943.791666666664</c:v>
                </c:pt>
                <c:pt idx="295">
                  <c:v>37943.833333333336</c:v>
                </c:pt>
                <c:pt idx="296">
                  <c:v>37943.875</c:v>
                </c:pt>
                <c:pt idx="297">
                  <c:v>37943.916666666664</c:v>
                </c:pt>
                <c:pt idx="298">
                  <c:v>37943.958333333336</c:v>
                </c:pt>
                <c:pt idx="299">
                  <c:v>37944</c:v>
                </c:pt>
                <c:pt idx="300">
                  <c:v>37944.041666666664</c:v>
                </c:pt>
                <c:pt idx="301">
                  <c:v>37944.083333333336</c:v>
                </c:pt>
                <c:pt idx="302">
                  <c:v>37944.125</c:v>
                </c:pt>
                <c:pt idx="303">
                  <c:v>37944.166666666664</c:v>
                </c:pt>
                <c:pt idx="304">
                  <c:v>37944.208333333336</c:v>
                </c:pt>
                <c:pt idx="305">
                  <c:v>37944.25</c:v>
                </c:pt>
                <c:pt idx="306">
                  <c:v>37944.291666666664</c:v>
                </c:pt>
                <c:pt idx="307">
                  <c:v>37944.333333333336</c:v>
                </c:pt>
                <c:pt idx="308">
                  <c:v>37944.375</c:v>
                </c:pt>
                <c:pt idx="309">
                  <c:v>37944.416666666664</c:v>
                </c:pt>
                <c:pt idx="310">
                  <c:v>37944.458333333336</c:v>
                </c:pt>
                <c:pt idx="311">
                  <c:v>37944.5</c:v>
                </c:pt>
                <c:pt idx="312">
                  <c:v>37944.541666666664</c:v>
                </c:pt>
                <c:pt idx="313">
                  <c:v>37944.583333333336</c:v>
                </c:pt>
                <c:pt idx="314">
                  <c:v>37944.625</c:v>
                </c:pt>
                <c:pt idx="315">
                  <c:v>37944.666666666664</c:v>
                </c:pt>
                <c:pt idx="316">
                  <c:v>37944.708333333336</c:v>
                </c:pt>
                <c:pt idx="317">
                  <c:v>37944.75</c:v>
                </c:pt>
                <c:pt idx="318">
                  <c:v>37944.791666666664</c:v>
                </c:pt>
                <c:pt idx="319">
                  <c:v>37944.833333333336</c:v>
                </c:pt>
                <c:pt idx="320">
                  <c:v>37944.875</c:v>
                </c:pt>
                <c:pt idx="321">
                  <c:v>37944.916666666664</c:v>
                </c:pt>
                <c:pt idx="322">
                  <c:v>37944.958333333336</c:v>
                </c:pt>
                <c:pt idx="323">
                  <c:v>37945</c:v>
                </c:pt>
                <c:pt idx="324">
                  <c:v>37945.041666666664</c:v>
                </c:pt>
                <c:pt idx="325">
                  <c:v>37945.083333333336</c:v>
                </c:pt>
                <c:pt idx="326">
                  <c:v>37945.125</c:v>
                </c:pt>
                <c:pt idx="327">
                  <c:v>37945.166666666664</c:v>
                </c:pt>
                <c:pt idx="328">
                  <c:v>37945.208333333336</c:v>
                </c:pt>
                <c:pt idx="329">
                  <c:v>37945.25</c:v>
                </c:pt>
                <c:pt idx="330">
                  <c:v>37945.291666666664</c:v>
                </c:pt>
                <c:pt idx="331">
                  <c:v>37945.333333333336</c:v>
                </c:pt>
                <c:pt idx="332">
                  <c:v>37945.375</c:v>
                </c:pt>
                <c:pt idx="333">
                  <c:v>37945.416666666664</c:v>
                </c:pt>
                <c:pt idx="334">
                  <c:v>37945.458333333336</c:v>
                </c:pt>
                <c:pt idx="335">
                  <c:v>37945.5</c:v>
                </c:pt>
                <c:pt idx="336">
                  <c:v>37945.541666666664</c:v>
                </c:pt>
                <c:pt idx="337">
                  <c:v>37945.583333333336</c:v>
                </c:pt>
                <c:pt idx="338">
                  <c:v>37945.625</c:v>
                </c:pt>
                <c:pt idx="339">
                  <c:v>37945.666666666664</c:v>
                </c:pt>
                <c:pt idx="340">
                  <c:v>37945.708333333336</c:v>
                </c:pt>
                <c:pt idx="341">
                  <c:v>37945.75</c:v>
                </c:pt>
                <c:pt idx="342">
                  <c:v>37945.791666666664</c:v>
                </c:pt>
                <c:pt idx="343">
                  <c:v>37945.833333333336</c:v>
                </c:pt>
                <c:pt idx="344">
                  <c:v>37945.875</c:v>
                </c:pt>
                <c:pt idx="345">
                  <c:v>37945.916666666664</c:v>
                </c:pt>
                <c:pt idx="346">
                  <c:v>37945.958333333336</c:v>
                </c:pt>
                <c:pt idx="347">
                  <c:v>37946</c:v>
                </c:pt>
                <c:pt idx="348">
                  <c:v>37946.041666666664</c:v>
                </c:pt>
                <c:pt idx="349">
                  <c:v>37946.083333333336</c:v>
                </c:pt>
                <c:pt idx="350">
                  <c:v>37946.125</c:v>
                </c:pt>
                <c:pt idx="351">
                  <c:v>37946.166666666664</c:v>
                </c:pt>
                <c:pt idx="352">
                  <c:v>37946.208333333336</c:v>
                </c:pt>
                <c:pt idx="353">
                  <c:v>37946.25</c:v>
                </c:pt>
                <c:pt idx="354">
                  <c:v>37946.291666666664</c:v>
                </c:pt>
                <c:pt idx="355">
                  <c:v>37946.333333333336</c:v>
                </c:pt>
                <c:pt idx="356">
                  <c:v>37946.375</c:v>
                </c:pt>
                <c:pt idx="357">
                  <c:v>37946.416666666664</c:v>
                </c:pt>
                <c:pt idx="358">
                  <c:v>37946.458333333336</c:v>
                </c:pt>
                <c:pt idx="359">
                  <c:v>37946.5</c:v>
                </c:pt>
                <c:pt idx="360">
                  <c:v>37946.541666666664</c:v>
                </c:pt>
                <c:pt idx="361">
                  <c:v>37946.583333333336</c:v>
                </c:pt>
                <c:pt idx="362">
                  <c:v>37946.625</c:v>
                </c:pt>
                <c:pt idx="363">
                  <c:v>37946.666666666664</c:v>
                </c:pt>
                <c:pt idx="364">
                  <c:v>37946.708333333336</c:v>
                </c:pt>
                <c:pt idx="365">
                  <c:v>37946.75</c:v>
                </c:pt>
                <c:pt idx="366">
                  <c:v>37946.791666666664</c:v>
                </c:pt>
                <c:pt idx="367">
                  <c:v>37946.833333333336</c:v>
                </c:pt>
                <c:pt idx="368">
                  <c:v>37946.875</c:v>
                </c:pt>
                <c:pt idx="369">
                  <c:v>37946.916666666664</c:v>
                </c:pt>
                <c:pt idx="370">
                  <c:v>37946.958333333336</c:v>
                </c:pt>
                <c:pt idx="371">
                  <c:v>37947</c:v>
                </c:pt>
                <c:pt idx="372">
                  <c:v>37947.041666666664</c:v>
                </c:pt>
                <c:pt idx="373">
                  <c:v>37947.083333333336</c:v>
                </c:pt>
                <c:pt idx="374">
                  <c:v>37947.125</c:v>
                </c:pt>
                <c:pt idx="375">
                  <c:v>37947.166666666664</c:v>
                </c:pt>
                <c:pt idx="376">
                  <c:v>37947.208333333336</c:v>
                </c:pt>
                <c:pt idx="377">
                  <c:v>37947.25</c:v>
                </c:pt>
                <c:pt idx="378">
                  <c:v>37947.291666666664</c:v>
                </c:pt>
                <c:pt idx="379">
                  <c:v>37947.333333333336</c:v>
                </c:pt>
                <c:pt idx="380">
                  <c:v>37947.375</c:v>
                </c:pt>
                <c:pt idx="381">
                  <c:v>37947.416666666664</c:v>
                </c:pt>
                <c:pt idx="382">
                  <c:v>37947.458333333336</c:v>
                </c:pt>
                <c:pt idx="383">
                  <c:v>37947.5</c:v>
                </c:pt>
                <c:pt idx="384">
                  <c:v>37947.541666666664</c:v>
                </c:pt>
                <c:pt idx="385">
                  <c:v>37947.583333333336</c:v>
                </c:pt>
                <c:pt idx="386">
                  <c:v>37947.625</c:v>
                </c:pt>
                <c:pt idx="387">
                  <c:v>37947.666666666664</c:v>
                </c:pt>
                <c:pt idx="388">
                  <c:v>37947.708333333336</c:v>
                </c:pt>
                <c:pt idx="389">
                  <c:v>37947.75</c:v>
                </c:pt>
                <c:pt idx="390">
                  <c:v>37947.791666666664</c:v>
                </c:pt>
                <c:pt idx="391">
                  <c:v>37947.833333333336</c:v>
                </c:pt>
                <c:pt idx="392">
                  <c:v>37947.875</c:v>
                </c:pt>
                <c:pt idx="393">
                  <c:v>37947.916666666664</c:v>
                </c:pt>
                <c:pt idx="394">
                  <c:v>37947.958333333336</c:v>
                </c:pt>
                <c:pt idx="395">
                  <c:v>37948</c:v>
                </c:pt>
                <c:pt idx="396">
                  <c:v>37948.041666666664</c:v>
                </c:pt>
                <c:pt idx="397">
                  <c:v>37948.083333333336</c:v>
                </c:pt>
                <c:pt idx="398">
                  <c:v>37948.125</c:v>
                </c:pt>
                <c:pt idx="399">
                  <c:v>37948.166666666664</c:v>
                </c:pt>
                <c:pt idx="400">
                  <c:v>37948.208333333336</c:v>
                </c:pt>
                <c:pt idx="401">
                  <c:v>37948.25</c:v>
                </c:pt>
                <c:pt idx="402">
                  <c:v>37948.291666666664</c:v>
                </c:pt>
                <c:pt idx="403">
                  <c:v>37948.333333333336</c:v>
                </c:pt>
                <c:pt idx="404">
                  <c:v>37948.375</c:v>
                </c:pt>
                <c:pt idx="405">
                  <c:v>37948.416666666664</c:v>
                </c:pt>
                <c:pt idx="406">
                  <c:v>37948.458333333336</c:v>
                </c:pt>
                <c:pt idx="407">
                  <c:v>37948.5</c:v>
                </c:pt>
                <c:pt idx="408">
                  <c:v>37948.541666666664</c:v>
                </c:pt>
                <c:pt idx="409">
                  <c:v>37948.583333333336</c:v>
                </c:pt>
                <c:pt idx="410">
                  <c:v>37948.625</c:v>
                </c:pt>
                <c:pt idx="411">
                  <c:v>37948.666666666664</c:v>
                </c:pt>
                <c:pt idx="412">
                  <c:v>37948.708333333336</c:v>
                </c:pt>
                <c:pt idx="413">
                  <c:v>37948.75</c:v>
                </c:pt>
                <c:pt idx="414">
                  <c:v>37948.791666666664</c:v>
                </c:pt>
                <c:pt idx="415">
                  <c:v>37948.833333333336</c:v>
                </c:pt>
                <c:pt idx="416">
                  <c:v>37948.875</c:v>
                </c:pt>
                <c:pt idx="417">
                  <c:v>37948.916666666664</c:v>
                </c:pt>
                <c:pt idx="418">
                  <c:v>37948.958333333336</c:v>
                </c:pt>
                <c:pt idx="419">
                  <c:v>37949</c:v>
                </c:pt>
                <c:pt idx="420">
                  <c:v>37949.041666666664</c:v>
                </c:pt>
                <c:pt idx="421">
                  <c:v>37949.083333333336</c:v>
                </c:pt>
                <c:pt idx="422">
                  <c:v>37949.125</c:v>
                </c:pt>
                <c:pt idx="423">
                  <c:v>37949.166666666664</c:v>
                </c:pt>
                <c:pt idx="424">
                  <c:v>37949.208333333336</c:v>
                </c:pt>
                <c:pt idx="425">
                  <c:v>37949.25</c:v>
                </c:pt>
                <c:pt idx="426">
                  <c:v>37949.291666666664</c:v>
                </c:pt>
                <c:pt idx="427">
                  <c:v>37949.333333333336</c:v>
                </c:pt>
                <c:pt idx="428">
                  <c:v>37949.375</c:v>
                </c:pt>
                <c:pt idx="429">
                  <c:v>37949.416666666664</c:v>
                </c:pt>
                <c:pt idx="430">
                  <c:v>37949.458333333336</c:v>
                </c:pt>
                <c:pt idx="431">
                  <c:v>37949.5</c:v>
                </c:pt>
                <c:pt idx="432">
                  <c:v>37949.541666666664</c:v>
                </c:pt>
                <c:pt idx="433">
                  <c:v>37949.583333333336</c:v>
                </c:pt>
                <c:pt idx="434">
                  <c:v>37949.625</c:v>
                </c:pt>
                <c:pt idx="435">
                  <c:v>37949.666666666664</c:v>
                </c:pt>
                <c:pt idx="436">
                  <c:v>37949.708333333336</c:v>
                </c:pt>
                <c:pt idx="437">
                  <c:v>37949.75</c:v>
                </c:pt>
                <c:pt idx="438">
                  <c:v>37949.791666666664</c:v>
                </c:pt>
                <c:pt idx="439">
                  <c:v>37949.833333333336</c:v>
                </c:pt>
                <c:pt idx="440">
                  <c:v>37949.875</c:v>
                </c:pt>
                <c:pt idx="441">
                  <c:v>37949.916666666664</c:v>
                </c:pt>
                <c:pt idx="442">
                  <c:v>37949.958333333336</c:v>
                </c:pt>
                <c:pt idx="443">
                  <c:v>37950</c:v>
                </c:pt>
                <c:pt idx="444">
                  <c:v>37950.041666666664</c:v>
                </c:pt>
                <c:pt idx="445">
                  <c:v>37950.083333333336</c:v>
                </c:pt>
                <c:pt idx="446">
                  <c:v>37950.125</c:v>
                </c:pt>
                <c:pt idx="447">
                  <c:v>37950.166666666664</c:v>
                </c:pt>
                <c:pt idx="448">
                  <c:v>37950.208333333336</c:v>
                </c:pt>
                <c:pt idx="449">
                  <c:v>37950.25</c:v>
                </c:pt>
                <c:pt idx="450">
                  <c:v>37950.291666666664</c:v>
                </c:pt>
                <c:pt idx="451">
                  <c:v>37950.333333333336</c:v>
                </c:pt>
                <c:pt idx="452">
                  <c:v>37950.375</c:v>
                </c:pt>
                <c:pt idx="453">
                  <c:v>37950.416666666664</c:v>
                </c:pt>
                <c:pt idx="454">
                  <c:v>37950.458333333336</c:v>
                </c:pt>
                <c:pt idx="455">
                  <c:v>37950.5</c:v>
                </c:pt>
                <c:pt idx="456">
                  <c:v>37950.541666666664</c:v>
                </c:pt>
                <c:pt idx="457">
                  <c:v>37950.583333333336</c:v>
                </c:pt>
                <c:pt idx="458">
                  <c:v>37950.625</c:v>
                </c:pt>
                <c:pt idx="459">
                  <c:v>37950.666666666664</c:v>
                </c:pt>
                <c:pt idx="460">
                  <c:v>37950.708333333336</c:v>
                </c:pt>
                <c:pt idx="461">
                  <c:v>37950.75</c:v>
                </c:pt>
                <c:pt idx="462">
                  <c:v>37950.791666666664</c:v>
                </c:pt>
                <c:pt idx="463">
                  <c:v>37950.833333333336</c:v>
                </c:pt>
                <c:pt idx="464">
                  <c:v>37950.875</c:v>
                </c:pt>
                <c:pt idx="465">
                  <c:v>37950.916666666664</c:v>
                </c:pt>
                <c:pt idx="466">
                  <c:v>37950.958333333336</c:v>
                </c:pt>
                <c:pt idx="467">
                  <c:v>37951</c:v>
                </c:pt>
                <c:pt idx="468">
                  <c:v>37951.041666666664</c:v>
                </c:pt>
                <c:pt idx="469">
                  <c:v>37951.083333333336</c:v>
                </c:pt>
                <c:pt idx="470">
                  <c:v>37951.125</c:v>
                </c:pt>
                <c:pt idx="471">
                  <c:v>37951.166666666664</c:v>
                </c:pt>
                <c:pt idx="472">
                  <c:v>37951.208333333336</c:v>
                </c:pt>
                <c:pt idx="473">
                  <c:v>37951.25</c:v>
                </c:pt>
                <c:pt idx="474">
                  <c:v>37951.291666666664</c:v>
                </c:pt>
                <c:pt idx="475">
                  <c:v>37951.333333333336</c:v>
                </c:pt>
                <c:pt idx="476">
                  <c:v>37951.375</c:v>
                </c:pt>
                <c:pt idx="477">
                  <c:v>37951.416666666664</c:v>
                </c:pt>
                <c:pt idx="478">
                  <c:v>37951.458333333336</c:v>
                </c:pt>
                <c:pt idx="479">
                  <c:v>37951.5</c:v>
                </c:pt>
                <c:pt idx="480">
                  <c:v>37951.541666666664</c:v>
                </c:pt>
                <c:pt idx="481">
                  <c:v>37951.583333333336</c:v>
                </c:pt>
                <c:pt idx="482">
                  <c:v>37951.625</c:v>
                </c:pt>
                <c:pt idx="483">
                  <c:v>37951.666666666664</c:v>
                </c:pt>
                <c:pt idx="484">
                  <c:v>37951.708333333336</c:v>
                </c:pt>
                <c:pt idx="485">
                  <c:v>37951.75</c:v>
                </c:pt>
                <c:pt idx="486">
                  <c:v>37951.791666666664</c:v>
                </c:pt>
                <c:pt idx="487">
                  <c:v>37951.833333333336</c:v>
                </c:pt>
                <c:pt idx="488">
                  <c:v>37951.875</c:v>
                </c:pt>
                <c:pt idx="489">
                  <c:v>37951.916666666664</c:v>
                </c:pt>
                <c:pt idx="490">
                  <c:v>37951.958333333336</c:v>
                </c:pt>
                <c:pt idx="491">
                  <c:v>37952</c:v>
                </c:pt>
                <c:pt idx="492">
                  <c:v>37952.041666666664</c:v>
                </c:pt>
                <c:pt idx="493">
                  <c:v>37952.083333333336</c:v>
                </c:pt>
                <c:pt idx="494">
                  <c:v>37952.125</c:v>
                </c:pt>
                <c:pt idx="495">
                  <c:v>37952.166666666664</c:v>
                </c:pt>
                <c:pt idx="496">
                  <c:v>37952.208333333336</c:v>
                </c:pt>
                <c:pt idx="497">
                  <c:v>37952.25</c:v>
                </c:pt>
                <c:pt idx="498">
                  <c:v>37952.291666666664</c:v>
                </c:pt>
                <c:pt idx="499">
                  <c:v>37952.333333333336</c:v>
                </c:pt>
                <c:pt idx="500">
                  <c:v>37952.375</c:v>
                </c:pt>
                <c:pt idx="501">
                  <c:v>37952.416666666664</c:v>
                </c:pt>
                <c:pt idx="502">
                  <c:v>37952.458333333336</c:v>
                </c:pt>
                <c:pt idx="503">
                  <c:v>37952.5</c:v>
                </c:pt>
                <c:pt idx="504">
                  <c:v>37952.541666666664</c:v>
                </c:pt>
                <c:pt idx="505">
                  <c:v>37952.583333333336</c:v>
                </c:pt>
                <c:pt idx="506">
                  <c:v>37952.625</c:v>
                </c:pt>
                <c:pt idx="507">
                  <c:v>37952.666666666664</c:v>
                </c:pt>
                <c:pt idx="508">
                  <c:v>37952.708333333336</c:v>
                </c:pt>
                <c:pt idx="509">
                  <c:v>37952.75</c:v>
                </c:pt>
                <c:pt idx="510">
                  <c:v>37952.791666666664</c:v>
                </c:pt>
                <c:pt idx="511">
                  <c:v>37952.833333333336</c:v>
                </c:pt>
                <c:pt idx="512">
                  <c:v>37952.875</c:v>
                </c:pt>
                <c:pt idx="513">
                  <c:v>37952.916666666664</c:v>
                </c:pt>
                <c:pt idx="514">
                  <c:v>37952.958333333336</c:v>
                </c:pt>
                <c:pt idx="515">
                  <c:v>37953</c:v>
                </c:pt>
                <c:pt idx="516">
                  <c:v>37953.041666666664</c:v>
                </c:pt>
                <c:pt idx="517">
                  <c:v>37953.083333333336</c:v>
                </c:pt>
                <c:pt idx="518">
                  <c:v>37953.125</c:v>
                </c:pt>
                <c:pt idx="519">
                  <c:v>37953.166666666664</c:v>
                </c:pt>
                <c:pt idx="520">
                  <c:v>37953.208333333336</c:v>
                </c:pt>
                <c:pt idx="521">
                  <c:v>37953.25</c:v>
                </c:pt>
                <c:pt idx="522">
                  <c:v>37953.291666666664</c:v>
                </c:pt>
                <c:pt idx="523">
                  <c:v>37953.333333333336</c:v>
                </c:pt>
                <c:pt idx="524">
                  <c:v>37953.375</c:v>
                </c:pt>
                <c:pt idx="525">
                  <c:v>37953.416666666664</c:v>
                </c:pt>
                <c:pt idx="526">
                  <c:v>37953.458333333336</c:v>
                </c:pt>
                <c:pt idx="527">
                  <c:v>37953.5</c:v>
                </c:pt>
              </c:numCache>
            </c:numRef>
          </c:xVal>
          <c:yVal>
            <c:numRef>
              <c:f>Gage_and_Event!$AQ$5:$AQ$2000</c:f>
              <c:numCache>
                <c:formatCode>General</c:formatCode>
                <c:ptCount val="1996"/>
                <c:pt idx="0">
                  <c:v>1531.34</c:v>
                </c:pt>
                <c:pt idx="1">
                  <c:v>1531.33</c:v>
                </c:pt>
                <c:pt idx="2">
                  <c:v>1531.34</c:v>
                </c:pt>
                <c:pt idx="3">
                  <c:v>1531.4</c:v>
                </c:pt>
                <c:pt idx="4">
                  <c:v>1531.49</c:v>
                </c:pt>
                <c:pt idx="5">
                  <c:v>1531.58</c:v>
                </c:pt>
                <c:pt idx="6">
                  <c:v>1531.64</c:v>
                </c:pt>
                <c:pt idx="7">
                  <c:v>1531.67</c:v>
                </c:pt>
                <c:pt idx="8">
                  <c:v>1531.69</c:v>
                </c:pt>
                <c:pt idx="9">
                  <c:v>1531.71</c:v>
                </c:pt>
                <c:pt idx="10">
                  <c:v>1531.74</c:v>
                </c:pt>
                <c:pt idx="11">
                  <c:v>1531.76</c:v>
                </c:pt>
                <c:pt idx="12">
                  <c:v>1531.81</c:v>
                </c:pt>
                <c:pt idx="13">
                  <c:v>1531.89</c:v>
                </c:pt>
                <c:pt idx="14">
                  <c:v>1531.93</c:v>
                </c:pt>
                <c:pt idx="15">
                  <c:v>1531.99</c:v>
                </c:pt>
                <c:pt idx="16">
                  <c:v>1532.04</c:v>
                </c:pt>
                <c:pt idx="17">
                  <c:v>1532.06</c:v>
                </c:pt>
                <c:pt idx="18">
                  <c:v>1532.08</c:v>
                </c:pt>
                <c:pt idx="19">
                  <c:v>1532.1</c:v>
                </c:pt>
                <c:pt idx="20">
                  <c:v>1532.11</c:v>
                </c:pt>
                <c:pt idx="21">
                  <c:v>1532.12</c:v>
                </c:pt>
                <c:pt idx="22">
                  <c:v>1532.13</c:v>
                </c:pt>
                <c:pt idx="23">
                  <c:v>1532.13</c:v>
                </c:pt>
                <c:pt idx="24">
                  <c:v>1532.13</c:v>
                </c:pt>
                <c:pt idx="25">
                  <c:v>1532.13</c:v>
                </c:pt>
                <c:pt idx="26">
                  <c:v>1532.13</c:v>
                </c:pt>
                <c:pt idx="27">
                  <c:v>1532.12</c:v>
                </c:pt>
                <c:pt idx="28">
                  <c:v>1532.12</c:v>
                </c:pt>
                <c:pt idx="29">
                  <c:v>1532.12</c:v>
                </c:pt>
                <c:pt idx="30">
                  <c:v>1532.13</c:v>
                </c:pt>
                <c:pt idx="31">
                  <c:v>1532.11</c:v>
                </c:pt>
                <c:pt idx="32">
                  <c:v>1532.11</c:v>
                </c:pt>
                <c:pt idx="33">
                  <c:v>1532.1</c:v>
                </c:pt>
                <c:pt idx="34">
                  <c:v>1532.09</c:v>
                </c:pt>
                <c:pt idx="35">
                  <c:v>1532.08</c:v>
                </c:pt>
                <c:pt idx="36">
                  <c:v>1532.08</c:v>
                </c:pt>
                <c:pt idx="37">
                  <c:v>1532.07</c:v>
                </c:pt>
                <c:pt idx="38">
                  <c:v>1532.06</c:v>
                </c:pt>
                <c:pt idx="39">
                  <c:v>1532.04</c:v>
                </c:pt>
                <c:pt idx="40">
                  <c:v>1532.03</c:v>
                </c:pt>
                <c:pt idx="41">
                  <c:v>1532.02</c:v>
                </c:pt>
                <c:pt idx="42">
                  <c:v>1532.01</c:v>
                </c:pt>
                <c:pt idx="43">
                  <c:v>1531.99</c:v>
                </c:pt>
                <c:pt idx="44">
                  <c:v>1531.98</c:v>
                </c:pt>
                <c:pt idx="45">
                  <c:v>1531.97</c:v>
                </c:pt>
                <c:pt idx="46">
                  <c:v>1531.96</c:v>
                </c:pt>
                <c:pt idx="47">
                  <c:v>1531.95</c:v>
                </c:pt>
                <c:pt idx="48">
                  <c:v>1531.95</c:v>
                </c:pt>
                <c:pt idx="49">
                  <c:v>1531.94</c:v>
                </c:pt>
                <c:pt idx="50">
                  <c:v>1531.93</c:v>
                </c:pt>
                <c:pt idx="51">
                  <c:v>1531.92</c:v>
                </c:pt>
                <c:pt idx="52">
                  <c:v>1531.92</c:v>
                </c:pt>
                <c:pt idx="53">
                  <c:v>1531.91</c:v>
                </c:pt>
                <c:pt idx="54">
                  <c:v>1531.91</c:v>
                </c:pt>
                <c:pt idx="55">
                  <c:v>1531.91</c:v>
                </c:pt>
                <c:pt idx="56">
                  <c:v>1531.9</c:v>
                </c:pt>
                <c:pt idx="57">
                  <c:v>1531.9</c:v>
                </c:pt>
                <c:pt idx="58">
                  <c:v>1531.89</c:v>
                </c:pt>
                <c:pt idx="59">
                  <c:v>1531.88</c:v>
                </c:pt>
                <c:pt idx="60">
                  <c:v>1531.87</c:v>
                </c:pt>
                <c:pt idx="61">
                  <c:v>1531.85</c:v>
                </c:pt>
                <c:pt idx="62">
                  <c:v>1531.84</c:v>
                </c:pt>
                <c:pt idx="63">
                  <c:v>1531.83</c:v>
                </c:pt>
                <c:pt idx="64">
                  <c:v>1531.82</c:v>
                </c:pt>
                <c:pt idx="65">
                  <c:v>1531.81</c:v>
                </c:pt>
                <c:pt idx="66">
                  <c:v>1531.8</c:v>
                </c:pt>
                <c:pt idx="67">
                  <c:v>1531.78</c:v>
                </c:pt>
                <c:pt idx="68">
                  <c:v>1531.77</c:v>
                </c:pt>
                <c:pt idx="69">
                  <c:v>1531.76</c:v>
                </c:pt>
                <c:pt idx="70">
                  <c:v>1531.74</c:v>
                </c:pt>
                <c:pt idx="71">
                  <c:v>1531.73</c:v>
                </c:pt>
                <c:pt idx="72">
                  <c:v>1531.71</c:v>
                </c:pt>
                <c:pt idx="73">
                  <c:v>1531.7</c:v>
                </c:pt>
                <c:pt idx="74">
                  <c:v>1531.68</c:v>
                </c:pt>
                <c:pt idx="75">
                  <c:v>1531.67</c:v>
                </c:pt>
                <c:pt idx="76">
                  <c:v>1531.65</c:v>
                </c:pt>
                <c:pt idx="77">
                  <c:v>1531.64</c:v>
                </c:pt>
                <c:pt idx="78">
                  <c:v>1531.63</c:v>
                </c:pt>
                <c:pt idx="79">
                  <c:v>1531.61</c:v>
                </c:pt>
                <c:pt idx="80">
                  <c:v>1531.6</c:v>
                </c:pt>
                <c:pt idx="81">
                  <c:v>1531.59</c:v>
                </c:pt>
                <c:pt idx="82">
                  <c:v>1531.57</c:v>
                </c:pt>
                <c:pt idx="83">
                  <c:v>1531.56</c:v>
                </c:pt>
                <c:pt idx="84">
                  <c:v>1531.54</c:v>
                </c:pt>
                <c:pt idx="85">
                  <c:v>1531.53</c:v>
                </c:pt>
                <c:pt idx="86">
                  <c:v>1531.52</c:v>
                </c:pt>
                <c:pt idx="87">
                  <c:v>1531.5</c:v>
                </c:pt>
                <c:pt idx="88">
                  <c:v>1531.49</c:v>
                </c:pt>
                <c:pt idx="89">
                  <c:v>1531.48</c:v>
                </c:pt>
                <c:pt idx="90">
                  <c:v>1531.47</c:v>
                </c:pt>
                <c:pt idx="91">
                  <c:v>1531.45</c:v>
                </c:pt>
                <c:pt idx="92">
                  <c:v>1531.44</c:v>
                </c:pt>
                <c:pt idx="93">
                  <c:v>1531.43</c:v>
                </c:pt>
                <c:pt idx="94">
                  <c:v>1531.42</c:v>
                </c:pt>
                <c:pt idx="95">
                  <c:v>1531.41</c:v>
                </c:pt>
                <c:pt idx="96">
                  <c:v>1531.39</c:v>
                </c:pt>
                <c:pt idx="97">
                  <c:v>1531.38</c:v>
                </c:pt>
                <c:pt idx="98">
                  <c:v>1531.37</c:v>
                </c:pt>
                <c:pt idx="99">
                  <c:v>1531.36</c:v>
                </c:pt>
                <c:pt idx="100">
                  <c:v>1531.35</c:v>
                </c:pt>
                <c:pt idx="101">
                  <c:v>1531.34</c:v>
                </c:pt>
                <c:pt idx="102">
                  <c:v>1531.33</c:v>
                </c:pt>
                <c:pt idx="103">
                  <c:v>1531.32</c:v>
                </c:pt>
                <c:pt idx="104">
                  <c:v>1531.3</c:v>
                </c:pt>
                <c:pt idx="105">
                  <c:v>1531.29</c:v>
                </c:pt>
                <c:pt idx="106">
                  <c:v>1531.29</c:v>
                </c:pt>
                <c:pt idx="107">
                  <c:v>1531.27</c:v>
                </c:pt>
                <c:pt idx="108">
                  <c:v>1531.26</c:v>
                </c:pt>
                <c:pt idx="109">
                  <c:v>1531.24</c:v>
                </c:pt>
                <c:pt idx="110">
                  <c:v>1531.24</c:v>
                </c:pt>
                <c:pt idx="111">
                  <c:v>1531.23</c:v>
                </c:pt>
                <c:pt idx="112">
                  <c:v>1531.22</c:v>
                </c:pt>
                <c:pt idx="113">
                  <c:v>1531.21</c:v>
                </c:pt>
                <c:pt idx="114">
                  <c:v>1531.2</c:v>
                </c:pt>
                <c:pt idx="115">
                  <c:v>1531.19</c:v>
                </c:pt>
                <c:pt idx="116">
                  <c:v>1531.17</c:v>
                </c:pt>
                <c:pt idx="117">
                  <c:v>1531.17</c:v>
                </c:pt>
                <c:pt idx="118">
                  <c:v>1531.16</c:v>
                </c:pt>
                <c:pt idx="119">
                  <c:v>1531.15</c:v>
                </c:pt>
                <c:pt idx="120">
                  <c:v>1531.14</c:v>
                </c:pt>
                <c:pt idx="121">
                  <c:v>1531.13</c:v>
                </c:pt>
                <c:pt idx="122">
                  <c:v>1531.12</c:v>
                </c:pt>
                <c:pt idx="123">
                  <c:v>1531.11</c:v>
                </c:pt>
                <c:pt idx="124">
                  <c:v>1531.1</c:v>
                </c:pt>
                <c:pt idx="125">
                  <c:v>1531.09</c:v>
                </c:pt>
                <c:pt idx="126">
                  <c:v>1531.08</c:v>
                </c:pt>
                <c:pt idx="127">
                  <c:v>1531.07</c:v>
                </c:pt>
                <c:pt idx="128">
                  <c:v>1531.06</c:v>
                </c:pt>
                <c:pt idx="129">
                  <c:v>1531.06</c:v>
                </c:pt>
                <c:pt idx="130">
                  <c:v>1531.04</c:v>
                </c:pt>
                <c:pt idx="131">
                  <c:v>1531.04</c:v>
                </c:pt>
                <c:pt idx="132">
                  <c:v>1531.03</c:v>
                </c:pt>
                <c:pt idx="133">
                  <c:v>1531.02</c:v>
                </c:pt>
                <c:pt idx="134">
                  <c:v>1531.01</c:v>
                </c:pt>
                <c:pt idx="135">
                  <c:v>1531</c:v>
                </c:pt>
                <c:pt idx="136">
                  <c:v>1530.99</c:v>
                </c:pt>
                <c:pt idx="137">
                  <c:v>1530.98</c:v>
                </c:pt>
                <c:pt idx="138">
                  <c:v>1530.98</c:v>
                </c:pt>
                <c:pt idx="139">
                  <c:v>1530.97</c:v>
                </c:pt>
                <c:pt idx="140">
                  <c:v>1530.96</c:v>
                </c:pt>
                <c:pt idx="141">
                  <c:v>1530.95</c:v>
                </c:pt>
                <c:pt idx="142">
                  <c:v>1530.94</c:v>
                </c:pt>
                <c:pt idx="143">
                  <c:v>1530.94</c:v>
                </c:pt>
                <c:pt idx="144">
                  <c:v>1530.93</c:v>
                </c:pt>
                <c:pt idx="145">
                  <c:v>1530.92</c:v>
                </c:pt>
                <c:pt idx="146">
                  <c:v>1530.91</c:v>
                </c:pt>
                <c:pt idx="147">
                  <c:v>1530.9</c:v>
                </c:pt>
                <c:pt idx="148">
                  <c:v>1530.89</c:v>
                </c:pt>
                <c:pt idx="149">
                  <c:v>1530.89</c:v>
                </c:pt>
                <c:pt idx="150">
                  <c:v>1530.88</c:v>
                </c:pt>
                <c:pt idx="151">
                  <c:v>1530.87</c:v>
                </c:pt>
                <c:pt idx="152">
                  <c:v>1530.87</c:v>
                </c:pt>
                <c:pt idx="153">
                  <c:v>1530.86</c:v>
                </c:pt>
                <c:pt idx="154">
                  <c:v>1530.85</c:v>
                </c:pt>
                <c:pt idx="155">
                  <c:v>1530.85</c:v>
                </c:pt>
                <c:pt idx="156">
                  <c:v>1531</c:v>
                </c:pt>
                <c:pt idx="157">
                  <c:v>1531.13</c:v>
                </c:pt>
                <c:pt idx="158">
                  <c:v>1531.43</c:v>
                </c:pt>
                <c:pt idx="159">
                  <c:v>1531.64</c:v>
                </c:pt>
                <c:pt idx="160">
                  <c:v>1531.51</c:v>
                </c:pt>
                <c:pt idx="161">
                  <c:v>1531.4</c:v>
                </c:pt>
                <c:pt idx="162">
                  <c:v>1531.47</c:v>
                </c:pt>
                <c:pt idx="163">
                  <c:v>1531.68</c:v>
                </c:pt>
                <c:pt idx="164">
                  <c:v>1531.86</c:v>
                </c:pt>
                <c:pt idx="165">
                  <c:v>1531.95</c:v>
                </c:pt>
                <c:pt idx="166">
                  <c:v>1531.84</c:v>
                </c:pt>
                <c:pt idx="167">
                  <c:v>1531.74</c:v>
                </c:pt>
                <c:pt idx="168">
                  <c:v>1531.7</c:v>
                </c:pt>
                <c:pt idx="169">
                  <c:v>1531.61</c:v>
                </c:pt>
                <c:pt idx="170">
                  <c:v>1531.59</c:v>
                </c:pt>
                <c:pt idx="171">
                  <c:v>1531.56</c:v>
                </c:pt>
                <c:pt idx="172">
                  <c:v>1531.54</c:v>
                </c:pt>
                <c:pt idx="173">
                  <c:v>1531.71</c:v>
                </c:pt>
                <c:pt idx="174">
                  <c:v>1531.5</c:v>
                </c:pt>
                <c:pt idx="175">
                  <c:v>1531.48</c:v>
                </c:pt>
                <c:pt idx="176">
                  <c:v>1531.47</c:v>
                </c:pt>
                <c:pt idx="177">
                  <c:v>1531.44</c:v>
                </c:pt>
                <c:pt idx="178">
                  <c:v>1531.41</c:v>
                </c:pt>
                <c:pt idx="179">
                  <c:v>1531.38</c:v>
                </c:pt>
                <c:pt idx="180">
                  <c:v>1531.38</c:v>
                </c:pt>
                <c:pt idx="181">
                  <c:v>1531.34</c:v>
                </c:pt>
                <c:pt idx="182">
                  <c:v>1531.32</c:v>
                </c:pt>
                <c:pt idx="183">
                  <c:v>1531.31</c:v>
                </c:pt>
                <c:pt idx="184">
                  <c:v>1531.29</c:v>
                </c:pt>
                <c:pt idx="185">
                  <c:v>1531.27</c:v>
                </c:pt>
                <c:pt idx="186">
                  <c:v>1531.26</c:v>
                </c:pt>
                <c:pt idx="187">
                  <c:v>1531.24</c:v>
                </c:pt>
                <c:pt idx="188">
                  <c:v>1531.22</c:v>
                </c:pt>
                <c:pt idx="189">
                  <c:v>1531.2</c:v>
                </c:pt>
                <c:pt idx="190">
                  <c:v>1531.19</c:v>
                </c:pt>
                <c:pt idx="191">
                  <c:v>1531.17</c:v>
                </c:pt>
                <c:pt idx="192">
                  <c:v>1531.14</c:v>
                </c:pt>
                <c:pt idx="193">
                  <c:v>1531.14</c:v>
                </c:pt>
                <c:pt idx="194">
                  <c:v>1531.13</c:v>
                </c:pt>
                <c:pt idx="195">
                  <c:v>1531.13</c:v>
                </c:pt>
                <c:pt idx="196">
                  <c:v>1531.13</c:v>
                </c:pt>
                <c:pt idx="197">
                  <c:v>1531.11</c:v>
                </c:pt>
                <c:pt idx="198">
                  <c:v>1531.1</c:v>
                </c:pt>
                <c:pt idx="199">
                  <c:v>1531.09</c:v>
                </c:pt>
                <c:pt idx="200">
                  <c:v>1531.08</c:v>
                </c:pt>
                <c:pt idx="201">
                  <c:v>1531.07</c:v>
                </c:pt>
                <c:pt idx="202">
                  <c:v>1531.06</c:v>
                </c:pt>
                <c:pt idx="203">
                  <c:v>1531.05</c:v>
                </c:pt>
                <c:pt idx="204">
                  <c:v>1531.04</c:v>
                </c:pt>
                <c:pt idx="205">
                  <c:v>1531.03</c:v>
                </c:pt>
                <c:pt idx="206">
                  <c:v>1531.02</c:v>
                </c:pt>
                <c:pt idx="207">
                  <c:v>1531.01</c:v>
                </c:pt>
                <c:pt idx="208">
                  <c:v>1531</c:v>
                </c:pt>
                <c:pt idx="209">
                  <c:v>1530.99</c:v>
                </c:pt>
                <c:pt idx="210">
                  <c:v>1530.98</c:v>
                </c:pt>
                <c:pt idx="211">
                  <c:v>1530.96</c:v>
                </c:pt>
                <c:pt idx="212">
                  <c:v>1530.95</c:v>
                </c:pt>
                <c:pt idx="213">
                  <c:v>1530.94</c:v>
                </c:pt>
                <c:pt idx="214">
                  <c:v>1530.93</c:v>
                </c:pt>
                <c:pt idx="215">
                  <c:v>1530.92</c:v>
                </c:pt>
                <c:pt idx="216">
                  <c:v>1530.9</c:v>
                </c:pt>
                <c:pt idx="217">
                  <c:v>1530.89</c:v>
                </c:pt>
                <c:pt idx="218">
                  <c:v>1530.91</c:v>
                </c:pt>
                <c:pt idx="219">
                  <c:v>1530.94</c:v>
                </c:pt>
                <c:pt idx="220">
                  <c:v>1530.96</c:v>
                </c:pt>
                <c:pt idx="221">
                  <c:v>1530.98</c:v>
                </c:pt>
                <c:pt idx="222">
                  <c:v>1530.97</c:v>
                </c:pt>
                <c:pt idx="223">
                  <c:v>1530.97</c:v>
                </c:pt>
                <c:pt idx="224">
                  <c:v>1530.97</c:v>
                </c:pt>
                <c:pt idx="225">
                  <c:v>1530.97</c:v>
                </c:pt>
                <c:pt idx="226">
                  <c:v>1530.95</c:v>
                </c:pt>
                <c:pt idx="227">
                  <c:v>1530.95</c:v>
                </c:pt>
                <c:pt idx="228">
                  <c:v>1530.96</c:v>
                </c:pt>
                <c:pt idx="229">
                  <c:v>1530.95</c:v>
                </c:pt>
                <c:pt idx="230">
                  <c:v>1530.94</c:v>
                </c:pt>
                <c:pt idx="231">
                  <c:v>1530.94</c:v>
                </c:pt>
                <c:pt idx="232">
                  <c:v>1530.94</c:v>
                </c:pt>
                <c:pt idx="233">
                  <c:v>1530.94</c:v>
                </c:pt>
                <c:pt idx="234">
                  <c:v>1530.95</c:v>
                </c:pt>
                <c:pt idx="235">
                  <c:v>1530.95</c:v>
                </c:pt>
                <c:pt idx="236">
                  <c:v>1530.94</c:v>
                </c:pt>
                <c:pt idx="237">
                  <c:v>1530.94</c:v>
                </c:pt>
                <c:pt idx="238">
                  <c:v>1530.93</c:v>
                </c:pt>
                <c:pt idx="239">
                  <c:v>1530.92</c:v>
                </c:pt>
                <c:pt idx="240">
                  <c:v>1530.92</c:v>
                </c:pt>
                <c:pt idx="241">
                  <c:v>1530.91</c:v>
                </c:pt>
                <c:pt idx="242">
                  <c:v>1530.91</c:v>
                </c:pt>
                <c:pt idx="243">
                  <c:v>1530.91</c:v>
                </c:pt>
                <c:pt idx="244">
                  <c:v>1530.9</c:v>
                </c:pt>
                <c:pt idx="245">
                  <c:v>1530.9</c:v>
                </c:pt>
                <c:pt idx="246">
                  <c:v>1530.89</c:v>
                </c:pt>
                <c:pt idx="247">
                  <c:v>1530.88</c:v>
                </c:pt>
                <c:pt idx="248">
                  <c:v>1530.88</c:v>
                </c:pt>
                <c:pt idx="249">
                  <c:v>1530.87</c:v>
                </c:pt>
                <c:pt idx="250">
                  <c:v>1530.87</c:v>
                </c:pt>
                <c:pt idx="251">
                  <c:v>1530.86</c:v>
                </c:pt>
                <c:pt idx="252">
                  <c:v>1530.85</c:v>
                </c:pt>
                <c:pt idx="253">
                  <c:v>1530.84</c:v>
                </c:pt>
                <c:pt idx="254">
                  <c:v>1530.84</c:v>
                </c:pt>
                <c:pt idx="255">
                  <c:v>1530.83</c:v>
                </c:pt>
                <c:pt idx="256">
                  <c:v>1530.82</c:v>
                </c:pt>
                <c:pt idx="257">
                  <c:v>1530.81</c:v>
                </c:pt>
                <c:pt idx="258">
                  <c:v>1530.81</c:v>
                </c:pt>
                <c:pt idx="259">
                  <c:v>1530.8</c:v>
                </c:pt>
                <c:pt idx="260">
                  <c:v>1530.79</c:v>
                </c:pt>
                <c:pt idx="261">
                  <c:v>1530.79</c:v>
                </c:pt>
                <c:pt idx="262">
                  <c:v>1530.78</c:v>
                </c:pt>
                <c:pt idx="263">
                  <c:v>1530.77</c:v>
                </c:pt>
                <c:pt idx="264">
                  <c:v>1530.76</c:v>
                </c:pt>
                <c:pt idx="265">
                  <c:v>1530.75</c:v>
                </c:pt>
                <c:pt idx="266">
                  <c:v>1530.75</c:v>
                </c:pt>
                <c:pt idx="267">
                  <c:v>1530.74</c:v>
                </c:pt>
                <c:pt idx="268">
                  <c:v>1530.73</c:v>
                </c:pt>
                <c:pt idx="269">
                  <c:v>1530.73</c:v>
                </c:pt>
                <c:pt idx="270">
                  <c:v>1530.72</c:v>
                </c:pt>
                <c:pt idx="271">
                  <c:v>1530.71</c:v>
                </c:pt>
                <c:pt idx="272">
                  <c:v>1530.7</c:v>
                </c:pt>
                <c:pt idx="273">
                  <c:v>1530.7</c:v>
                </c:pt>
                <c:pt idx="274">
                  <c:v>1530.69</c:v>
                </c:pt>
                <c:pt idx="275">
                  <c:v>1530.68</c:v>
                </c:pt>
                <c:pt idx="276">
                  <c:v>1530.68</c:v>
                </c:pt>
                <c:pt idx="277">
                  <c:v>1530.67</c:v>
                </c:pt>
                <c:pt idx="278">
                  <c:v>1530.66</c:v>
                </c:pt>
                <c:pt idx="279">
                  <c:v>1530.66</c:v>
                </c:pt>
                <c:pt idx="280">
                  <c:v>1530.65</c:v>
                </c:pt>
                <c:pt idx="281">
                  <c:v>1530.65</c:v>
                </c:pt>
                <c:pt idx="282">
                  <c:v>1530.64</c:v>
                </c:pt>
                <c:pt idx="283">
                  <c:v>1530.63</c:v>
                </c:pt>
                <c:pt idx="284">
                  <c:v>1530.63</c:v>
                </c:pt>
                <c:pt idx="285">
                  <c:v>1530.62</c:v>
                </c:pt>
                <c:pt idx="286">
                  <c:v>1530.61</c:v>
                </c:pt>
                <c:pt idx="287">
                  <c:v>1530.61</c:v>
                </c:pt>
                <c:pt idx="288">
                  <c:v>1530.6</c:v>
                </c:pt>
                <c:pt idx="289">
                  <c:v>1530.6</c:v>
                </c:pt>
                <c:pt idx="290">
                  <c:v>1530.59</c:v>
                </c:pt>
                <c:pt idx="291">
                  <c:v>1530.59</c:v>
                </c:pt>
                <c:pt idx="292">
                  <c:v>1530.58</c:v>
                </c:pt>
                <c:pt idx="293">
                  <c:v>1530.58</c:v>
                </c:pt>
                <c:pt idx="294">
                  <c:v>1530.57</c:v>
                </c:pt>
                <c:pt idx="295">
                  <c:v>1530.57</c:v>
                </c:pt>
                <c:pt idx="296">
                  <c:v>1530.56</c:v>
                </c:pt>
                <c:pt idx="297">
                  <c:v>1530.56</c:v>
                </c:pt>
                <c:pt idx="298">
                  <c:v>1530.55</c:v>
                </c:pt>
                <c:pt idx="299">
                  <c:v>1530.56</c:v>
                </c:pt>
                <c:pt idx="300">
                  <c:v>1530.54</c:v>
                </c:pt>
                <c:pt idx="301">
                  <c:v>1530.54</c:v>
                </c:pt>
                <c:pt idx="302">
                  <c:v>1530.53</c:v>
                </c:pt>
                <c:pt idx="303">
                  <c:v>1530.53</c:v>
                </c:pt>
                <c:pt idx="304">
                  <c:v>1530.55</c:v>
                </c:pt>
                <c:pt idx="305">
                  <c:v>1530.66</c:v>
                </c:pt>
                <c:pt idx="306">
                  <c:v>1530.81</c:v>
                </c:pt>
                <c:pt idx="307">
                  <c:v>1531.14</c:v>
                </c:pt>
                <c:pt idx="308">
                  <c:v>1531.64</c:v>
                </c:pt>
                <c:pt idx="309">
                  <c:v>1532.18</c:v>
                </c:pt>
                <c:pt idx="310">
                  <c:v>1533.47</c:v>
                </c:pt>
                <c:pt idx="311">
                  <c:v>1534.58</c:v>
                </c:pt>
                <c:pt idx="312">
                  <c:v>1536.72</c:v>
                </c:pt>
                <c:pt idx="313">
                  <c:v>1540.06</c:v>
                </c:pt>
                <c:pt idx="314">
                  <c:v>1541.61</c:v>
                </c:pt>
                <c:pt idx="315">
                  <c:v>1543.27</c:v>
                </c:pt>
                <c:pt idx="316">
                  <c:v>1543.45</c:v>
                </c:pt>
                <c:pt idx="317">
                  <c:v>1542.66</c:v>
                </c:pt>
                <c:pt idx="318">
                  <c:v>1541.9</c:v>
                </c:pt>
                <c:pt idx="319">
                  <c:v>1540.92</c:v>
                </c:pt>
                <c:pt idx="320">
                  <c:v>1540.19</c:v>
                </c:pt>
                <c:pt idx="321">
                  <c:v>1539.55</c:v>
                </c:pt>
                <c:pt idx="322">
                  <c:v>1539.68</c:v>
                </c:pt>
                <c:pt idx="323">
                  <c:v>1538.96</c:v>
                </c:pt>
                <c:pt idx="324">
                  <c:v>1538.84</c:v>
                </c:pt>
                <c:pt idx="325">
                  <c:v>1538.96</c:v>
                </c:pt>
                <c:pt idx="326">
                  <c:v>1538.77</c:v>
                </c:pt>
                <c:pt idx="327">
                  <c:v>1538.88</c:v>
                </c:pt>
                <c:pt idx="328">
                  <c:v>1538.75</c:v>
                </c:pt>
                <c:pt idx="329">
                  <c:v>1538.93</c:v>
                </c:pt>
                <c:pt idx="330">
                  <c:v>1538.95</c:v>
                </c:pt>
                <c:pt idx="331">
                  <c:v>1539.2</c:v>
                </c:pt>
                <c:pt idx="332">
                  <c:v>1539.28</c:v>
                </c:pt>
                <c:pt idx="333">
                  <c:v>1539.27</c:v>
                </c:pt>
                <c:pt idx="334">
                  <c:v>1539.29</c:v>
                </c:pt>
                <c:pt idx="335">
                  <c:v>1539</c:v>
                </c:pt>
                <c:pt idx="336">
                  <c:v>1538.93</c:v>
                </c:pt>
                <c:pt idx="337">
                  <c:v>1538.69</c:v>
                </c:pt>
                <c:pt idx="338">
                  <c:v>1538.48</c:v>
                </c:pt>
                <c:pt idx="339">
                  <c:v>1538.27</c:v>
                </c:pt>
                <c:pt idx="340">
                  <c:v>1538.05</c:v>
                </c:pt>
                <c:pt idx="341">
                  <c:v>1537.87</c:v>
                </c:pt>
                <c:pt idx="342">
                  <c:v>1537.65</c:v>
                </c:pt>
                <c:pt idx="343">
                  <c:v>1537.41</c:v>
                </c:pt>
                <c:pt idx="344">
                  <c:v>1537.14</c:v>
                </c:pt>
                <c:pt idx="345">
                  <c:v>1536.96</c:v>
                </c:pt>
                <c:pt idx="346">
                  <c:v>1536.78</c:v>
                </c:pt>
                <c:pt idx="347">
                  <c:v>1536.58</c:v>
                </c:pt>
                <c:pt idx="348">
                  <c:v>1536.36</c:v>
                </c:pt>
                <c:pt idx="349">
                  <c:v>1536.19</c:v>
                </c:pt>
                <c:pt idx="350">
                  <c:v>1536</c:v>
                </c:pt>
                <c:pt idx="351">
                  <c:v>1535.83</c:v>
                </c:pt>
                <c:pt idx="352">
                  <c:v>1535.66</c:v>
                </c:pt>
                <c:pt idx="353">
                  <c:v>1535.47</c:v>
                </c:pt>
                <c:pt idx="354">
                  <c:v>1535.31</c:v>
                </c:pt>
                <c:pt idx="355">
                  <c:v>1535.18</c:v>
                </c:pt>
                <c:pt idx="356">
                  <c:v>1535.05</c:v>
                </c:pt>
                <c:pt idx="357">
                  <c:v>1534.96</c:v>
                </c:pt>
                <c:pt idx="358">
                  <c:v>1534.83</c:v>
                </c:pt>
                <c:pt idx="359">
                  <c:v>1534.76</c:v>
                </c:pt>
                <c:pt idx="360">
                  <c:v>1534.64</c:v>
                </c:pt>
                <c:pt idx="361">
                  <c:v>1534.56</c:v>
                </c:pt>
                <c:pt idx="362">
                  <c:v>1534.47</c:v>
                </c:pt>
                <c:pt idx="363">
                  <c:v>1534.41</c:v>
                </c:pt>
                <c:pt idx="364">
                  <c:v>1534.33</c:v>
                </c:pt>
                <c:pt idx="365">
                  <c:v>1534.27</c:v>
                </c:pt>
                <c:pt idx="366">
                  <c:v>1534.2</c:v>
                </c:pt>
                <c:pt idx="367">
                  <c:v>1534.14</c:v>
                </c:pt>
                <c:pt idx="368">
                  <c:v>1534.08</c:v>
                </c:pt>
                <c:pt idx="369">
                  <c:v>1534.03</c:v>
                </c:pt>
                <c:pt idx="370">
                  <c:v>1533.98</c:v>
                </c:pt>
                <c:pt idx="371">
                  <c:v>1533.94</c:v>
                </c:pt>
                <c:pt idx="372">
                  <c:v>1533.89</c:v>
                </c:pt>
                <c:pt idx="373">
                  <c:v>1533.82</c:v>
                </c:pt>
                <c:pt idx="374">
                  <c:v>1533.78</c:v>
                </c:pt>
                <c:pt idx="375">
                  <c:v>1533.73</c:v>
                </c:pt>
                <c:pt idx="376">
                  <c:v>1533.7</c:v>
                </c:pt>
                <c:pt idx="377">
                  <c:v>1533.65</c:v>
                </c:pt>
                <c:pt idx="378">
                  <c:v>1533.59</c:v>
                </c:pt>
                <c:pt idx="379">
                  <c:v>1533.55</c:v>
                </c:pt>
                <c:pt idx="380">
                  <c:v>1533.49</c:v>
                </c:pt>
                <c:pt idx="381">
                  <c:v>1533.45</c:v>
                </c:pt>
                <c:pt idx="382">
                  <c:v>1533.43</c:v>
                </c:pt>
                <c:pt idx="383">
                  <c:v>1533.38</c:v>
                </c:pt>
                <c:pt idx="384">
                  <c:v>1533.34</c:v>
                </c:pt>
                <c:pt idx="385">
                  <c:v>1533.31</c:v>
                </c:pt>
                <c:pt idx="386">
                  <c:v>1533.26</c:v>
                </c:pt>
                <c:pt idx="387">
                  <c:v>1533.23</c:v>
                </c:pt>
                <c:pt idx="388">
                  <c:v>1533.17</c:v>
                </c:pt>
                <c:pt idx="389">
                  <c:v>1533.16</c:v>
                </c:pt>
                <c:pt idx="390">
                  <c:v>1533.13</c:v>
                </c:pt>
                <c:pt idx="391">
                  <c:v>1533.08</c:v>
                </c:pt>
                <c:pt idx="392">
                  <c:v>1533.05</c:v>
                </c:pt>
                <c:pt idx="393">
                  <c:v>1533.04</c:v>
                </c:pt>
                <c:pt idx="394">
                  <c:v>1533</c:v>
                </c:pt>
                <c:pt idx="395">
                  <c:v>1532.97</c:v>
                </c:pt>
                <c:pt idx="396">
                  <c:v>1532.94</c:v>
                </c:pt>
                <c:pt idx="397">
                  <c:v>1532.91</c:v>
                </c:pt>
                <c:pt idx="398">
                  <c:v>1532.89</c:v>
                </c:pt>
                <c:pt idx="399">
                  <c:v>1532.86</c:v>
                </c:pt>
                <c:pt idx="400">
                  <c:v>1532.84</c:v>
                </c:pt>
                <c:pt idx="401">
                  <c:v>1532.81</c:v>
                </c:pt>
                <c:pt idx="402">
                  <c:v>1532.77</c:v>
                </c:pt>
                <c:pt idx="403">
                  <c:v>1532.76</c:v>
                </c:pt>
                <c:pt idx="404">
                  <c:v>1532.74</c:v>
                </c:pt>
                <c:pt idx="405">
                  <c:v>1532.71</c:v>
                </c:pt>
                <c:pt idx="406">
                  <c:v>1532.7</c:v>
                </c:pt>
                <c:pt idx="407">
                  <c:v>1532.67</c:v>
                </c:pt>
                <c:pt idx="408">
                  <c:v>1532.64</c:v>
                </c:pt>
                <c:pt idx="409">
                  <c:v>1532.63</c:v>
                </c:pt>
                <c:pt idx="410">
                  <c:v>1532.6</c:v>
                </c:pt>
                <c:pt idx="411">
                  <c:v>1532.58</c:v>
                </c:pt>
                <c:pt idx="412">
                  <c:v>1532.57</c:v>
                </c:pt>
                <c:pt idx="413">
                  <c:v>1532.53</c:v>
                </c:pt>
                <c:pt idx="414">
                  <c:v>1532.53</c:v>
                </c:pt>
                <c:pt idx="415">
                  <c:v>1532.48</c:v>
                </c:pt>
                <c:pt idx="416">
                  <c:v>1532.48</c:v>
                </c:pt>
                <c:pt idx="417">
                  <c:v>1532.44</c:v>
                </c:pt>
                <c:pt idx="418">
                  <c:v>1532.45</c:v>
                </c:pt>
                <c:pt idx="419">
                  <c:v>1532.41</c:v>
                </c:pt>
                <c:pt idx="420">
                  <c:v>1532.39</c:v>
                </c:pt>
                <c:pt idx="421">
                  <c:v>1532.37</c:v>
                </c:pt>
                <c:pt idx="422">
                  <c:v>1532.36</c:v>
                </c:pt>
                <c:pt idx="423">
                  <c:v>1532.34</c:v>
                </c:pt>
                <c:pt idx="424">
                  <c:v>1532.3</c:v>
                </c:pt>
                <c:pt idx="425">
                  <c:v>1532.32</c:v>
                </c:pt>
                <c:pt idx="426">
                  <c:v>1532.29</c:v>
                </c:pt>
                <c:pt idx="427">
                  <c:v>1532.27</c:v>
                </c:pt>
                <c:pt idx="428">
                  <c:v>1532.23</c:v>
                </c:pt>
                <c:pt idx="429">
                  <c:v>1532.22</c:v>
                </c:pt>
                <c:pt idx="430">
                  <c:v>1532.2</c:v>
                </c:pt>
                <c:pt idx="431">
                  <c:v>1532.19</c:v>
                </c:pt>
                <c:pt idx="432">
                  <c:v>1532.18</c:v>
                </c:pt>
                <c:pt idx="433">
                  <c:v>1532.17</c:v>
                </c:pt>
                <c:pt idx="434">
                  <c:v>1532.14</c:v>
                </c:pt>
                <c:pt idx="435">
                  <c:v>1532.14</c:v>
                </c:pt>
                <c:pt idx="436">
                  <c:v>1532.1</c:v>
                </c:pt>
                <c:pt idx="437">
                  <c:v>1532.11</c:v>
                </c:pt>
                <c:pt idx="438">
                  <c:v>1532.08</c:v>
                </c:pt>
                <c:pt idx="439">
                  <c:v>1532.07</c:v>
                </c:pt>
                <c:pt idx="440">
                  <c:v>1532.06</c:v>
                </c:pt>
                <c:pt idx="441">
                  <c:v>1532.04</c:v>
                </c:pt>
                <c:pt idx="442">
                  <c:v>1532.03</c:v>
                </c:pt>
                <c:pt idx="443">
                  <c:v>1532.01</c:v>
                </c:pt>
                <c:pt idx="444">
                  <c:v>1531.98</c:v>
                </c:pt>
                <c:pt idx="445">
                  <c:v>1531.99</c:v>
                </c:pt>
                <c:pt idx="446">
                  <c:v>1531.96</c:v>
                </c:pt>
                <c:pt idx="447">
                  <c:v>1531.95</c:v>
                </c:pt>
                <c:pt idx="448">
                  <c:v>1531.94</c:v>
                </c:pt>
                <c:pt idx="449">
                  <c:v>1531.92</c:v>
                </c:pt>
                <c:pt idx="450">
                  <c:v>1531.91</c:v>
                </c:pt>
                <c:pt idx="451">
                  <c:v>1531.9</c:v>
                </c:pt>
                <c:pt idx="452">
                  <c:v>1531.88</c:v>
                </c:pt>
                <c:pt idx="453">
                  <c:v>1531.87</c:v>
                </c:pt>
                <c:pt idx="454">
                  <c:v>1531.85</c:v>
                </c:pt>
                <c:pt idx="455">
                  <c:v>1531.84</c:v>
                </c:pt>
                <c:pt idx="456">
                  <c:v>1531.83</c:v>
                </c:pt>
                <c:pt idx="457">
                  <c:v>1531.82</c:v>
                </c:pt>
                <c:pt idx="458">
                  <c:v>1531.81</c:v>
                </c:pt>
                <c:pt idx="459">
                  <c:v>1531.8</c:v>
                </c:pt>
                <c:pt idx="460">
                  <c:v>1531.78</c:v>
                </c:pt>
                <c:pt idx="461">
                  <c:v>1531.76</c:v>
                </c:pt>
                <c:pt idx="462">
                  <c:v>1531.75</c:v>
                </c:pt>
                <c:pt idx="463">
                  <c:v>1531.74</c:v>
                </c:pt>
                <c:pt idx="464">
                  <c:v>1531.72</c:v>
                </c:pt>
                <c:pt idx="465">
                  <c:v>1531.71</c:v>
                </c:pt>
                <c:pt idx="466">
                  <c:v>1531.7</c:v>
                </c:pt>
                <c:pt idx="467">
                  <c:v>1531.69</c:v>
                </c:pt>
                <c:pt idx="468">
                  <c:v>1531.67</c:v>
                </c:pt>
                <c:pt idx="469">
                  <c:v>1531.66</c:v>
                </c:pt>
                <c:pt idx="470">
                  <c:v>1531.66</c:v>
                </c:pt>
                <c:pt idx="471">
                  <c:v>1531.65</c:v>
                </c:pt>
                <c:pt idx="472">
                  <c:v>1531.64</c:v>
                </c:pt>
                <c:pt idx="473">
                  <c:v>1531.62</c:v>
                </c:pt>
                <c:pt idx="474">
                  <c:v>1531.61</c:v>
                </c:pt>
                <c:pt idx="475">
                  <c:v>1531.59</c:v>
                </c:pt>
                <c:pt idx="476">
                  <c:v>1531.58</c:v>
                </c:pt>
                <c:pt idx="477">
                  <c:v>1531.57</c:v>
                </c:pt>
                <c:pt idx="478">
                  <c:v>1531.56</c:v>
                </c:pt>
                <c:pt idx="479">
                  <c:v>1531.55</c:v>
                </c:pt>
                <c:pt idx="480">
                  <c:v>1531.54</c:v>
                </c:pt>
                <c:pt idx="481">
                  <c:v>1531.53</c:v>
                </c:pt>
                <c:pt idx="482">
                  <c:v>1531.52</c:v>
                </c:pt>
                <c:pt idx="483">
                  <c:v>1531.51</c:v>
                </c:pt>
                <c:pt idx="484">
                  <c:v>1531.5</c:v>
                </c:pt>
                <c:pt idx="485">
                  <c:v>1531.49</c:v>
                </c:pt>
                <c:pt idx="486">
                  <c:v>1531.47</c:v>
                </c:pt>
                <c:pt idx="487">
                  <c:v>1531.46</c:v>
                </c:pt>
                <c:pt idx="488">
                  <c:v>1531.45</c:v>
                </c:pt>
                <c:pt idx="489">
                  <c:v>1531.44</c:v>
                </c:pt>
                <c:pt idx="490">
                  <c:v>1531.43</c:v>
                </c:pt>
                <c:pt idx="491">
                  <c:v>1531.42</c:v>
                </c:pt>
                <c:pt idx="492">
                  <c:v>1531.41</c:v>
                </c:pt>
                <c:pt idx="493">
                  <c:v>1531.4</c:v>
                </c:pt>
                <c:pt idx="494">
                  <c:v>1531.39</c:v>
                </c:pt>
                <c:pt idx="495">
                  <c:v>1531.38</c:v>
                </c:pt>
                <c:pt idx="496">
                  <c:v>1531.37</c:v>
                </c:pt>
                <c:pt idx="497">
                  <c:v>1531.36</c:v>
                </c:pt>
                <c:pt idx="498">
                  <c:v>1531.35</c:v>
                </c:pt>
                <c:pt idx="499">
                  <c:v>1531.34</c:v>
                </c:pt>
                <c:pt idx="500">
                  <c:v>1531.33</c:v>
                </c:pt>
                <c:pt idx="501">
                  <c:v>1531.32</c:v>
                </c:pt>
                <c:pt idx="502">
                  <c:v>1531.31</c:v>
                </c:pt>
                <c:pt idx="503">
                  <c:v>1531.3</c:v>
                </c:pt>
                <c:pt idx="504">
                  <c:v>1531.29</c:v>
                </c:pt>
                <c:pt idx="505">
                  <c:v>1531.28</c:v>
                </c:pt>
                <c:pt idx="506">
                  <c:v>1531.27</c:v>
                </c:pt>
                <c:pt idx="507">
                  <c:v>1531.26</c:v>
                </c:pt>
                <c:pt idx="508">
                  <c:v>1531.27</c:v>
                </c:pt>
                <c:pt idx="509">
                  <c:v>1531.25</c:v>
                </c:pt>
                <c:pt idx="510">
                  <c:v>1531.24</c:v>
                </c:pt>
                <c:pt idx="511">
                  <c:v>1531.23</c:v>
                </c:pt>
                <c:pt idx="512">
                  <c:v>1531.22</c:v>
                </c:pt>
                <c:pt idx="513">
                  <c:v>1531.2</c:v>
                </c:pt>
                <c:pt idx="514">
                  <c:v>1531.21</c:v>
                </c:pt>
                <c:pt idx="515">
                  <c:v>1531.19</c:v>
                </c:pt>
                <c:pt idx="516">
                  <c:v>1531.19</c:v>
                </c:pt>
                <c:pt idx="517">
                  <c:v>1531.18</c:v>
                </c:pt>
                <c:pt idx="518">
                  <c:v>1531.17</c:v>
                </c:pt>
                <c:pt idx="519">
                  <c:v>1531.16</c:v>
                </c:pt>
                <c:pt idx="520">
                  <c:v>1531.15</c:v>
                </c:pt>
                <c:pt idx="521">
                  <c:v>1531.15</c:v>
                </c:pt>
                <c:pt idx="522">
                  <c:v>1531.13</c:v>
                </c:pt>
                <c:pt idx="523">
                  <c:v>1531.12</c:v>
                </c:pt>
                <c:pt idx="524">
                  <c:v>1531.12</c:v>
                </c:pt>
                <c:pt idx="525">
                  <c:v>1531.1</c:v>
                </c:pt>
                <c:pt idx="526">
                  <c:v>1531.09</c:v>
                </c:pt>
                <c:pt idx="527">
                  <c:v>1531.09</c:v>
                </c:pt>
              </c:numCache>
            </c:numRef>
          </c:yVal>
          <c:smooth val="0"/>
          <c:extLst>
            <c:ext xmlns:c16="http://schemas.microsoft.com/office/drawing/2014/chart" uri="{C3380CC4-5D6E-409C-BE32-E72D297353CC}">
              <c16:uniqueId val="{00000008-8DA7-4939-940E-D7E0C59A2B81}"/>
            </c:ext>
          </c:extLst>
        </c:ser>
        <c:dLbls>
          <c:showLegendKey val="0"/>
          <c:showVal val="0"/>
          <c:showCatName val="0"/>
          <c:showSerName val="0"/>
          <c:showPercent val="0"/>
          <c:showBubbleSize val="0"/>
        </c:dLbls>
        <c:axId val="744805872"/>
        <c:axId val="744809792"/>
        <c:extLst>
          <c:ext xmlns:c15="http://schemas.microsoft.com/office/drawing/2012/chart" uri="{02D57815-91ED-43cb-92C2-25804820EDAC}">
            <c15:filteredScatterSeries>
              <c15:ser>
                <c:idx val="1"/>
                <c:order val="2"/>
                <c:tx>
                  <c:strRef>
                    <c:extLst>
                      <c:ext uri="{02D57815-91ED-43cb-92C2-25804820EDAC}">
                        <c15:formulaRef>
                          <c15:sqref>Gage_and_Event!$T$2</c15:sqref>
                        </c15:formulaRef>
                      </c:ext>
                    </c:extLst>
                    <c:strCache>
                      <c:ptCount val="1"/>
                      <c:pt idx="0">
                        <c:v>Trial 1</c:v>
                      </c:pt>
                    </c:strCache>
                  </c:strRef>
                </c:tx>
                <c:spPr>
                  <a:ln w="15875">
                    <a:solidFill>
                      <a:schemeClr val="accent2"/>
                    </a:solidFill>
                  </a:ln>
                </c:spPr>
                <c:marker>
                  <c:symbol val="none"/>
                </c:marker>
                <c:xVal>
                  <c:numRef>
                    <c:extLst>
                      <c:ex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c:ext uri="{02D57815-91ED-43cb-92C2-25804820EDAC}">
                        <c15:formulaRef>
                          <c15:sqref>Gage_and_Event!$T$5:$T$2000</c15:sqref>
                        </c15:formulaRef>
                      </c:ext>
                    </c:extLst>
                    <c:numCache>
                      <c:formatCode>General</c:formatCode>
                      <c:ptCount val="1996"/>
                    </c:numCache>
                  </c:numRef>
                </c:yVal>
                <c:smooth val="0"/>
                <c:extLst>
                  <c:ext xmlns:c16="http://schemas.microsoft.com/office/drawing/2014/chart" uri="{C3380CC4-5D6E-409C-BE32-E72D297353CC}">
                    <c16:uniqueId val="{00000002-8DA7-4939-940E-D7E0C59A2B81}"/>
                  </c:ext>
                </c:extLst>
              </c15:ser>
            </c15:filteredScatterSeries>
            <c15:filteredScatterSeries>
              <c15:ser>
                <c:idx val="5"/>
                <c:order val="3"/>
                <c:tx>
                  <c:strRef>
                    <c:extLst xmlns:c15="http://schemas.microsoft.com/office/drawing/2012/chart">
                      <c:ext xmlns:c15="http://schemas.microsoft.com/office/drawing/2012/chart" uri="{02D57815-91ED-43cb-92C2-25804820EDAC}">
                        <c15:formulaRef>
                          <c15:sqref>Gage_and_Event!$V$2</c15:sqref>
                        </c15:formulaRef>
                      </c:ext>
                    </c:extLst>
                    <c:strCache>
                      <c:ptCount val="1"/>
                      <c:pt idx="0">
                        <c:v>Trial 2</c:v>
                      </c:pt>
                    </c:strCache>
                  </c:strRef>
                </c:tx>
                <c:spPr>
                  <a:ln w="15875">
                    <a:solidFill>
                      <a:srgbClr val="7030A0"/>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Gage_and_Event!$V$5:$V$2000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3-8DA7-4939-940E-D7E0C59A2B81}"/>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Gage_and_Event!$X$2</c15:sqref>
                        </c15:formulaRef>
                      </c:ext>
                    </c:extLst>
                    <c:strCache>
                      <c:ptCount val="1"/>
                      <c:pt idx="0">
                        <c:v>Trial 3</c:v>
                      </c:pt>
                    </c:strCache>
                  </c:strRef>
                </c:tx>
                <c:spPr>
                  <a:ln w="15875">
                    <a:solidFill>
                      <a:schemeClr val="accent4"/>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Gage_and_Event!$X$5:$X$2000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4-8DA7-4939-940E-D7E0C59A2B81}"/>
                  </c:ext>
                </c:extLst>
              </c15:ser>
            </c15:filteredScatterSeries>
            <c15:filteredScatterSeries>
              <c15:ser>
                <c:idx val="3"/>
                <c:order val="5"/>
                <c:tx>
                  <c:strRef>
                    <c:extLst xmlns:c15="http://schemas.microsoft.com/office/drawing/2012/chart">
                      <c:ext xmlns:c15="http://schemas.microsoft.com/office/drawing/2012/chart" uri="{02D57815-91ED-43cb-92C2-25804820EDAC}">
                        <c15:formulaRef>
                          <c15:sqref>Gage_and_Event!$Z$2</c15:sqref>
                        </c15:formulaRef>
                      </c:ext>
                    </c:extLst>
                    <c:strCache>
                      <c:ptCount val="1"/>
                      <c:pt idx="0">
                        <c:v>Trial 4</c:v>
                      </c:pt>
                    </c:strCache>
                  </c:strRef>
                </c:tx>
                <c:spPr>
                  <a:ln w="15875">
                    <a:solidFill>
                      <a:schemeClr val="accent5"/>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Gage_and_Event!$Z$5:$Z$2000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5-8DA7-4939-940E-D7E0C59A2B81}"/>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Gage_and_Event!$AB$2</c15:sqref>
                        </c15:formulaRef>
                      </c:ext>
                    </c:extLst>
                    <c:strCache>
                      <c:ptCount val="1"/>
                      <c:pt idx="0">
                        <c:v>Trial 5</c:v>
                      </c:pt>
                    </c:strCache>
                  </c:strRef>
                </c:tx>
                <c:spPr>
                  <a:ln w="15875">
                    <a:solidFill>
                      <a:schemeClr val="accent6"/>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Gage_and_Event!$AB$5:$AB$2000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6-8DA7-4939-940E-D7E0C59A2B81}"/>
                  </c:ext>
                </c:extLst>
              </c15:ser>
            </c15:filteredScatterSeries>
          </c:ext>
        </c:extLst>
      </c:scatterChart>
      <c:valAx>
        <c:axId val="744805872"/>
        <c:scaling>
          <c:orientation val="minMax"/>
        </c:scaling>
        <c:delete val="0"/>
        <c:axPos val="b"/>
        <c:majorGridlines/>
        <c:numFmt formatCode="m/d/yyyy" sourceLinked="0"/>
        <c:majorTickMark val="out"/>
        <c:minorTickMark val="none"/>
        <c:tickLblPos val="nextTo"/>
        <c:txPr>
          <a:bodyPr rot="0"/>
          <a:lstStyle/>
          <a:p>
            <a:pPr>
              <a:defRPr/>
            </a:pPr>
            <a:endParaRPr lang="en-US"/>
          </a:p>
        </c:txPr>
        <c:crossAx val="744809792"/>
        <c:crosses val="autoZero"/>
        <c:crossBetween val="midCat"/>
        <c:majorUnit val="6"/>
      </c:valAx>
      <c:valAx>
        <c:axId val="744809792"/>
        <c:scaling>
          <c:orientation val="minMax"/>
        </c:scaling>
        <c:delete val="0"/>
        <c:axPos val="l"/>
        <c:majorGridlines/>
        <c:title>
          <c:tx>
            <c:rich>
              <a:bodyPr rot="-5400000" vert="horz"/>
              <a:lstStyle/>
              <a:p>
                <a:pPr>
                  <a:defRPr/>
                </a:pPr>
                <a:r>
                  <a:rPr lang="en-US"/>
                  <a:t>Elevation (FT)</a:t>
                </a:r>
              </a:p>
            </c:rich>
          </c:tx>
          <c:overlay val="0"/>
        </c:title>
        <c:numFmt formatCode="#,##0.0" sourceLinked="0"/>
        <c:majorTickMark val="out"/>
        <c:minorTickMark val="none"/>
        <c:tickLblPos val="nextTo"/>
        <c:crossAx val="744805872"/>
        <c:crossesAt val="1"/>
        <c:crossBetween val="midCat"/>
      </c:valAx>
    </c:plotArea>
    <c:legend>
      <c:legendPos val="b"/>
      <c:overlay val="0"/>
    </c:legend>
    <c:plotVisOnly val="1"/>
    <c:dispBlanksAs val="gap"/>
    <c:showDLblsOverMax val="0"/>
  </c:chart>
  <c:spPr>
    <a:ln>
      <a:noFill/>
    </a:ln>
  </c:sp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7</xdr:col>
      <xdr:colOff>228600</xdr:colOff>
      <xdr:row>11</xdr:row>
      <xdr:rowOff>38100</xdr:rowOff>
    </xdr:from>
    <xdr:to>
      <xdr:col>12</xdr:col>
      <xdr:colOff>343341</xdr:colOff>
      <xdr:row>36</xdr:row>
      <xdr:rowOff>153081</xdr:rowOff>
    </xdr:to>
    <xdr:pic>
      <xdr:nvPicPr>
        <xdr:cNvPr id="2" name="Picture 1">
          <a:extLst>
            <a:ext uri="{FF2B5EF4-FFF2-40B4-BE49-F238E27FC236}">
              <a16:creationId xmlns:a16="http://schemas.microsoft.com/office/drawing/2014/main" id="{26E6DAF6-537F-1AD1-9460-3B52DA9882B5}"/>
            </a:ext>
          </a:extLst>
        </xdr:cNvPr>
        <xdr:cNvPicPr>
          <a:picLocks noChangeAspect="1"/>
        </xdr:cNvPicPr>
      </xdr:nvPicPr>
      <xdr:blipFill>
        <a:blip xmlns:r="http://schemas.openxmlformats.org/officeDocument/2006/relationships" r:embed="rId1"/>
        <a:stretch>
          <a:fillRect/>
        </a:stretch>
      </xdr:blipFill>
      <xdr:spPr>
        <a:xfrm>
          <a:off x="4495800" y="1562100"/>
          <a:ext cx="3162741" cy="4877481"/>
        </a:xfrm>
        <a:prstGeom prst="rect">
          <a:avLst/>
        </a:prstGeom>
      </xdr:spPr>
    </xdr:pic>
    <xdr:clientData/>
  </xdr:twoCellAnchor>
  <xdr:twoCellAnchor editAs="oneCell">
    <xdr:from>
      <xdr:col>0</xdr:col>
      <xdr:colOff>161925</xdr:colOff>
      <xdr:row>11</xdr:row>
      <xdr:rowOff>57150</xdr:rowOff>
    </xdr:from>
    <xdr:to>
      <xdr:col>5</xdr:col>
      <xdr:colOff>238561</xdr:colOff>
      <xdr:row>23</xdr:row>
      <xdr:rowOff>133680</xdr:rowOff>
    </xdr:to>
    <xdr:pic>
      <xdr:nvPicPr>
        <xdr:cNvPr id="3" name="Picture 2">
          <a:extLst>
            <a:ext uri="{FF2B5EF4-FFF2-40B4-BE49-F238E27FC236}">
              <a16:creationId xmlns:a16="http://schemas.microsoft.com/office/drawing/2014/main" id="{6925593E-FEA5-9B53-7AA2-22C770C5B8B9}"/>
            </a:ext>
          </a:extLst>
        </xdr:cNvPr>
        <xdr:cNvPicPr>
          <a:picLocks noChangeAspect="1"/>
        </xdr:cNvPicPr>
      </xdr:nvPicPr>
      <xdr:blipFill>
        <a:blip xmlns:r="http://schemas.openxmlformats.org/officeDocument/2006/relationships" r:embed="rId2"/>
        <a:stretch>
          <a:fillRect/>
        </a:stretch>
      </xdr:blipFill>
      <xdr:spPr>
        <a:xfrm>
          <a:off x="161925" y="1581150"/>
          <a:ext cx="3124636" cy="2362530"/>
        </a:xfrm>
        <a:prstGeom prst="rect">
          <a:avLst/>
        </a:prstGeom>
      </xdr:spPr>
    </xdr:pic>
    <xdr:clientData/>
  </xdr:twoCellAnchor>
  <xdr:twoCellAnchor editAs="oneCell">
    <xdr:from>
      <xdr:col>17</xdr:col>
      <xdr:colOff>152400</xdr:colOff>
      <xdr:row>11</xdr:row>
      <xdr:rowOff>28575</xdr:rowOff>
    </xdr:from>
    <xdr:to>
      <xdr:col>22</xdr:col>
      <xdr:colOff>238562</xdr:colOff>
      <xdr:row>34</xdr:row>
      <xdr:rowOff>95871</xdr:rowOff>
    </xdr:to>
    <xdr:pic>
      <xdr:nvPicPr>
        <xdr:cNvPr id="4" name="Picture 3">
          <a:extLst>
            <a:ext uri="{FF2B5EF4-FFF2-40B4-BE49-F238E27FC236}">
              <a16:creationId xmlns:a16="http://schemas.microsoft.com/office/drawing/2014/main" id="{B03CD84F-0CE9-E75F-1BB8-9D8408F41A77}"/>
            </a:ext>
          </a:extLst>
        </xdr:cNvPr>
        <xdr:cNvPicPr>
          <a:picLocks noChangeAspect="1"/>
        </xdr:cNvPicPr>
      </xdr:nvPicPr>
      <xdr:blipFill>
        <a:blip xmlns:r="http://schemas.openxmlformats.org/officeDocument/2006/relationships" r:embed="rId3"/>
        <a:stretch>
          <a:fillRect/>
        </a:stretch>
      </xdr:blipFill>
      <xdr:spPr>
        <a:xfrm>
          <a:off x="10515600" y="1552575"/>
          <a:ext cx="3134162" cy="4448796"/>
        </a:xfrm>
        <a:prstGeom prst="rect">
          <a:avLst/>
        </a:prstGeom>
      </xdr:spPr>
    </xdr:pic>
    <xdr:clientData/>
  </xdr:twoCellAnchor>
  <xdr:twoCellAnchor editAs="oneCell">
    <xdr:from>
      <xdr:col>28</xdr:col>
      <xdr:colOff>219075</xdr:colOff>
      <xdr:row>11</xdr:row>
      <xdr:rowOff>47625</xdr:rowOff>
    </xdr:from>
    <xdr:to>
      <xdr:col>33</xdr:col>
      <xdr:colOff>324290</xdr:colOff>
      <xdr:row>13</xdr:row>
      <xdr:rowOff>152468</xdr:rowOff>
    </xdr:to>
    <xdr:pic>
      <xdr:nvPicPr>
        <xdr:cNvPr id="5" name="Picture 4">
          <a:extLst>
            <a:ext uri="{FF2B5EF4-FFF2-40B4-BE49-F238E27FC236}">
              <a16:creationId xmlns:a16="http://schemas.microsoft.com/office/drawing/2014/main" id="{AFC1F83C-3812-6AD0-41FE-BB5F08B9D8E3}"/>
            </a:ext>
          </a:extLst>
        </xdr:cNvPr>
        <xdr:cNvPicPr>
          <a:picLocks noChangeAspect="1"/>
        </xdr:cNvPicPr>
      </xdr:nvPicPr>
      <xdr:blipFill>
        <a:blip xmlns:r="http://schemas.openxmlformats.org/officeDocument/2006/relationships" r:embed="rId4"/>
        <a:stretch>
          <a:fillRect/>
        </a:stretch>
      </xdr:blipFill>
      <xdr:spPr>
        <a:xfrm>
          <a:off x="17287875" y="1571625"/>
          <a:ext cx="3153215" cy="485843"/>
        </a:xfrm>
        <a:prstGeom prst="rect">
          <a:avLst/>
        </a:prstGeom>
      </xdr:spPr>
    </xdr:pic>
    <xdr:clientData/>
  </xdr:twoCellAnchor>
  <xdr:twoCellAnchor editAs="oneCell">
    <xdr:from>
      <xdr:col>28</xdr:col>
      <xdr:colOff>238125</xdr:colOff>
      <xdr:row>13</xdr:row>
      <xdr:rowOff>152400</xdr:rowOff>
    </xdr:from>
    <xdr:to>
      <xdr:col>33</xdr:col>
      <xdr:colOff>314761</xdr:colOff>
      <xdr:row>36</xdr:row>
      <xdr:rowOff>86327</xdr:rowOff>
    </xdr:to>
    <xdr:pic>
      <xdr:nvPicPr>
        <xdr:cNvPr id="6" name="Picture 5">
          <a:extLst>
            <a:ext uri="{FF2B5EF4-FFF2-40B4-BE49-F238E27FC236}">
              <a16:creationId xmlns:a16="http://schemas.microsoft.com/office/drawing/2014/main" id="{09D568BC-AC1E-2508-FBC9-E49525E8A443}"/>
            </a:ext>
          </a:extLst>
        </xdr:cNvPr>
        <xdr:cNvPicPr>
          <a:picLocks noChangeAspect="1"/>
        </xdr:cNvPicPr>
      </xdr:nvPicPr>
      <xdr:blipFill>
        <a:blip xmlns:r="http://schemas.openxmlformats.org/officeDocument/2006/relationships" r:embed="rId5"/>
        <a:stretch>
          <a:fillRect/>
        </a:stretch>
      </xdr:blipFill>
      <xdr:spPr>
        <a:xfrm>
          <a:off x="17306925" y="2057400"/>
          <a:ext cx="3124636" cy="4315427"/>
        </a:xfrm>
        <a:prstGeom prst="rect">
          <a:avLst/>
        </a:prstGeom>
      </xdr:spPr>
    </xdr:pic>
    <xdr:clientData/>
  </xdr:twoCellAnchor>
  <xdr:twoCellAnchor editAs="oneCell">
    <xdr:from>
      <xdr:col>10</xdr:col>
      <xdr:colOff>66675</xdr:colOff>
      <xdr:row>1</xdr:row>
      <xdr:rowOff>47625</xdr:rowOff>
    </xdr:from>
    <xdr:to>
      <xdr:col>17</xdr:col>
      <xdr:colOff>447674</xdr:colOff>
      <xdr:row>7</xdr:row>
      <xdr:rowOff>133783</xdr:rowOff>
    </xdr:to>
    <xdr:pic>
      <xdr:nvPicPr>
        <xdr:cNvPr id="7" name="Picture 6">
          <a:extLst>
            <a:ext uri="{FF2B5EF4-FFF2-40B4-BE49-F238E27FC236}">
              <a16:creationId xmlns:a16="http://schemas.microsoft.com/office/drawing/2014/main" id="{E1793928-2212-4CCA-8E5B-56B1F3483BC4}"/>
            </a:ext>
          </a:extLst>
        </xdr:cNvPr>
        <xdr:cNvPicPr>
          <a:picLocks noChangeAspect="1"/>
        </xdr:cNvPicPr>
      </xdr:nvPicPr>
      <xdr:blipFill>
        <a:blip xmlns:r="http://schemas.openxmlformats.org/officeDocument/2006/relationships" r:embed="rId6"/>
        <a:stretch>
          <a:fillRect/>
        </a:stretch>
      </xdr:blipFill>
      <xdr:spPr>
        <a:xfrm>
          <a:off x="6162675" y="238125"/>
          <a:ext cx="4648199" cy="12291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38102</xdr:colOff>
      <xdr:row>27</xdr:row>
      <xdr:rowOff>86623</xdr:rowOff>
    </xdr:from>
    <xdr:to>
      <xdr:col>10</xdr:col>
      <xdr:colOff>10096502</xdr:colOff>
      <xdr:row>47</xdr:row>
      <xdr:rowOff>117999</xdr:rowOff>
    </xdr:to>
    <xdr:graphicFrame macro="">
      <xdr:nvGraphicFramePr>
        <xdr:cNvPr id="3" name="Chart 2">
          <a:extLst>
            <a:ext uri="{FF2B5EF4-FFF2-40B4-BE49-F238E27FC236}">
              <a16:creationId xmlns:a16="http://schemas.microsoft.com/office/drawing/2014/main" id="{0F809170-4375-4A74-AFC9-71FFE188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581025</xdr:colOff>
      <xdr:row>48</xdr:row>
      <xdr:rowOff>26986</xdr:rowOff>
    </xdr:from>
    <xdr:to>
      <xdr:col>10</xdr:col>
      <xdr:colOff>10029825</xdr:colOff>
      <xdr:row>68</xdr:row>
      <xdr:rowOff>103186</xdr:rowOff>
    </xdr:to>
    <xdr:graphicFrame macro="">
      <xdr:nvGraphicFramePr>
        <xdr:cNvPr id="4" name="Chart 3">
          <a:extLst>
            <a:ext uri="{FF2B5EF4-FFF2-40B4-BE49-F238E27FC236}">
              <a16:creationId xmlns:a16="http://schemas.microsoft.com/office/drawing/2014/main" id="{717B02EA-CA20-4094-8839-2BD8D159C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10924</xdr:colOff>
      <xdr:row>6</xdr:row>
      <xdr:rowOff>190499</xdr:rowOff>
    </xdr:from>
    <xdr:to>
      <xdr:col>10</xdr:col>
      <xdr:colOff>10069324</xdr:colOff>
      <xdr:row>27</xdr:row>
      <xdr:rowOff>8964</xdr:rowOff>
    </xdr:to>
    <xdr:graphicFrame macro="">
      <xdr:nvGraphicFramePr>
        <xdr:cNvPr id="5" name="Chart 4">
          <a:extLst>
            <a:ext uri="{FF2B5EF4-FFF2-40B4-BE49-F238E27FC236}">
              <a16:creationId xmlns:a16="http://schemas.microsoft.com/office/drawing/2014/main" id="{7FA732C4-4B11-4DAB-A8A6-2146AD0C8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114300</xdr:colOff>
      <xdr:row>47</xdr:row>
      <xdr:rowOff>95250</xdr:rowOff>
    </xdr:from>
    <xdr:to>
      <xdr:col>6</xdr:col>
      <xdr:colOff>726961</xdr:colOff>
      <xdr:row>49</xdr:row>
      <xdr:rowOff>95250</xdr:rowOff>
    </xdr:to>
    <xdr:sp macro="" textlink="">
      <xdr:nvSpPr>
        <xdr:cNvPr id="6" name="CommandButton21" hidden="1">
          <a:extLst>
            <a:ext uri="{63B3BB69-23CF-44E3-9099-C40C66FF867C}">
              <a14:compatExt xmlns:a14="http://schemas.microsoft.com/office/drawing/2010/main" spid="_x0000_s5121"/>
            </a:ext>
            <a:ext uri="{FF2B5EF4-FFF2-40B4-BE49-F238E27FC236}">
              <a16:creationId xmlns:a16="http://schemas.microsoft.com/office/drawing/2014/main" id="{791BB86E-E61D-40D6-A08E-B7D935D13B95}"/>
            </a:ext>
          </a:extLst>
        </xdr:cNvPr>
        <xdr:cNvSpPr/>
      </xdr:nvSpPr>
      <xdr:spPr bwMode="auto">
        <a:xfrm>
          <a:off x="3676650" y="10125075"/>
          <a:ext cx="2041411" cy="3810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xdr:col>
      <xdr:colOff>593914</xdr:colOff>
      <xdr:row>53</xdr:row>
      <xdr:rowOff>78442</xdr:rowOff>
    </xdr:from>
    <xdr:to>
      <xdr:col>7</xdr:col>
      <xdr:colOff>638737</xdr:colOff>
      <xdr:row>63</xdr:row>
      <xdr:rowOff>7716</xdr:rowOff>
    </xdr:to>
    <xdr:pic>
      <xdr:nvPicPr>
        <xdr:cNvPr id="7" name="Picture 6">
          <a:extLst>
            <a:ext uri="{FF2B5EF4-FFF2-40B4-BE49-F238E27FC236}">
              <a16:creationId xmlns:a16="http://schemas.microsoft.com/office/drawing/2014/main" id="{A3D5F72E-DCA3-6A72-BFEA-ECEB195622BA}"/>
            </a:ext>
          </a:extLst>
        </xdr:cNvPr>
        <xdr:cNvPicPr>
          <a:picLocks noChangeAspect="1"/>
        </xdr:cNvPicPr>
      </xdr:nvPicPr>
      <xdr:blipFill>
        <a:blip xmlns:r="http://schemas.openxmlformats.org/officeDocument/2006/relationships" r:embed="rId4"/>
        <a:stretch>
          <a:fillRect/>
        </a:stretch>
      </xdr:blipFill>
      <xdr:spPr>
        <a:xfrm>
          <a:off x="862855" y="11273118"/>
          <a:ext cx="5681382" cy="1834274"/>
        </a:xfrm>
        <a:prstGeom prst="rect">
          <a:avLst/>
        </a:prstGeom>
      </xdr:spPr>
    </xdr:pic>
    <xdr:clientData/>
  </xdr:twoCellAnchor>
  <xdr:twoCellAnchor editAs="oneCell">
    <xdr:from>
      <xdr:col>2</xdr:col>
      <xdr:colOff>0</xdr:colOff>
      <xdr:row>64</xdr:row>
      <xdr:rowOff>0</xdr:rowOff>
    </xdr:from>
    <xdr:to>
      <xdr:col>6</xdr:col>
      <xdr:colOff>620347</xdr:colOff>
      <xdr:row>75</xdr:row>
      <xdr:rowOff>151034</xdr:rowOff>
    </xdr:to>
    <xdr:pic>
      <xdr:nvPicPr>
        <xdr:cNvPr id="8" name="Picture 7">
          <a:extLst>
            <a:ext uri="{FF2B5EF4-FFF2-40B4-BE49-F238E27FC236}">
              <a16:creationId xmlns:a16="http://schemas.microsoft.com/office/drawing/2014/main" id="{D7071E5F-CBD2-628D-D37C-820DC2D402D0}"/>
            </a:ext>
          </a:extLst>
        </xdr:cNvPr>
        <xdr:cNvPicPr>
          <a:picLocks noChangeAspect="1"/>
        </xdr:cNvPicPr>
      </xdr:nvPicPr>
      <xdr:blipFill>
        <a:blip xmlns:r="http://schemas.openxmlformats.org/officeDocument/2006/relationships" r:embed="rId5"/>
        <a:stretch>
          <a:fillRect/>
        </a:stretch>
      </xdr:blipFill>
      <xdr:spPr>
        <a:xfrm>
          <a:off x="874059" y="13290176"/>
          <a:ext cx="4744112" cy="22577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wat.tamu.edu/media/1312/moriasimodeleval.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879C-1A15-4F10-B920-4B7ECDFF690F}">
  <sheetPr codeName="Sheet2"/>
  <dimension ref="A1:AC9"/>
  <sheetViews>
    <sheetView workbookViewId="0">
      <selection activeCell="E30" sqref="E30"/>
    </sheetView>
  </sheetViews>
  <sheetFormatPr defaultRowHeight="15" x14ac:dyDescent="0.25"/>
  <sheetData>
    <row r="1" spans="1:29" x14ac:dyDescent="0.25">
      <c r="A1" s="47" t="s">
        <v>43</v>
      </c>
      <c r="K1" t="s">
        <v>49</v>
      </c>
    </row>
    <row r="2" spans="1:29" x14ac:dyDescent="0.25">
      <c r="A2" s="47"/>
    </row>
    <row r="3" spans="1:29" x14ac:dyDescent="0.25">
      <c r="A3" s="47"/>
    </row>
    <row r="4" spans="1:29" x14ac:dyDescent="0.25">
      <c r="A4" s="47"/>
    </row>
    <row r="8" spans="1:29" x14ac:dyDescent="0.25">
      <c r="AC8" s="48" t="s">
        <v>48</v>
      </c>
    </row>
    <row r="9" spans="1:29" x14ac:dyDescent="0.25">
      <c r="A9" s="48" t="s">
        <v>44</v>
      </c>
      <c r="H9" s="48" t="s">
        <v>45</v>
      </c>
      <c r="R9" s="48" t="s">
        <v>46</v>
      </c>
      <c r="AC9" s="48" t="s">
        <v>47</v>
      </c>
    </row>
  </sheetData>
  <hyperlinks>
    <hyperlink ref="A1" r:id="rId1" xr:uid="{C67828C9-7F2F-42FB-B372-9EBB3F5D15ED}"/>
  </hyperlinks>
  <pageMargins left="0.7" right="0.7" top="0.75" bottom="0.75" header="0.3" footer="0.3"/>
  <pageSetup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99457-8E30-49CE-AEE2-C5DD31C6FFF6}">
  <sheetPr codeName="Sheet3"/>
  <dimension ref="A1:I26"/>
  <sheetViews>
    <sheetView workbookViewId="0">
      <selection activeCell="E17" sqref="E16:E17"/>
    </sheetView>
  </sheetViews>
  <sheetFormatPr defaultRowHeight="15" x14ac:dyDescent="0.25"/>
  <cols>
    <col min="1" max="1" width="28.28515625" customWidth="1"/>
    <col min="2" max="2" width="60.42578125" bestFit="1" customWidth="1"/>
    <col min="3" max="3" width="13.42578125" style="36" bestFit="1" customWidth="1"/>
    <col min="4" max="4" width="12.85546875" style="36" bestFit="1" customWidth="1"/>
    <col min="5" max="5" width="14" style="37" bestFit="1" customWidth="1"/>
    <col min="6" max="6" width="3.42578125" style="36" customWidth="1"/>
    <col min="7" max="7" width="13.42578125" style="34" bestFit="1" customWidth="1"/>
    <col min="8" max="8" width="12.85546875" style="34" bestFit="1" customWidth="1"/>
    <col min="9" max="9" width="14" style="38" bestFit="1" customWidth="1"/>
  </cols>
  <sheetData>
    <row r="1" spans="1:9" x14ac:dyDescent="0.25">
      <c r="A1" s="39"/>
      <c r="B1" s="61"/>
      <c r="C1" s="62" t="s">
        <v>19</v>
      </c>
      <c r="D1" s="62"/>
      <c r="E1" s="62"/>
      <c r="F1" s="61"/>
      <c r="G1" s="62" t="s">
        <v>16</v>
      </c>
      <c r="H1" s="62"/>
      <c r="I1" s="62"/>
    </row>
    <row r="2" spans="1:9" x14ac:dyDescent="0.25">
      <c r="A2" s="39" t="s">
        <v>14</v>
      </c>
      <c r="B2" s="61" t="s">
        <v>15</v>
      </c>
      <c r="C2" s="61" t="s">
        <v>2</v>
      </c>
      <c r="D2" s="61" t="s">
        <v>3</v>
      </c>
      <c r="E2" s="61" t="s">
        <v>17</v>
      </c>
      <c r="F2" s="61"/>
      <c r="G2" s="61" t="s">
        <v>2</v>
      </c>
      <c r="H2" s="61" t="s">
        <v>3</v>
      </c>
      <c r="I2" s="61" t="s">
        <v>18</v>
      </c>
    </row>
    <row r="3" spans="1:9" x14ac:dyDescent="0.25">
      <c r="A3" s="39" t="s">
        <v>60</v>
      </c>
      <c r="B3" s="61" cm="1">
        <f t="array" aca="1" ref="B3" ca="1">INDIRECT("'" &amp; $A3 &amp; "'!" &amp; "J7")</f>
        <v>0</v>
      </c>
      <c r="C3" s="93" cm="1">
        <f t="array" aca="1" ref="C3" ca="1">INDIRECT("'" &amp; $A3 &amp; "'!" &amp; "F10")</f>
        <v>21086.49</v>
      </c>
      <c r="D3" s="61" cm="1">
        <f t="array" aca="1" ref="D3" ca="1">INDIRECT("'" &amp; $A3 &amp; "'!" &amp; "G10")</f>
        <v>18600</v>
      </c>
      <c r="E3" s="92">
        <f t="shared" ref="E3" ca="1" si="0">((C3-D3)/D3)*100</f>
        <v>13.368225806451623</v>
      </c>
      <c r="F3" s="61"/>
      <c r="G3" s="61" cm="1">
        <f t="array" aca="1" ref="G3" ca="1">INDIRECT("'" &amp; $A3 &amp; "'!" &amp; "F19")</f>
        <v>1543.45</v>
      </c>
      <c r="H3" s="61" cm="1">
        <f t="array" aca="1" ref="H3" ca="1">INDIRECT("'" &amp; $A3 &amp; "'!" &amp; "G19")</f>
        <v>1542.48</v>
      </c>
      <c r="I3" s="61">
        <f ca="1">G3-H3</f>
        <v>0.97000000000002728</v>
      </c>
    </row>
    <row r="4" spans="1:9" x14ac:dyDescent="0.25">
      <c r="C4"/>
      <c r="D4"/>
      <c r="E4"/>
      <c r="F4"/>
      <c r="G4"/>
      <c r="H4"/>
      <c r="I4"/>
    </row>
    <row r="5" spans="1:9" x14ac:dyDescent="0.25">
      <c r="C5"/>
      <c r="D5"/>
      <c r="E5"/>
      <c r="F5"/>
      <c r="G5"/>
      <c r="H5"/>
      <c r="I5"/>
    </row>
    <row r="6" spans="1:9" x14ac:dyDescent="0.25">
      <c r="C6"/>
      <c r="D6"/>
      <c r="E6"/>
      <c r="F6"/>
      <c r="G6"/>
      <c r="H6"/>
      <c r="I6"/>
    </row>
    <row r="7" spans="1:9" x14ac:dyDescent="0.25">
      <c r="C7"/>
      <c r="D7"/>
      <c r="E7"/>
      <c r="F7"/>
      <c r="G7"/>
      <c r="H7"/>
      <c r="I7"/>
    </row>
    <row r="8" spans="1:9" x14ac:dyDescent="0.25">
      <c r="C8"/>
      <c r="D8"/>
      <c r="E8"/>
      <c r="F8"/>
      <c r="G8"/>
      <c r="H8"/>
      <c r="I8"/>
    </row>
    <row r="9" spans="1:9" x14ac:dyDescent="0.25">
      <c r="C9"/>
      <c r="D9"/>
      <c r="E9"/>
      <c r="F9"/>
      <c r="G9"/>
      <c r="H9"/>
      <c r="I9"/>
    </row>
    <row r="10" spans="1:9" x14ac:dyDescent="0.25">
      <c r="C10"/>
      <c r="D10"/>
      <c r="E10"/>
      <c r="F10"/>
      <c r="G10"/>
      <c r="H10"/>
      <c r="I10"/>
    </row>
    <row r="11" spans="1:9" x14ac:dyDescent="0.25">
      <c r="C11"/>
      <c r="D11"/>
      <c r="E11"/>
      <c r="F11"/>
      <c r="G11"/>
      <c r="H11"/>
      <c r="I11"/>
    </row>
    <row r="12" spans="1:9" x14ac:dyDescent="0.25">
      <c r="C12"/>
      <c r="D12"/>
      <c r="E12"/>
      <c r="F12"/>
      <c r="G12"/>
      <c r="H12"/>
      <c r="I12"/>
    </row>
    <row r="13" spans="1:9" x14ac:dyDescent="0.25">
      <c r="C13"/>
      <c r="D13"/>
      <c r="E13"/>
      <c r="F13"/>
      <c r="G13"/>
      <c r="H13"/>
      <c r="I13"/>
    </row>
    <row r="14" spans="1:9" x14ac:dyDescent="0.25">
      <c r="C14"/>
      <c r="D14"/>
      <c r="E14"/>
      <c r="F14"/>
      <c r="G14"/>
      <c r="H14"/>
      <c r="I14"/>
    </row>
    <row r="15" spans="1:9" x14ac:dyDescent="0.25">
      <c r="C15"/>
      <c r="D15"/>
      <c r="E15"/>
      <c r="F15"/>
      <c r="G15"/>
      <c r="H15"/>
      <c r="I15"/>
    </row>
    <row r="16" spans="1:9" x14ac:dyDescent="0.25">
      <c r="C16"/>
      <c r="D16"/>
      <c r="E16"/>
      <c r="F16"/>
      <c r="G16"/>
      <c r="H16"/>
      <c r="I16"/>
    </row>
    <row r="17" spans="2:9" x14ac:dyDescent="0.25">
      <c r="C17"/>
      <c r="D17"/>
      <c r="E17"/>
      <c r="F17"/>
      <c r="G17"/>
      <c r="H17"/>
      <c r="I17"/>
    </row>
    <row r="18" spans="2:9" x14ac:dyDescent="0.25">
      <c r="C18"/>
      <c r="D18"/>
      <c r="E18"/>
      <c r="F18"/>
      <c r="G18"/>
      <c r="H18"/>
      <c r="I18"/>
    </row>
    <row r="19" spans="2:9" x14ac:dyDescent="0.25">
      <c r="C19"/>
      <c r="D19"/>
      <c r="E19"/>
      <c r="F19"/>
      <c r="G19"/>
      <c r="H19"/>
      <c r="I19"/>
    </row>
    <row r="20" spans="2:9" x14ac:dyDescent="0.25">
      <c r="C20"/>
      <c r="D20"/>
      <c r="E20"/>
      <c r="F20"/>
      <c r="G20"/>
      <c r="H20"/>
      <c r="I20"/>
    </row>
    <row r="21" spans="2:9" x14ac:dyDescent="0.25">
      <c r="C21"/>
      <c r="D21"/>
      <c r="E21"/>
      <c r="F21"/>
      <c r="G21"/>
      <c r="H21"/>
      <c r="I21"/>
    </row>
    <row r="22" spans="2:9" x14ac:dyDescent="0.25">
      <c r="C22"/>
      <c r="D22"/>
      <c r="E22"/>
      <c r="F22"/>
      <c r="G22"/>
      <c r="H22"/>
      <c r="I22"/>
    </row>
    <row r="23" spans="2:9" x14ac:dyDescent="0.25">
      <c r="C23"/>
      <c r="D23"/>
      <c r="E23"/>
      <c r="F23"/>
      <c r="G23"/>
      <c r="H23"/>
      <c r="I23"/>
    </row>
    <row r="24" spans="2:9" x14ac:dyDescent="0.25">
      <c r="C24"/>
      <c r="D24"/>
      <c r="E24"/>
      <c r="F24"/>
      <c r="G24"/>
      <c r="H24"/>
      <c r="I24"/>
    </row>
    <row r="25" spans="2:9" x14ac:dyDescent="0.25">
      <c r="C25"/>
      <c r="D25"/>
      <c r="E25"/>
      <c r="F25"/>
      <c r="G25"/>
      <c r="H25"/>
      <c r="I25"/>
    </row>
    <row r="26" spans="2:9" x14ac:dyDescent="0.25">
      <c r="B26" s="33"/>
      <c r="G26" s="35"/>
      <c r="H26" s="35"/>
      <c r="I26" s="37"/>
    </row>
  </sheetData>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9C254-5ED7-4C1C-9E08-913E8922A341}">
  <dimension ref="B1:BK2165"/>
  <sheetViews>
    <sheetView showGridLines="0" tabSelected="1" topLeftCell="G1" zoomScale="85" zoomScaleNormal="85" workbookViewId="0">
      <selection activeCell="I3" sqref="I3"/>
    </sheetView>
  </sheetViews>
  <sheetFormatPr defaultRowHeight="15" x14ac:dyDescent="0.25"/>
  <cols>
    <col min="1" max="1" width="4" customWidth="1"/>
    <col min="3" max="3" width="30.42578125" customWidth="1"/>
    <col min="4" max="4" width="9.85546875" customWidth="1"/>
    <col min="5" max="5" width="10" bestFit="1" customWidth="1"/>
    <col min="6" max="6" width="11.42578125" bestFit="1" customWidth="1"/>
    <col min="7" max="7" width="13.5703125" customWidth="1"/>
    <col min="8" max="8" width="15.28515625" customWidth="1"/>
    <col min="11" max="11" width="155.7109375" customWidth="1"/>
    <col min="12" max="12" width="3.85546875" customWidth="1"/>
    <col min="13" max="13" width="17.7109375" style="39" customWidth="1"/>
    <col min="14" max="15" width="17.7109375" customWidth="1"/>
    <col min="16" max="19" width="17.7109375" style="39" customWidth="1"/>
    <col min="20" max="23" width="17.7109375" customWidth="1"/>
    <col min="24" max="29" width="17.7109375" style="2" customWidth="1"/>
    <col min="30" max="30" width="4.7109375" style="43" customWidth="1"/>
    <col min="31" max="31" width="17.7109375" customWidth="1"/>
    <col min="32" max="32" width="17.7109375" style="2" customWidth="1"/>
    <col min="33" max="33" width="17.7109375" style="29" customWidth="1"/>
    <col min="34" max="37" width="17.7109375" style="21" customWidth="1"/>
    <col min="38" max="38" width="8.140625" customWidth="1"/>
    <col min="41" max="41" width="17.7109375" style="26" customWidth="1"/>
    <col min="42" max="43" width="17.7109375" customWidth="1"/>
    <col min="44" max="44" width="17.7109375" style="81" customWidth="1"/>
    <col min="45" max="46" width="17.7109375" customWidth="1"/>
    <col min="47" max="47" width="12.28515625" bestFit="1" customWidth="1"/>
    <col min="49" max="49" width="12.28515625" bestFit="1" customWidth="1"/>
    <col min="52" max="52" width="9.7109375" bestFit="1" customWidth="1"/>
    <col min="60" max="60" width="9.7109375" bestFit="1" customWidth="1"/>
  </cols>
  <sheetData>
    <row r="1" spans="2:63" ht="60.75" customHeight="1" x14ac:dyDescent="0.25">
      <c r="C1" s="99" t="s">
        <v>51</v>
      </c>
      <c r="D1" s="99"/>
      <c r="E1" s="99"/>
      <c r="F1" s="99"/>
      <c r="G1" s="99"/>
      <c r="H1" s="99"/>
      <c r="I1" s="99"/>
      <c r="J1" s="99"/>
      <c r="N1" s="39"/>
      <c r="O1" s="39"/>
      <c r="P1" s="100" t="s">
        <v>27</v>
      </c>
      <c r="Q1" s="100"/>
      <c r="R1" s="101" t="s">
        <v>27</v>
      </c>
      <c r="S1" s="101"/>
      <c r="T1" s="100" t="s">
        <v>27</v>
      </c>
      <c r="U1" s="100"/>
      <c r="V1" s="101" t="s">
        <v>27</v>
      </c>
      <c r="W1" s="101"/>
      <c r="X1" s="100" t="s">
        <v>27</v>
      </c>
      <c r="Y1" s="100"/>
      <c r="Z1" s="101" t="s">
        <v>27</v>
      </c>
      <c r="AA1" s="101"/>
      <c r="AB1" s="100" t="s">
        <v>27</v>
      </c>
      <c r="AC1" s="100"/>
      <c r="AE1" s="2"/>
      <c r="AO1" s="102" t="s">
        <v>58</v>
      </c>
      <c r="AP1" s="102"/>
      <c r="AQ1" s="102"/>
      <c r="AR1" s="102"/>
      <c r="AS1" s="102"/>
      <c r="AT1" s="102"/>
    </row>
    <row r="2" spans="2:63" ht="15" customHeight="1" x14ac:dyDescent="0.25">
      <c r="P2" s="103" t="s">
        <v>3</v>
      </c>
      <c r="Q2" s="104"/>
      <c r="R2" s="103" t="s">
        <v>29</v>
      </c>
      <c r="S2" s="104"/>
      <c r="T2" s="103" t="s">
        <v>26</v>
      </c>
      <c r="U2" s="104"/>
      <c r="V2" s="103" t="s">
        <v>28</v>
      </c>
      <c r="W2" s="104"/>
      <c r="X2" s="103" t="s">
        <v>34</v>
      </c>
      <c r="Y2" s="104"/>
      <c r="Z2" s="103" t="s">
        <v>35</v>
      </c>
      <c r="AA2" s="104"/>
      <c r="AB2" s="103" t="s">
        <v>33</v>
      </c>
      <c r="AC2" s="105"/>
      <c r="AE2" s="83" t="s">
        <v>3</v>
      </c>
      <c r="AF2" s="83" t="s">
        <v>29</v>
      </c>
      <c r="AG2" s="83" t="s">
        <v>26</v>
      </c>
      <c r="AH2" s="83" t="s">
        <v>28</v>
      </c>
      <c r="AI2" s="83" t="s">
        <v>34</v>
      </c>
      <c r="AJ2" s="83" t="s">
        <v>30</v>
      </c>
      <c r="AK2" s="94" t="s">
        <v>33</v>
      </c>
      <c r="AP2" s="82" t="s">
        <v>3</v>
      </c>
      <c r="AQ2" s="89" t="s">
        <v>2</v>
      </c>
      <c r="AS2" s="82" t="s">
        <v>3</v>
      </c>
      <c r="AT2" s="89" t="s">
        <v>2</v>
      </c>
    </row>
    <row r="3" spans="2:63" ht="45" customHeight="1" x14ac:dyDescent="0.25">
      <c r="C3" s="79" t="s">
        <v>56</v>
      </c>
      <c r="D3" s="45" t="s">
        <v>52</v>
      </c>
      <c r="E3" s="45" t="s">
        <v>54</v>
      </c>
      <c r="F3" s="45" t="s">
        <v>53</v>
      </c>
      <c r="G3" s="45" t="s">
        <v>55</v>
      </c>
      <c r="K3" s="39"/>
      <c r="L3" s="39"/>
      <c r="M3" s="106" t="s">
        <v>20</v>
      </c>
      <c r="N3" s="107" t="s">
        <v>50</v>
      </c>
      <c r="O3" s="109" t="s">
        <v>21</v>
      </c>
      <c r="P3" s="24" t="s">
        <v>32</v>
      </c>
      <c r="Q3" s="24" t="s">
        <v>13</v>
      </c>
      <c r="R3" s="41" t="s">
        <v>25</v>
      </c>
      <c r="S3" s="41" t="s">
        <v>24</v>
      </c>
      <c r="T3" s="41" t="s">
        <v>25</v>
      </c>
      <c r="U3" s="41" t="s">
        <v>24</v>
      </c>
      <c r="V3" s="41" t="s">
        <v>25</v>
      </c>
      <c r="W3" s="41" t="s">
        <v>24</v>
      </c>
      <c r="X3" s="41" t="s">
        <v>25</v>
      </c>
      <c r="Y3" s="41" t="s">
        <v>24</v>
      </c>
      <c r="Z3" s="41" t="s">
        <v>25</v>
      </c>
      <c r="AA3" s="41" t="s">
        <v>24</v>
      </c>
      <c r="AB3" s="41" t="s">
        <v>25</v>
      </c>
      <c r="AC3" s="23" t="s">
        <v>24</v>
      </c>
      <c r="AE3" s="83" t="s">
        <v>36</v>
      </c>
      <c r="AF3" s="83" t="s">
        <v>31</v>
      </c>
      <c r="AG3" s="83" t="s">
        <v>31</v>
      </c>
      <c r="AH3" s="83" t="s">
        <v>31</v>
      </c>
      <c r="AI3" s="83" t="s">
        <v>31</v>
      </c>
      <c r="AJ3" s="83" t="s">
        <v>31</v>
      </c>
      <c r="AK3" s="84" t="s">
        <v>31</v>
      </c>
      <c r="AL3" s="1"/>
      <c r="AO3" s="110" t="s">
        <v>21</v>
      </c>
      <c r="AP3" s="82" t="s">
        <v>32</v>
      </c>
      <c r="AQ3" s="82" t="s">
        <v>32</v>
      </c>
      <c r="AR3" s="110" t="s">
        <v>21</v>
      </c>
      <c r="AS3" s="83" t="s">
        <v>13</v>
      </c>
      <c r="AT3" s="84" t="s">
        <v>13</v>
      </c>
    </row>
    <row r="4" spans="2:63" x14ac:dyDescent="0.25">
      <c r="C4" s="77" t="s">
        <v>59</v>
      </c>
      <c r="D4" s="39">
        <v>6</v>
      </c>
      <c r="E4" s="39">
        <v>533</v>
      </c>
      <c r="F4" s="39">
        <v>6</v>
      </c>
      <c r="G4" s="39">
        <v>533</v>
      </c>
      <c r="M4" s="106"/>
      <c r="N4" s="108"/>
      <c r="O4" s="108"/>
      <c r="P4" s="40" t="s">
        <v>22</v>
      </c>
      <c r="Q4" s="80" t="s">
        <v>23</v>
      </c>
      <c r="R4" s="40" t="s">
        <v>22</v>
      </c>
      <c r="S4" s="40" t="s">
        <v>23</v>
      </c>
      <c r="T4" s="40" t="s">
        <v>22</v>
      </c>
      <c r="U4" s="40" t="s">
        <v>23</v>
      </c>
      <c r="V4" s="40" t="s">
        <v>22</v>
      </c>
      <c r="W4" s="40" t="s">
        <v>23</v>
      </c>
      <c r="X4" s="40" t="s">
        <v>22</v>
      </c>
      <c r="Y4" s="40" t="s">
        <v>23</v>
      </c>
      <c r="Z4" s="40" t="s">
        <v>22</v>
      </c>
      <c r="AA4" s="40" t="s">
        <v>23</v>
      </c>
      <c r="AB4" s="40" t="s">
        <v>22</v>
      </c>
      <c r="AC4" s="40" t="s">
        <v>23</v>
      </c>
      <c r="AE4" s="95" t="s">
        <v>23</v>
      </c>
      <c r="AF4" s="95" t="s">
        <v>23</v>
      </c>
      <c r="AG4" s="95" t="s">
        <v>0</v>
      </c>
      <c r="AH4" s="95" t="s">
        <v>0</v>
      </c>
      <c r="AI4" s="96" t="s">
        <v>0</v>
      </c>
      <c r="AJ4" s="95" t="s">
        <v>0</v>
      </c>
      <c r="AK4" s="95" t="s">
        <v>0</v>
      </c>
      <c r="AL4" s="1"/>
      <c r="AO4" s="111"/>
      <c r="AP4" s="85" t="s">
        <v>22</v>
      </c>
      <c r="AQ4" s="85" t="s">
        <v>22</v>
      </c>
      <c r="AR4" s="111"/>
      <c r="AS4" s="85" t="s">
        <v>23</v>
      </c>
      <c r="AT4" s="85" t="s">
        <v>23</v>
      </c>
    </row>
    <row r="5" spans="2:63" ht="15.75" thickBot="1" x14ac:dyDescent="0.3">
      <c r="K5" s="16"/>
      <c r="L5" s="16"/>
      <c r="M5" s="42">
        <v>1</v>
      </c>
      <c r="N5" s="3" t="s">
        <v>61</v>
      </c>
      <c r="O5" s="49">
        <f>IF(ISTEXT(N5),IF(MID(N5,11,2)="24",1+DATEVALUE(LEFT(N5,10))+TIMEVALUE(CONCATENATE(MID(N5,11,2),":",MID(N5,13,2))),DATEVALUE(LEFT(N5,10))+TIMEVALUE(CONCATENATE(MID(N5,11,2),":",MID(N5,13,2)))),"")</f>
        <v>37931.5</v>
      </c>
      <c r="P5" s="42"/>
      <c r="Q5" s="42"/>
      <c r="R5" s="42"/>
      <c r="S5" s="42"/>
      <c r="T5" s="28"/>
      <c r="U5" s="28"/>
      <c r="V5" s="2"/>
      <c r="W5" s="3"/>
      <c r="X5" s="27"/>
      <c r="Y5" s="3"/>
      <c r="Z5" s="3"/>
      <c r="AA5" s="3"/>
      <c r="AB5" s="3"/>
      <c r="AE5" s="42">
        <f>Q5</f>
        <v>0</v>
      </c>
      <c r="AF5" s="42">
        <f>S5</f>
        <v>0</v>
      </c>
      <c r="AG5" s="46">
        <f>U5</f>
        <v>0</v>
      </c>
      <c r="AH5" s="46">
        <f>W5</f>
        <v>0</v>
      </c>
      <c r="AI5" s="46">
        <f>Y5</f>
        <v>0</v>
      </c>
      <c r="AJ5" s="46">
        <f>AA5</f>
        <v>0</v>
      </c>
      <c r="AK5" s="46">
        <f>AC5</f>
        <v>0</v>
      </c>
      <c r="AO5" s="86" cm="1">
        <f t="array" aca="1" ref="AO5:AO532" ca="1">Time_El</f>
        <v>37931.541666666664</v>
      </c>
      <c r="AP5" s="87" cm="1">
        <f t="array" aca="1" ref="AP5:AP532" ca="1">Obs_El</f>
        <v>1532.35</v>
      </c>
      <c r="AQ5" s="87" cm="1">
        <f t="array" aca="1" ref="AQ5:AQ532" ca="1">Mod_El</f>
        <v>1531.34</v>
      </c>
      <c r="AR5" s="88" cm="1">
        <f t="array" aca="1" ref="AR5:AR532" ca="1">Time_flow</f>
        <v>37931.541666666664</v>
      </c>
      <c r="AS5" s="87" cm="1">
        <f t="array" aca="1" ref="AS5:AS532" ca="1">Obs_Flow</f>
        <v>1010</v>
      </c>
      <c r="AT5" s="87" cm="1">
        <f t="array" aca="1" ref="AT5:AT532" ca="1">Mod_Flow</f>
        <v>627.71</v>
      </c>
      <c r="BH5" s="90"/>
      <c r="BI5" s="90"/>
      <c r="BJ5" s="90"/>
      <c r="BK5" s="90"/>
    </row>
    <row r="6" spans="2:63" x14ac:dyDescent="0.25">
      <c r="B6" s="63"/>
      <c r="C6" s="64"/>
      <c r="D6" s="50"/>
      <c r="E6" s="50"/>
      <c r="F6" s="50"/>
      <c r="G6" s="50"/>
      <c r="H6" s="50"/>
      <c r="I6" s="50"/>
      <c r="J6" s="50"/>
      <c r="K6" s="51"/>
      <c r="M6" s="42">
        <v>2</v>
      </c>
      <c r="N6" s="3" t="s">
        <v>62</v>
      </c>
      <c r="O6" s="49">
        <f t="shared" ref="O6:O69" si="0">IF(ISTEXT(N6),IF(MID(N6,11,2)="24",1+DATEVALUE(LEFT(N6,10))+TIMEVALUE(CONCATENATE(MID(N6,11,2),":",MID(N6,13,2))),DATEVALUE(LEFT(N6,10))+TIMEVALUE(CONCATENATE(MID(N6,11,2),":",MID(N6,13,2)))),"")</f>
        <v>37931.541666666664</v>
      </c>
      <c r="P6" s="42">
        <v>1532.35</v>
      </c>
      <c r="Q6" s="42">
        <v>1010</v>
      </c>
      <c r="R6" s="42">
        <v>1531.34</v>
      </c>
      <c r="S6" s="42">
        <v>627.71</v>
      </c>
      <c r="T6" s="42"/>
      <c r="U6" s="42"/>
      <c r="V6" s="3"/>
      <c r="W6" s="3"/>
      <c r="X6" s="3"/>
      <c r="Y6" s="3"/>
      <c r="Z6" s="3"/>
      <c r="AA6" s="3"/>
      <c r="AB6" s="3"/>
      <c r="AE6" s="42">
        <f>IF(ISNUMBER(Q6),AE5+Q6,"")</f>
        <v>1010</v>
      </c>
      <c r="AF6" s="42">
        <f>IF(ISNUMBER(S6),AF5+S6,"")</f>
        <v>627.71</v>
      </c>
      <c r="AG6" s="42" t="str">
        <f>IF(ISNUMBER(U6),AG5+U6,"")</f>
        <v/>
      </c>
      <c r="AH6" s="42" t="str">
        <f>IF(ISNUMBER(W6),AH5+W6,"")</f>
        <v/>
      </c>
      <c r="AI6" s="42" t="str">
        <f>IF(ISNUMBER(Y6),AI5+Y6,"")</f>
        <v/>
      </c>
      <c r="AJ6" s="42" t="str">
        <f>IF(ISNUMBER(AA6),AJ5+AA6,"")</f>
        <v/>
      </c>
      <c r="AK6" s="42" t="str">
        <f>IF(ISNUMBER(AC6),AK5+AC6,"")</f>
        <v/>
      </c>
      <c r="AO6" s="86">
        <f ca="1"/>
        <v>37931.583333333336</v>
      </c>
      <c r="AP6" s="87">
        <f ca="1"/>
        <v>1532.37</v>
      </c>
      <c r="AQ6" s="87">
        <f ca="1"/>
        <v>1531.33</v>
      </c>
      <c r="AR6" s="88">
        <f ca="1"/>
        <v>37931.583333333336</v>
      </c>
      <c r="AS6" s="87">
        <f ca="1"/>
        <v>1020</v>
      </c>
      <c r="AT6" s="87">
        <f ca="1"/>
        <v>626.36</v>
      </c>
    </row>
    <row r="7" spans="2:63" ht="15" customHeight="1" thickBot="1" x14ac:dyDescent="0.35">
      <c r="B7" s="56"/>
      <c r="C7" s="57" t="s">
        <v>1</v>
      </c>
      <c r="K7" s="52" t="s">
        <v>42</v>
      </c>
      <c r="L7" s="57"/>
      <c r="M7" s="42">
        <v>3</v>
      </c>
      <c r="N7" s="3" t="s">
        <v>63</v>
      </c>
      <c r="O7" s="49">
        <f t="shared" si="0"/>
        <v>37931.583333333336</v>
      </c>
      <c r="P7" s="42">
        <v>1532.37</v>
      </c>
      <c r="Q7" s="42">
        <v>1020</v>
      </c>
      <c r="R7" s="42">
        <v>1531.33</v>
      </c>
      <c r="S7" s="42">
        <v>626.36</v>
      </c>
      <c r="T7" s="45"/>
      <c r="U7" s="45"/>
      <c r="V7" s="44"/>
      <c r="W7" s="44"/>
      <c r="X7" s="44"/>
      <c r="Y7" s="44"/>
      <c r="Z7" s="44"/>
      <c r="AA7" s="44"/>
      <c r="AB7" s="44"/>
      <c r="AE7" s="42">
        <f t="shared" ref="AE7:AE70" si="1">IF(ISNUMBER(Q7),AE6+Q7,"")</f>
        <v>2030</v>
      </c>
      <c r="AF7" s="42">
        <f t="shared" ref="AF7:AF70" si="2">IF(ISNUMBER(S7),AF6+S7,"")</f>
        <v>1254.0700000000002</v>
      </c>
      <c r="AG7" s="42" t="str">
        <f t="shared" ref="AG7:AG70" si="3">IF(ISNUMBER(U7),AG6+U7,"")</f>
        <v/>
      </c>
      <c r="AH7" s="42" t="str">
        <f t="shared" ref="AH7:AH70" si="4">IF(ISNUMBER(W7),AH6+W7,"")</f>
        <v/>
      </c>
      <c r="AI7" s="42" t="str">
        <f t="shared" ref="AI7:AI70" si="5">IF(ISNUMBER(Y7),AI6+Y7,"")</f>
        <v/>
      </c>
      <c r="AJ7" s="42" t="str">
        <f t="shared" ref="AJ7:AJ70" si="6">IF(ISNUMBER(AA7),AJ6+AA7,"")</f>
        <v/>
      </c>
      <c r="AK7" s="42" t="str">
        <f t="shared" ref="AK7:AK70" si="7">IF(ISNUMBER(AC7),AK6+AC7,"")</f>
        <v/>
      </c>
      <c r="AO7" s="86">
        <f ca="1"/>
        <v>37931.625</v>
      </c>
      <c r="AP7" s="87">
        <f ca="1"/>
        <v>1532.38</v>
      </c>
      <c r="AQ7" s="87">
        <f ca="1"/>
        <v>1531.34</v>
      </c>
      <c r="AR7" s="88">
        <f ca="1"/>
        <v>37931.625</v>
      </c>
      <c r="AS7" s="87">
        <f ca="1"/>
        <v>1020</v>
      </c>
      <c r="AT7" s="87">
        <f ca="1"/>
        <v>628.32000000000005</v>
      </c>
    </row>
    <row r="8" spans="2:63" x14ac:dyDescent="0.25">
      <c r="B8" s="56"/>
      <c r="C8" s="5"/>
      <c r="D8" s="6"/>
      <c r="E8" s="6"/>
      <c r="F8" s="6"/>
      <c r="G8" s="7"/>
      <c r="H8" s="9"/>
      <c r="K8" s="53"/>
      <c r="M8" s="42">
        <v>4</v>
      </c>
      <c r="N8" s="3" t="s">
        <v>64</v>
      </c>
      <c r="O8" s="49">
        <f t="shared" si="0"/>
        <v>37931.625</v>
      </c>
      <c r="P8" s="42">
        <v>1532.38</v>
      </c>
      <c r="Q8" s="42">
        <v>1020</v>
      </c>
      <c r="R8" s="42">
        <v>1531.34</v>
      </c>
      <c r="S8" s="42">
        <v>628.32000000000005</v>
      </c>
      <c r="T8" s="42"/>
      <c r="U8" s="42"/>
      <c r="V8" s="3"/>
      <c r="W8" s="3"/>
      <c r="X8" s="3"/>
      <c r="Y8" s="3"/>
      <c r="Z8" s="3"/>
      <c r="AA8" s="3"/>
      <c r="AB8" s="3"/>
      <c r="AE8" s="42">
        <f t="shared" si="1"/>
        <v>3050</v>
      </c>
      <c r="AF8" s="42">
        <f t="shared" si="2"/>
        <v>1882.3900000000003</v>
      </c>
      <c r="AG8" s="42" t="str">
        <f t="shared" si="3"/>
        <v/>
      </c>
      <c r="AH8" s="42" t="str">
        <f t="shared" si="4"/>
        <v/>
      </c>
      <c r="AI8" s="42" t="str">
        <f t="shared" si="5"/>
        <v/>
      </c>
      <c r="AJ8" s="42" t="str">
        <f t="shared" si="6"/>
        <v/>
      </c>
      <c r="AK8" s="42" t="str">
        <f t="shared" si="7"/>
        <v/>
      </c>
      <c r="AO8" s="86">
        <f ca="1"/>
        <v>37931.666666666664</v>
      </c>
      <c r="AP8" s="87">
        <f ca="1"/>
        <v>1532.41</v>
      </c>
      <c r="AQ8" s="87">
        <f ca="1"/>
        <v>1531.4</v>
      </c>
      <c r="AR8" s="88">
        <f ca="1"/>
        <v>37931.666666666664</v>
      </c>
      <c r="AS8" s="87">
        <f ca="1"/>
        <v>1040</v>
      </c>
      <c r="AT8" s="87">
        <f ca="1"/>
        <v>659.51</v>
      </c>
    </row>
    <row r="9" spans="2:63" x14ac:dyDescent="0.25">
      <c r="B9" s="56"/>
      <c r="C9" s="8"/>
      <c r="D9" s="9"/>
      <c r="E9" s="9"/>
      <c r="F9" s="10" t="s">
        <v>2</v>
      </c>
      <c r="G9" s="65" t="s">
        <v>3</v>
      </c>
      <c r="H9" s="9"/>
      <c r="K9" s="53"/>
      <c r="M9" s="42">
        <v>5</v>
      </c>
      <c r="N9" s="3" t="s">
        <v>65</v>
      </c>
      <c r="O9" s="49">
        <f t="shared" si="0"/>
        <v>37931.666666666664</v>
      </c>
      <c r="P9" s="42">
        <v>1532.41</v>
      </c>
      <c r="Q9" s="42">
        <v>1040</v>
      </c>
      <c r="R9" s="42">
        <v>1531.4</v>
      </c>
      <c r="S9" s="42">
        <v>659.51</v>
      </c>
      <c r="T9" s="42"/>
      <c r="U9" s="42"/>
      <c r="V9" s="3"/>
      <c r="W9" s="3"/>
      <c r="X9" s="3"/>
      <c r="Y9" s="3"/>
      <c r="Z9" s="3"/>
      <c r="AA9" s="3"/>
      <c r="AB9" s="3"/>
      <c r="AE9" s="42">
        <f t="shared" si="1"/>
        <v>4090</v>
      </c>
      <c r="AF9" s="42">
        <f t="shared" si="2"/>
        <v>2541.9000000000005</v>
      </c>
      <c r="AG9" s="42" t="str">
        <f t="shared" si="3"/>
        <v/>
      </c>
      <c r="AH9" s="42" t="str">
        <f t="shared" si="4"/>
        <v/>
      </c>
      <c r="AI9" s="42" t="str">
        <f t="shared" si="5"/>
        <v/>
      </c>
      <c r="AJ9" s="42" t="str">
        <f t="shared" si="6"/>
        <v/>
      </c>
      <c r="AK9" s="42" t="str">
        <f t="shared" si="7"/>
        <v/>
      </c>
      <c r="AO9" s="86">
        <f ca="1"/>
        <v>37931.708333333336</v>
      </c>
      <c r="AP9" s="87">
        <f ca="1"/>
        <v>1532.43</v>
      </c>
      <c r="AQ9" s="87">
        <f ca="1"/>
        <v>1531.49</v>
      </c>
      <c r="AR9" s="88">
        <f ca="1"/>
        <v>37931.708333333336</v>
      </c>
      <c r="AS9" s="87">
        <f ca="1"/>
        <v>1050</v>
      </c>
      <c r="AT9" s="87">
        <f ca="1"/>
        <v>702.32</v>
      </c>
    </row>
    <row r="10" spans="2:63" x14ac:dyDescent="0.25">
      <c r="B10" s="56"/>
      <c r="C10" s="8"/>
      <c r="E10" s="12" t="s">
        <v>37</v>
      </c>
      <c r="F10" s="11">
        <f>MAX(S5:S2000)</f>
        <v>21086.49</v>
      </c>
      <c r="G10" s="66">
        <f>MAX(Q5:Q2000)</f>
        <v>18600</v>
      </c>
      <c r="H10" s="9"/>
      <c r="K10" s="53"/>
      <c r="M10" s="42">
        <v>6</v>
      </c>
      <c r="N10" s="3" t="s">
        <v>66</v>
      </c>
      <c r="O10" s="49">
        <f t="shared" si="0"/>
        <v>37931.708333333336</v>
      </c>
      <c r="P10" s="42">
        <v>1532.43</v>
      </c>
      <c r="Q10" s="42">
        <v>1050</v>
      </c>
      <c r="R10" s="42">
        <v>1531.49</v>
      </c>
      <c r="S10" s="42">
        <v>702.32</v>
      </c>
      <c r="T10" s="42"/>
      <c r="U10" s="42"/>
      <c r="V10" s="3"/>
      <c r="W10" s="3"/>
      <c r="X10" s="3"/>
      <c r="Y10" s="3"/>
      <c r="Z10" s="3"/>
      <c r="AA10" s="3"/>
      <c r="AB10" s="3"/>
      <c r="AE10" s="42">
        <f t="shared" si="1"/>
        <v>5140</v>
      </c>
      <c r="AF10" s="42">
        <f t="shared" si="2"/>
        <v>3244.2200000000007</v>
      </c>
      <c r="AG10" s="42" t="str">
        <f t="shared" si="3"/>
        <v/>
      </c>
      <c r="AH10" s="42" t="str">
        <f t="shared" si="4"/>
        <v/>
      </c>
      <c r="AI10" s="42" t="str">
        <f t="shared" si="5"/>
        <v/>
      </c>
      <c r="AJ10" s="42" t="str">
        <f t="shared" si="6"/>
        <v/>
      </c>
      <c r="AK10" s="42" t="str">
        <f t="shared" si="7"/>
        <v/>
      </c>
      <c r="AO10" s="86">
        <f ca="1"/>
        <v>37931.75</v>
      </c>
      <c r="AP10" s="87">
        <f ca="1"/>
        <v>1532.47</v>
      </c>
      <c r="AQ10" s="87">
        <f ca="1"/>
        <v>1531.58</v>
      </c>
      <c r="AR10" s="88">
        <f ca="1"/>
        <v>37931.75</v>
      </c>
      <c r="AS10" s="87">
        <f ca="1"/>
        <v>1070</v>
      </c>
      <c r="AT10" s="87">
        <f ca="1"/>
        <v>749.68</v>
      </c>
    </row>
    <row r="11" spans="2:63" x14ac:dyDescent="0.25">
      <c r="B11" s="56"/>
      <c r="C11" s="8"/>
      <c r="D11" s="10"/>
      <c r="E11" s="12" t="s">
        <v>38</v>
      </c>
      <c r="F11" s="54">
        <f>F10-G10</f>
        <v>2486.4900000000016</v>
      </c>
      <c r="G11" s="53"/>
      <c r="H11" s="9"/>
      <c r="K11" s="53"/>
      <c r="M11" s="42">
        <v>7</v>
      </c>
      <c r="N11" s="3" t="s">
        <v>67</v>
      </c>
      <c r="O11" s="49">
        <f t="shared" si="0"/>
        <v>37931.75</v>
      </c>
      <c r="P11" s="42">
        <v>1532.47</v>
      </c>
      <c r="Q11" s="42">
        <v>1070</v>
      </c>
      <c r="R11" s="42">
        <v>1531.58</v>
      </c>
      <c r="S11" s="42">
        <v>749.68</v>
      </c>
      <c r="T11" s="42"/>
      <c r="U11" s="42"/>
      <c r="V11" s="3"/>
      <c r="W11" s="3"/>
      <c r="X11" s="3"/>
      <c r="Y11" s="3"/>
      <c r="Z11" s="3"/>
      <c r="AA11" s="3"/>
      <c r="AB11" s="3"/>
      <c r="AE11" s="42">
        <f t="shared" si="1"/>
        <v>6210</v>
      </c>
      <c r="AF11" s="42">
        <f t="shared" si="2"/>
        <v>3993.9000000000005</v>
      </c>
      <c r="AG11" s="42" t="str">
        <f t="shared" si="3"/>
        <v/>
      </c>
      <c r="AH11" s="42" t="str">
        <f t="shared" si="4"/>
        <v/>
      </c>
      <c r="AI11" s="42" t="str">
        <f t="shared" si="5"/>
        <v/>
      </c>
      <c r="AJ11" s="42" t="str">
        <f t="shared" si="6"/>
        <v/>
      </c>
      <c r="AK11" s="42" t="str">
        <f t="shared" si="7"/>
        <v/>
      </c>
      <c r="AO11" s="86">
        <f ca="1"/>
        <v>37931.791666666664</v>
      </c>
      <c r="AP11" s="87">
        <f ca="1"/>
        <v>1532.58</v>
      </c>
      <c r="AQ11" s="87">
        <f ca="1"/>
        <v>1531.64</v>
      </c>
      <c r="AR11" s="88">
        <f ca="1"/>
        <v>37931.791666666664</v>
      </c>
      <c r="AS11" s="87">
        <f ca="1"/>
        <v>1140</v>
      </c>
      <c r="AT11" s="87">
        <f ca="1"/>
        <v>783.65</v>
      </c>
    </row>
    <row r="12" spans="2:63" x14ac:dyDescent="0.25">
      <c r="B12" s="56"/>
      <c r="C12" s="8"/>
      <c r="D12" s="55"/>
      <c r="E12" s="12" t="s">
        <v>39</v>
      </c>
      <c r="F12" s="54">
        <f>(F11/G10)*100</f>
        <v>13.368225806451623</v>
      </c>
      <c r="G12" s="53"/>
      <c r="H12" s="9"/>
      <c r="K12" s="53"/>
      <c r="M12" s="42">
        <v>8</v>
      </c>
      <c r="N12" s="3" t="s">
        <v>68</v>
      </c>
      <c r="O12" s="49">
        <f t="shared" si="0"/>
        <v>37931.791666666664</v>
      </c>
      <c r="P12" s="42">
        <v>1532.58</v>
      </c>
      <c r="Q12" s="42">
        <v>1140</v>
      </c>
      <c r="R12" s="42">
        <v>1531.64</v>
      </c>
      <c r="S12" s="42">
        <v>783.65</v>
      </c>
      <c r="T12" s="42"/>
      <c r="U12" s="42"/>
      <c r="V12" s="3"/>
      <c r="W12" s="3"/>
      <c r="X12" s="3"/>
      <c r="Y12" s="3"/>
      <c r="Z12" s="3"/>
      <c r="AA12" s="3"/>
      <c r="AB12" s="3"/>
      <c r="AE12" s="42">
        <f t="shared" si="1"/>
        <v>7350</v>
      </c>
      <c r="AF12" s="42">
        <f t="shared" si="2"/>
        <v>4777.55</v>
      </c>
      <c r="AG12" s="42" t="str">
        <f t="shared" si="3"/>
        <v/>
      </c>
      <c r="AH12" s="42" t="str">
        <f t="shared" si="4"/>
        <v/>
      </c>
      <c r="AI12" s="42" t="str">
        <f t="shared" si="5"/>
        <v/>
      </c>
      <c r="AJ12" s="42" t="str">
        <f t="shared" si="6"/>
        <v/>
      </c>
      <c r="AK12" s="42" t="str">
        <f t="shared" si="7"/>
        <v/>
      </c>
      <c r="AO12" s="86">
        <f ca="1"/>
        <v>37931.833333333336</v>
      </c>
      <c r="AP12" s="87">
        <f ca="1"/>
        <v>1532.72</v>
      </c>
      <c r="AQ12" s="87">
        <f ca="1"/>
        <v>1531.67</v>
      </c>
      <c r="AR12" s="88">
        <f ca="1"/>
        <v>37931.833333333336</v>
      </c>
      <c r="AS12" s="87">
        <f ca="1"/>
        <v>1220</v>
      </c>
      <c r="AT12" s="87">
        <f ca="1"/>
        <v>802.7</v>
      </c>
    </row>
    <row r="13" spans="2:63" ht="15.75" thickBot="1" x14ac:dyDescent="0.3">
      <c r="B13" s="56"/>
      <c r="C13" s="13"/>
      <c r="D13" s="14"/>
      <c r="E13" s="14"/>
      <c r="F13" s="14"/>
      <c r="G13" s="15"/>
      <c r="H13" s="9"/>
      <c r="K13" s="53"/>
      <c r="M13" s="42">
        <v>9</v>
      </c>
      <c r="N13" s="3" t="s">
        <v>69</v>
      </c>
      <c r="O13" s="49">
        <f t="shared" si="0"/>
        <v>37931.833333333336</v>
      </c>
      <c r="P13" s="42">
        <v>1532.72</v>
      </c>
      <c r="Q13" s="42">
        <v>1220</v>
      </c>
      <c r="R13" s="42">
        <v>1531.67</v>
      </c>
      <c r="S13" s="42">
        <v>802.7</v>
      </c>
      <c r="T13" s="42"/>
      <c r="U13" s="42"/>
      <c r="V13" s="3"/>
      <c r="W13" s="3"/>
      <c r="X13" s="3"/>
      <c r="Y13" s="3"/>
      <c r="Z13" s="3"/>
      <c r="AA13" s="3"/>
      <c r="AB13" s="3"/>
      <c r="AE13" s="42">
        <f t="shared" si="1"/>
        <v>8570</v>
      </c>
      <c r="AF13" s="42">
        <f t="shared" si="2"/>
        <v>5580.25</v>
      </c>
      <c r="AG13" s="42" t="str">
        <f t="shared" si="3"/>
        <v/>
      </c>
      <c r="AH13" s="42" t="str">
        <f t="shared" si="4"/>
        <v/>
      </c>
      <c r="AI13" s="42" t="str">
        <f t="shared" si="5"/>
        <v/>
      </c>
      <c r="AJ13" s="42" t="str">
        <f t="shared" si="6"/>
        <v/>
      </c>
      <c r="AK13" s="42" t="str">
        <f t="shared" si="7"/>
        <v/>
      </c>
      <c r="AO13" s="86">
        <f ca="1"/>
        <v>37931.875</v>
      </c>
      <c r="AP13" s="87">
        <f ca="1"/>
        <v>1532.87</v>
      </c>
      <c r="AQ13" s="87">
        <f ca="1"/>
        <v>1531.69</v>
      </c>
      <c r="AR13" s="88">
        <f ca="1"/>
        <v>37931.875</v>
      </c>
      <c r="AS13" s="87">
        <f ca="1"/>
        <v>1310</v>
      </c>
      <c r="AT13" s="87">
        <f ca="1"/>
        <v>813.05</v>
      </c>
    </row>
    <row r="14" spans="2:63" x14ac:dyDescent="0.25">
      <c r="B14" s="56"/>
      <c r="K14" s="53"/>
      <c r="M14" s="42">
        <v>10</v>
      </c>
      <c r="N14" s="3" t="s">
        <v>70</v>
      </c>
      <c r="O14" s="49">
        <f t="shared" si="0"/>
        <v>37931.875</v>
      </c>
      <c r="P14" s="42">
        <v>1532.87</v>
      </c>
      <c r="Q14" s="42">
        <v>1310</v>
      </c>
      <c r="R14" s="42">
        <v>1531.69</v>
      </c>
      <c r="S14" s="42">
        <v>813.05</v>
      </c>
      <c r="T14" s="42"/>
      <c r="U14" s="42"/>
      <c r="V14" s="3"/>
      <c r="W14" s="3"/>
      <c r="X14" s="3"/>
      <c r="Y14" s="3"/>
      <c r="Z14" s="3"/>
      <c r="AA14" s="3"/>
      <c r="AB14" s="3"/>
      <c r="AE14" s="42">
        <f t="shared" si="1"/>
        <v>9880</v>
      </c>
      <c r="AF14" s="42">
        <f t="shared" si="2"/>
        <v>6393.3</v>
      </c>
      <c r="AG14" s="42" t="str">
        <f t="shared" si="3"/>
        <v/>
      </c>
      <c r="AH14" s="42" t="str">
        <f t="shared" si="4"/>
        <v/>
      </c>
      <c r="AI14" s="42" t="str">
        <f t="shared" si="5"/>
        <v/>
      </c>
      <c r="AJ14" s="42" t="str">
        <f t="shared" si="6"/>
        <v/>
      </c>
      <c r="AK14" s="42" t="str">
        <f t="shared" si="7"/>
        <v/>
      </c>
      <c r="AO14" s="86">
        <f ca="1"/>
        <v>37931.916666666664</v>
      </c>
      <c r="AP14" s="87">
        <f ca="1"/>
        <v>1532.98</v>
      </c>
      <c r="AQ14" s="87">
        <f ca="1"/>
        <v>1531.71</v>
      </c>
      <c r="AR14" s="88">
        <f ca="1"/>
        <v>37931.916666666664</v>
      </c>
      <c r="AS14" s="87">
        <f ca="1"/>
        <v>1390</v>
      </c>
      <c r="AT14" s="87">
        <f ca="1"/>
        <v>824.14</v>
      </c>
    </row>
    <row r="15" spans="2:63" x14ac:dyDescent="0.25">
      <c r="B15" s="56"/>
      <c r="K15" s="53"/>
      <c r="M15" s="42">
        <v>11</v>
      </c>
      <c r="N15" s="3" t="s">
        <v>71</v>
      </c>
      <c r="O15" s="49">
        <f t="shared" si="0"/>
        <v>37931.916666666664</v>
      </c>
      <c r="P15" s="42">
        <v>1532.98</v>
      </c>
      <c r="Q15" s="42">
        <v>1390</v>
      </c>
      <c r="R15" s="42">
        <v>1531.71</v>
      </c>
      <c r="S15" s="42">
        <v>824.14</v>
      </c>
      <c r="T15" s="42"/>
      <c r="U15" s="42"/>
      <c r="V15" s="3"/>
      <c r="W15" s="3"/>
      <c r="X15" s="3"/>
      <c r="Y15" s="3"/>
      <c r="Z15" s="3"/>
      <c r="AA15" s="3"/>
      <c r="AB15" s="3"/>
      <c r="AE15" s="42">
        <f t="shared" si="1"/>
        <v>11270</v>
      </c>
      <c r="AF15" s="42">
        <f t="shared" si="2"/>
        <v>7217.4400000000005</v>
      </c>
      <c r="AG15" s="42" t="str">
        <f t="shared" si="3"/>
        <v/>
      </c>
      <c r="AH15" s="42" t="str">
        <f t="shared" si="4"/>
        <v/>
      </c>
      <c r="AI15" s="42" t="str">
        <f t="shared" si="5"/>
        <v/>
      </c>
      <c r="AJ15" s="42" t="str">
        <f t="shared" si="6"/>
        <v/>
      </c>
      <c r="AK15" s="42" t="str">
        <f t="shared" si="7"/>
        <v/>
      </c>
      <c r="AO15" s="86">
        <f ca="1"/>
        <v>37931.958333333336</v>
      </c>
      <c r="AP15" s="87">
        <f ca="1"/>
        <v>1533.02</v>
      </c>
      <c r="AQ15" s="87">
        <f ca="1"/>
        <v>1531.74</v>
      </c>
      <c r="AR15" s="88">
        <f ca="1"/>
        <v>37931.958333333336</v>
      </c>
      <c r="AS15" s="87">
        <f ca="1"/>
        <v>1410</v>
      </c>
      <c r="AT15" s="87">
        <f ca="1"/>
        <v>837.05</v>
      </c>
    </row>
    <row r="16" spans="2:63" ht="15" customHeight="1" thickBot="1" x14ac:dyDescent="0.35">
      <c r="B16" s="56"/>
      <c r="C16" s="57" t="s">
        <v>4</v>
      </c>
      <c r="K16" s="53"/>
      <c r="M16" s="42">
        <v>12</v>
      </c>
      <c r="N16" s="3" t="s">
        <v>72</v>
      </c>
      <c r="O16" s="49">
        <f t="shared" si="0"/>
        <v>37931.958333333336</v>
      </c>
      <c r="P16" s="42">
        <v>1533.02</v>
      </c>
      <c r="Q16" s="42">
        <v>1410</v>
      </c>
      <c r="R16" s="42">
        <v>1531.74</v>
      </c>
      <c r="S16" s="42">
        <v>837.05</v>
      </c>
      <c r="T16" s="42"/>
      <c r="U16" s="42"/>
      <c r="V16" s="3"/>
      <c r="W16" s="3"/>
      <c r="X16" s="3"/>
      <c r="Y16" s="3"/>
      <c r="Z16" s="3"/>
      <c r="AA16" s="3"/>
      <c r="AB16" s="3"/>
      <c r="AE16" s="42">
        <f t="shared" si="1"/>
        <v>12680</v>
      </c>
      <c r="AF16" s="42">
        <f t="shared" si="2"/>
        <v>8054.4900000000007</v>
      </c>
      <c r="AG16" s="42" t="str">
        <f t="shared" si="3"/>
        <v/>
      </c>
      <c r="AH16" s="42" t="str">
        <f t="shared" si="4"/>
        <v/>
      </c>
      <c r="AI16" s="42" t="str">
        <f t="shared" si="5"/>
        <v/>
      </c>
      <c r="AJ16" s="42" t="str">
        <f t="shared" si="6"/>
        <v/>
      </c>
      <c r="AK16" s="42" t="str">
        <f t="shared" si="7"/>
        <v/>
      </c>
      <c r="AO16" s="86">
        <f ca="1"/>
        <v>37932</v>
      </c>
      <c r="AP16" s="87">
        <f ca="1"/>
        <v>1533.05</v>
      </c>
      <c r="AQ16" s="87">
        <f ca="1"/>
        <v>1531.76</v>
      </c>
      <c r="AR16" s="88">
        <f ca="1"/>
        <v>37932</v>
      </c>
      <c r="AS16" s="87">
        <f ca="1"/>
        <v>1430</v>
      </c>
      <c r="AT16" s="87">
        <f ca="1"/>
        <v>852.7</v>
      </c>
    </row>
    <row r="17" spans="2:46" x14ac:dyDescent="0.25">
      <c r="B17" s="56"/>
      <c r="C17" s="5"/>
      <c r="D17" s="6"/>
      <c r="E17" s="6"/>
      <c r="F17" s="6"/>
      <c r="G17" s="7"/>
      <c r="H17" s="9"/>
      <c r="K17" s="53"/>
      <c r="M17" s="42">
        <v>13</v>
      </c>
      <c r="N17" s="3" t="s">
        <v>73</v>
      </c>
      <c r="O17" s="49">
        <f t="shared" si="0"/>
        <v>37932</v>
      </c>
      <c r="P17" s="42">
        <v>1533.05</v>
      </c>
      <c r="Q17" s="42">
        <v>1430</v>
      </c>
      <c r="R17" s="42">
        <v>1531.76</v>
      </c>
      <c r="S17" s="42">
        <v>852.7</v>
      </c>
      <c r="T17" s="42"/>
      <c r="U17" s="42"/>
      <c r="V17" s="3"/>
      <c r="W17" s="3"/>
      <c r="X17" s="3"/>
      <c r="Y17" s="3"/>
      <c r="Z17" s="3"/>
      <c r="AA17" s="3"/>
      <c r="AB17" s="3"/>
      <c r="AE17" s="42">
        <f t="shared" si="1"/>
        <v>14110</v>
      </c>
      <c r="AF17" s="42">
        <f t="shared" si="2"/>
        <v>8907.19</v>
      </c>
      <c r="AG17" s="42" t="str">
        <f t="shared" si="3"/>
        <v/>
      </c>
      <c r="AH17" s="42" t="str">
        <f t="shared" si="4"/>
        <v/>
      </c>
      <c r="AI17" s="42" t="str">
        <f t="shared" si="5"/>
        <v/>
      </c>
      <c r="AJ17" s="42" t="str">
        <f t="shared" si="6"/>
        <v/>
      </c>
      <c r="AK17" s="42" t="str">
        <f t="shared" si="7"/>
        <v/>
      </c>
      <c r="AO17" s="86">
        <f ca="1"/>
        <v>37932.041666666664</v>
      </c>
      <c r="AP17" s="87">
        <f ca="1"/>
        <v>1533.09</v>
      </c>
      <c r="AQ17" s="87">
        <f ca="1"/>
        <v>1531.81</v>
      </c>
      <c r="AR17" s="88">
        <f ca="1"/>
        <v>37932.041666666664</v>
      </c>
      <c r="AS17" s="87">
        <f ca="1"/>
        <v>1460</v>
      </c>
      <c r="AT17" s="87">
        <f ca="1"/>
        <v>877.28</v>
      </c>
    </row>
    <row r="18" spans="2:46" x14ac:dyDescent="0.25">
      <c r="B18" s="56"/>
      <c r="C18" s="8"/>
      <c r="D18" s="9"/>
      <c r="E18" s="9"/>
      <c r="F18" s="10" t="s">
        <v>2</v>
      </c>
      <c r="G18" s="65" t="s">
        <v>3</v>
      </c>
      <c r="H18" s="9"/>
      <c r="K18" s="53"/>
      <c r="M18" s="42">
        <v>14</v>
      </c>
      <c r="N18" s="3" t="s">
        <v>74</v>
      </c>
      <c r="O18" s="49">
        <f t="shared" si="0"/>
        <v>37932.041666666664</v>
      </c>
      <c r="P18" s="42">
        <v>1533.09</v>
      </c>
      <c r="Q18" s="42">
        <v>1460</v>
      </c>
      <c r="R18" s="42">
        <v>1531.81</v>
      </c>
      <c r="S18" s="42">
        <v>877.28</v>
      </c>
      <c r="T18" s="42"/>
      <c r="U18" s="42"/>
      <c r="V18" s="3"/>
      <c r="W18" s="3"/>
      <c r="X18" s="3"/>
      <c r="Y18" s="3"/>
      <c r="Z18" s="3"/>
      <c r="AA18" s="3"/>
      <c r="AB18" s="3"/>
      <c r="AE18" s="42">
        <f t="shared" si="1"/>
        <v>15570</v>
      </c>
      <c r="AF18" s="42">
        <f t="shared" si="2"/>
        <v>9784.4700000000012</v>
      </c>
      <c r="AG18" s="42" t="str">
        <f t="shared" si="3"/>
        <v/>
      </c>
      <c r="AH18" s="42" t="str">
        <f t="shared" si="4"/>
        <v/>
      </c>
      <c r="AI18" s="42" t="str">
        <f t="shared" si="5"/>
        <v/>
      </c>
      <c r="AJ18" s="42" t="str">
        <f t="shared" si="6"/>
        <v/>
      </c>
      <c r="AK18" s="42" t="str">
        <f t="shared" si="7"/>
        <v/>
      </c>
      <c r="AO18" s="86">
        <f ca="1"/>
        <v>37932.083333333336</v>
      </c>
      <c r="AP18" s="87">
        <f ca="1"/>
        <v>1533.15</v>
      </c>
      <c r="AQ18" s="87">
        <f ca="1"/>
        <v>1531.89</v>
      </c>
      <c r="AR18" s="88">
        <f ca="1"/>
        <v>37932.083333333336</v>
      </c>
      <c r="AS18" s="87">
        <f ca="1"/>
        <v>1500</v>
      </c>
      <c r="AT18" s="87">
        <f ca="1"/>
        <v>921.87</v>
      </c>
    </row>
    <row r="19" spans="2:46" x14ac:dyDescent="0.25">
      <c r="B19" s="56"/>
      <c r="C19" s="8"/>
      <c r="E19" s="12" t="s">
        <v>40</v>
      </c>
      <c r="F19" s="11">
        <f>MAX(R5:R2000)</f>
        <v>1543.45</v>
      </c>
      <c r="G19" s="66">
        <f>MAX(P5:P2000)</f>
        <v>1542.48</v>
      </c>
      <c r="H19" s="9"/>
      <c r="K19" s="53"/>
      <c r="M19" s="42">
        <v>15</v>
      </c>
      <c r="N19" s="3" t="s">
        <v>75</v>
      </c>
      <c r="O19" s="49">
        <f t="shared" si="0"/>
        <v>37932.083333333336</v>
      </c>
      <c r="P19" s="42">
        <v>1533.15</v>
      </c>
      <c r="Q19" s="42">
        <v>1500</v>
      </c>
      <c r="R19" s="42">
        <v>1531.89</v>
      </c>
      <c r="S19" s="42">
        <v>921.87</v>
      </c>
      <c r="T19" s="42"/>
      <c r="U19" s="42"/>
      <c r="V19" s="3"/>
      <c r="W19" s="3"/>
      <c r="X19" s="3"/>
      <c r="Y19" s="3"/>
      <c r="Z19" s="3"/>
      <c r="AA19" s="3"/>
      <c r="AB19" s="3"/>
      <c r="AE19" s="42">
        <f t="shared" si="1"/>
        <v>17070</v>
      </c>
      <c r="AF19" s="42">
        <f t="shared" si="2"/>
        <v>10706.340000000002</v>
      </c>
      <c r="AG19" s="42" t="str">
        <f t="shared" si="3"/>
        <v/>
      </c>
      <c r="AH19" s="42" t="str">
        <f t="shared" si="4"/>
        <v/>
      </c>
      <c r="AI19" s="42" t="str">
        <f t="shared" si="5"/>
        <v/>
      </c>
      <c r="AJ19" s="42" t="str">
        <f t="shared" si="6"/>
        <v/>
      </c>
      <c r="AK19" s="42" t="str">
        <f t="shared" si="7"/>
        <v/>
      </c>
      <c r="AO19" s="86">
        <f ca="1"/>
        <v>37932.125</v>
      </c>
      <c r="AP19" s="87">
        <f ca="1"/>
        <v>1533.19</v>
      </c>
      <c r="AQ19" s="87">
        <f ca="1"/>
        <v>1531.93</v>
      </c>
      <c r="AR19" s="88">
        <f ca="1"/>
        <v>37932.125</v>
      </c>
      <c r="AS19" s="87">
        <f ca="1"/>
        <v>1530</v>
      </c>
      <c r="AT19" s="87">
        <f ca="1"/>
        <v>949.78</v>
      </c>
    </row>
    <row r="20" spans="2:46" x14ac:dyDescent="0.25">
      <c r="B20" s="56"/>
      <c r="C20" s="8"/>
      <c r="D20" s="10"/>
      <c r="E20" s="12" t="s">
        <v>41</v>
      </c>
      <c r="F20" s="54">
        <f>F19-G19</f>
        <v>0.97000000000002728</v>
      </c>
      <c r="G20" s="53"/>
      <c r="H20" s="9"/>
      <c r="K20" s="53"/>
      <c r="M20" s="42">
        <v>16</v>
      </c>
      <c r="N20" s="3" t="s">
        <v>76</v>
      </c>
      <c r="O20" s="49">
        <f t="shared" si="0"/>
        <v>37932.125</v>
      </c>
      <c r="P20" s="42">
        <v>1533.19</v>
      </c>
      <c r="Q20" s="42">
        <v>1530</v>
      </c>
      <c r="R20" s="42">
        <v>1531.93</v>
      </c>
      <c r="S20" s="42">
        <v>949.78</v>
      </c>
      <c r="T20" s="42"/>
      <c r="U20" s="42"/>
      <c r="V20" s="3"/>
      <c r="W20" s="3"/>
      <c r="X20" s="3"/>
      <c r="Y20" s="3"/>
      <c r="Z20" s="3"/>
      <c r="AA20" s="3"/>
      <c r="AB20" s="3"/>
      <c r="AE20" s="42">
        <f t="shared" si="1"/>
        <v>18600</v>
      </c>
      <c r="AF20" s="42">
        <f t="shared" si="2"/>
        <v>11656.120000000003</v>
      </c>
      <c r="AG20" s="42" t="str">
        <f t="shared" si="3"/>
        <v/>
      </c>
      <c r="AH20" s="42" t="str">
        <f t="shared" si="4"/>
        <v/>
      </c>
      <c r="AI20" s="42" t="str">
        <f t="shared" si="5"/>
        <v/>
      </c>
      <c r="AJ20" s="42" t="str">
        <f t="shared" si="6"/>
        <v/>
      </c>
      <c r="AK20" s="42" t="str">
        <f t="shared" si="7"/>
        <v/>
      </c>
      <c r="AO20" s="86">
        <f ca="1"/>
        <v>37932.166666666664</v>
      </c>
      <c r="AP20" s="87">
        <f ca="1"/>
        <v>1533.23</v>
      </c>
      <c r="AQ20" s="87">
        <f ca="1"/>
        <v>1531.99</v>
      </c>
      <c r="AR20" s="88">
        <f ca="1"/>
        <v>37932.166666666664</v>
      </c>
      <c r="AS20" s="87">
        <f ca="1"/>
        <v>1560</v>
      </c>
      <c r="AT20" s="87">
        <f ca="1"/>
        <v>979.74</v>
      </c>
    </row>
    <row r="21" spans="2:46" ht="15.75" thickBot="1" x14ac:dyDescent="0.3">
      <c r="B21" s="56"/>
      <c r="C21" s="13"/>
      <c r="D21" s="67"/>
      <c r="E21" s="68"/>
      <c r="F21" s="69"/>
      <c r="G21" s="70"/>
      <c r="H21" s="9"/>
      <c r="K21" s="53"/>
      <c r="M21" s="42">
        <v>17</v>
      </c>
      <c r="N21" s="3" t="s">
        <v>77</v>
      </c>
      <c r="O21" s="49">
        <f t="shared" si="0"/>
        <v>37932.166666666664</v>
      </c>
      <c r="P21" s="42">
        <v>1533.23</v>
      </c>
      <c r="Q21" s="42">
        <v>1560</v>
      </c>
      <c r="R21" s="42">
        <v>1531.99</v>
      </c>
      <c r="S21" s="42">
        <v>979.74</v>
      </c>
      <c r="T21" s="42"/>
      <c r="U21" s="42"/>
      <c r="V21" s="3"/>
      <c r="W21" s="3"/>
      <c r="X21" s="3"/>
      <c r="Y21" s="3"/>
      <c r="Z21" s="3"/>
      <c r="AA21" s="3"/>
      <c r="AB21" s="3"/>
      <c r="AE21" s="42">
        <f t="shared" si="1"/>
        <v>20160</v>
      </c>
      <c r="AF21" s="42">
        <f t="shared" si="2"/>
        <v>12635.860000000002</v>
      </c>
      <c r="AG21" s="42" t="str">
        <f t="shared" si="3"/>
        <v/>
      </c>
      <c r="AH21" s="42" t="str">
        <f t="shared" si="4"/>
        <v/>
      </c>
      <c r="AI21" s="42" t="str">
        <f t="shared" si="5"/>
        <v/>
      </c>
      <c r="AJ21" s="42" t="str">
        <f t="shared" si="6"/>
        <v/>
      </c>
      <c r="AK21" s="42" t="str">
        <f t="shared" si="7"/>
        <v/>
      </c>
      <c r="AO21" s="86">
        <f ca="1"/>
        <v>37932.208333333336</v>
      </c>
      <c r="AP21" s="87">
        <f ca="1"/>
        <v>1533.26</v>
      </c>
      <c r="AQ21" s="87">
        <f ca="1"/>
        <v>1532.04</v>
      </c>
      <c r="AR21" s="88">
        <f ca="1"/>
        <v>37932.208333333336</v>
      </c>
      <c r="AS21" s="87">
        <f ca="1"/>
        <v>1580</v>
      </c>
      <c r="AT21" s="87">
        <f ca="1"/>
        <v>1010.43</v>
      </c>
    </row>
    <row r="22" spans="2:46" x14ac:dyDescent="0.25">
      <c r="B22" s="56"/>
      <c r="C22" s="9"/>
      <c r="D22" s="9"/>
      <c r="E22" s="9"/>
      <c r="F22" s="9"/>
      <c r="G22" s="9"/>
      <c r="H22" s="9"/>
      <c r="K22" s="53"/>
      <c r="M22" s="42">
        <v>18</v>
      </c>
      <c r="N22" s="3" t="s">
        <v>78</v>
      </c>
      <c r="O22" s="49">
        <f t="shared" si="0"/>
        <v>37932.208333333336</v>
      </c>
      <c r="P22" s="42">
        <v>1533.26</v>
      </c>
      <c r="Q22" s="42">
        <v>1580</v>
      </c>
      <c r="R22" s="42">
        <v>1532.04</v>
      </c>
      <c r="S22" s="42">
        <v>1010.43</v>
      </c>
      <c r="T22" s="42"/>
      <c r="U22" s="42"/>
      <c r="V22" s="3"/>
      <c r="W22" s="3"/>
      <c r="X22" s="3"/>
      <c r="Y22" s="3"/>
      <c r="Z22" s="3"/>
      <c r="AA22" s="3"/>
      <c r="AB22" s="3"/>
      <c r="AE22" s="42">
        <f t="shared" si="1"/>
        <v>21740</v>
      </c>
      <c r="AF22" s="42">
        <f t="shared" si="2"/>
        <v>13646.290000000003</v>
      </c>
      <c r="AG22" s="42" t="str">
        <f t="shared" si="3"/>
        <v/>
      </c>
      <c r="AH22" s="42" t="str">
        <f t="shared" si="4"/>
        <v/>
      </c>
      <c r="AI22" s="42" t="str">
        <f t="shared" si="5"/>
        <v/>
      </c>
      <c r="AJ22" s="42" t="str">
        <f t="shared" si="6"/>
        <v/>
      </c>
      <c r="AK22" s="42" t="str">
        <f t="shared" si="7"/>
        <v/>
      </c>
      <c r="AO22" s="86">
        <f ca="1"/>
        <v>37932.25</v>
      </c>
      <c r="AP22" s="87">
        <f ca="1"/>
        <v>1533.27</v>
      </c>
      <c r="AQ22" s="87">
        <f ca="1"/>
        <v>1532.06</v>
      </c>
      <c r="AR22" s="88">
        <f ca="1"/>
        <v>37932.25</v>
      </c>
      <c r="AS22" s="87">
        <f ca="1"/>
        <v>1590</v>
      </c>
      <c r="AT22" s="87">
        <f ca="1"/>
        <v>1024.97</v>
      </c>
    </row>
    <row r="23" spans="2:46" x14ac:dyDescent="0.25">
      <c r="B23" s="56"/>
      <c r="K23" s="53"/>
      <c r="M23" s="42">
        <v>19</v>
      </c>
      <c r="N23" s="3" t="s">
        <v>79</v>
      </c>
      <c r="O23" s="49">
        <f t="shared" si="0"/>
        <v>37932.25</v>
      </c>
      <c r="P23" s="42">
        <v>1533.27</v>
      </c>
      <c r="Q23" s="42">
        <v>1590</v>
      </c>
      <c r="R23" s="42">
        <v>1532.06</v>
      </c>
      <c r="S23" s="42">
        <v>1024.97</v>
      </c>
      <c r="T23" s="42"/>
      <c r="U23" s="42"/>
      <c r="V23" s="3"/>
      <c r="W23" s="3"/>
      <c r="X23" s="3"/>
      <c r="Y23" s="3"/>
      <c r="Z23" s="3"/>
      <c r="AA23" s="3"/>
      <c r="AB23" s="3"/>
      <c r="AE23" s="42">
        <f t="shared" si="1"/>
        <v>23330</v>
      </c>
      <c r="AF23" s="42">
        <f t="shared" si="2"/>
        <v>14671.260000000002</v>
      </c>
      <c r="AG23" s="42" t="str">
        <f t="shared" si="3"/>
        <v/>
      </c>
      <c r="AH23" s="42" t="str">
        <f t="shared" si="4"/>
        <v/>
      </c>
      <c r="AI23" s="42" t="str">
        <f t="shared" si="5"/>
        <v/>
      </c>
      <c r="AJ23" s="42" t="str">
        <f t="shared" si="6"/>
        <v/>
      </c>
      <c r="AK23" s="42" t="str">
        <f t="shared" si="7"/>
        <v/>
      </c>
      <c r="AO23" s="86">
        <f ca="1"/>
        <v>37932.291666666664</v>
      </c>
      <c r="AP23" s="87">
        <f ca="1"/>
        <v>1533.27</v>
      </c>
      <c r="AQ23" s="87">
        <f ca="1"/>
        <v>1532.08</v>
      </c>
      <c r="AR23" s="88">
        <f ca="1"/>
        <v>37932.291666666664</v>
      </c>
      <c r="AS23" s="87">
        <f ca="1"/>
        <v>1590</v>
      </c>
      <c r="AT23" s="87">
        <f ca="1"/>
        <v>1039.18</v>
      </c>
    </row>
    <row r="24" spans="2:46" x14ac:dyDescent="0.25">
      <c r="B24" s="56"/>
      <c r="K24" s="53"/>
      <c r="M24" s="42">
        <v>20</v>
      </c>
      <c r="N24" s="3" t="s">
        <v>80</v>
      </c>
      <c r="O24" s="49">
        <f t="shared" si="0"/>
        <v>37932.291666666664</v>
      </c>
      <c r="P24" s="42">
        <v>1533.27</v>
      </c>
      <c r="Q24" s="42">
        <v>1590</v>
      </c>
      <c r="R24" s="42">
        <v>1532.08</v>
      </c>
      <c r="S24" s="42">
        <v>1039.18</v>
      </c>
      <c r="T24" s="42"/>
      <c r="U24" s="42"/>
      <c r="V24" s="3"/>
      <c r="W24" s="3"/>
      <c r="X24" s="3"/>
      <c r="Y24" s="3"/>
      <c r="Z24" s="3"/>
      <c r="AA24" s="3"/>
      <c r="AB24" s="3"/>
      <c r="AE24" s="42">
        <f t="shared" si="1"/>
        <v>24920</v>
      </c>
      <c r="AF24" s="42">
        <f t="shared" si="2"/>
        <v>15710.440000000002</v>
      </c>
      <c r="AG24" s="42" t="str">
        <f t="shared" si="3"/>
        <v/>
      </c>
      <c r="AH24" s="42" t="str">
        <f t="shared" si="4"/>
        <v/>
      </c>
      <c r="AI24" s="42" t="str">
        <f t="shared" si="5"/>
        <v/>
      </c>
      <c r="AJ24" s="42" t="str">
        <f t="shared" si="6"/>
        <v/>
      </c>
      <c r="AK24" s="42" t="str">
        <f t="shared" si="7"/>
        <v/>
      </c>
      <c r="AO24" s="86">
        <f ca="1"/>
        <v>37932.333333333336</v>
      </c>
      <c r="AP24" s="87">
        <f ca="1"/>
        <v>1533.25</v>
      </c>
      <c r="AQ24" s="87">
        <f ca="1"/>
        <v>1532.1</v>
      </c>
      <c r="AR24" s="88">
        <f ca="1"/>
        <v>37932.333333333336</v>
      </c>
      <c r="AS24" s="87">
        <f ca="1"/>
        <v>1580</v>
      </c>
      <c r="AT24" s="87">
        <f ca="1"/>
        <v>1047.72</v>
      </c>
    </row>
    <row r="25" spans="2:46" ht="15" customHeight="1" thickBot="1" x14ac:dyDescent="0.35">
      <c r="B25" s="56"/>
      <c r="C25" s="57" t="s">
        <v>5</v>
      </c>
      <c r="D25" s="57"/>
      <c r="E25" s="57"/>
      <c r="F25" s="57"/>
      <c r="G25" s="57"/>
      <c r="H25" s="57"/>
      <c r="K25" s="53"/>
      <c r="M25" s="42">
        <v>21</v>
      </c>
      <c r="N25" s="3" t="s">
        <v>81</v>
      </c>
      <c r="O25" s="49">
        <f t="shared" si="0"/>
        <v>37932.333333333336</v>
      </c>
      <c r="P25" s="42">
        <v>1533.25</v>
      </c>
      <c r="Q25" s="42">
        <v>1580</v>
      </c>
      <c r="R25" s="42">
        <v>1532.1</v>
      </c>
      <c r="S25" s="42">
        <v>1047.72</v>
      </c>
      <c r="T25" s="42"/>
      <c r="U25" s="42"/>
      <c r="V25" s="3"/>
      <c r="W25" s="3"/>
      <c r="X25" s="3"/>
      <c r="Y25" s="3"/>
      <c r="Z25" s="3"/>
      <c r="AA25" s="3"/>
      <c r="AB25" s="3"/>
      <c r="AE25" s="42">
        <f t="shared" si="1"/>
        <v>26500</v>
      </c>
      <c r="AF25" s="42">
        <f t="shared" si="2"/>
        <v>16758.160000000003</v>
      </c>
      <c r="AG25" s="42" t="str">
        <f t="shared" si="3"/>
        <v/>
      </c>
      <c r="AH25" s="42" t="str">
        <f t="shared" si="4"/>
        <v/>
      </c>
      <c r="AI25" s="42" t="str">
        <f t="shared" si="5"/>
        <v/>
      </c>
      <c r="AJ25" s="42" t="str">
        <f t="shared" si="6"/>
        <v/>
      </c>
      <c r="AK25" s="42" t="str">
        <f t="shared" si="7"/>
        <v/>
      </c>
      <c r="AO25" s="86">
        <f ca="1"/>
        <v>37932.375</v>
      </c>
      <c r="AP25" s="87">
        <f ca="1"/>
        <v>1533.23</v>
      </c>
      <c r="AQ25" s="87">
        <f ca="1"/>
        <v>1532.11</v>
      </c>
      <c r="AR25" s="88">
        <f ca="1"/>
        <v>37932.375</v>
      </c>
      <c r="AS25" s="87">
        <f ca="1"/>
        <v>1560</v>
      </c>
      <c r="AT25" s="87">
        <f ca="1"/>
        <v>1054.1199999999999</v>
      </c>
    </row>
    <row r="26" spans="2:46" ht="17.25" x14ac:dyDescent="0.25">
      <c r="B26" s="56"/>
      <c r="C26" s="17"/>
      <c r="D26" s="18" t="s">
        <v>6</v>
      </c>
      <c r="E26" s="18" t="s">
        <v>7</v>
      </c>
      <c r="F26" s="18" t="s">
        <v>8</v>
      </c>
      <c r="G26" s="19" t="s">
        <v>9</v>
      </c>
      <c r="H26" s="20" t="s">
        <v>10</v>
      </c>
      <c r="K26" s="53"/>
      <c r="M26" s="42">
        <v>22</v>
      </c>
      <c r="N26" s="3" t="s">
        <v>82</v>
      </c>
      <c r="O26" s="49">
        <f t="shared" si="0"/>
        <v>37932.375</v>
      </c>
      <c r="P26" s="42">
        <v>1533.23</v>
      </c>
      <c r="Q26" s="42">
        <v>1560</v>
      </c>
      <c r="R26" s="42">
        <v>1532.11</v>
      </c>
      <c r="S26" s="42">
        <v>1054.1199999999999</v>
      </c>
      <c r="T26" s="42"/>
      <c r="U26" s="42"/>
      <c r="V26" s="3"/>
      <c r="W26" s="3"/>
      <c r="X26" s="3"/>
      <c r="Y26" s="3"/>
      <c r="Z26" s="3"/>
      <c r="AA26" s="3"/>
      <c r="AB26" s="3"/>
      <c r="AE26" s="42">
        <f t="shared" si="1"/>
        <v>28060</v>
      </c>
      <c r="AF26" s="42">
        <f t="shared" si="2"/>
        <v>17812.280000000002</v>
      </c>
      <c r="AG26" s="42" t="str">
        <f t="shared" si="3"/>
        <v/>
      </c>
      <c r="AH26" s="42" t="str">
        <f t="shared" si="4"/>
        <v/>
      </c>
      <c r="AI26" s="42" t="str">
        <f t="shared" si="5"/>
        <v/>
      </c>
      <c r="AJ26" s="42" t="str">
        <f t="shared" si="6"/>
        <v/>
      </c>
      <c r="AK26" s="42" t="str">
        <f t="shared" si="7"/>
        <v/>
      </c>
      <c r="AO26" s="86">
        <f ca="1"/>
        <v>37932.416666666664</v>
      </c>
      <c r="AP26" s="87">
        <f ca="1"/>
        <v>1533.23</v>
      </c>
      <c r="AQ26" s="87">
        <f ca="1"/>
        <v>1532.12</v>
      </c>
      <c r="AR26" s="88">
        <f ca="1"/>
        <v>37932.416666666664</v>
      </c>
      <c r="AS26" s="87">
        <f ca="1"/>
        <v>1560</v>
      </c>
      <c r="AT26" s="87">
        <f ca="1"/>
        <v>1059.43</v>
      </c>
    </row>
    <row r="27" spans="2:46" ht="15.75" thickBot="1" x14ac:dyDescent="0.3">
      <c r="B27" s="56"/>
      <c r="C27" s="30" t="s">
        <v>11</v>
      </c>
      <c r="D27" s="97">
        <f ca="1">CORREL(Mod_Flow,Obs_Flow)^2</f>
        <v>0.95931866435595792</v>
      </c>
      <c r="E27" s="97" cm="1">
        <f t="array" aca="1" ref="E27" ca="1">1-SUMPRODUCT((Obs_Flow-Mod_Flow)^2)/SUMPRODUCT((Obs_Flow-AVERAGE(Obs_Flow))^2)</f>
        <v>0.94773837803889949</v>
      </c>
      <c r="F27" s="97" cm="1">
        <f t="array" aca="1" ref="F27" ca="1">SQRT(SUMPRODUCT((Obs_Flow-Mod_Flow)^2))/SQRT(SUMPRODUCT((Obs_Flow-AVERAGE(Obs_Flow))^2))</f>
        <v>0.22860800939840337</v>
      </c>
      <c r="G27" s="97" cm="1">
        <f t="array" aca="1" ref="G27" ca="1">SUMPRODUCT((Obs_Flow-Mod_Flow)*100)/SUM(Obs_Flow)</f>
        <v>5.2204225635367996</v>
      </c>
      <c r="H27" s="98">
        <f ca="1">((MAX(Obs_Flow)-MAX(Mod_Flow))*100)/MAX(Obs_Flow)</f>
        <v>-13.368225806451623</v>
      </c>
      <c r="K27" s="53"/>
      <c r="M27" s="42">
        <v>23</v>
      </c>
      <c r="N27" s="3" t="s">
        <v>83</v>
      </c>
      <c r="O27" s="49">
        <f t="shared" si="0"/>
        <v>37932.416666666664</v>
      </c>
      <c r="P27" s="42">
        <v>1533.23</v>
      </c>
      <c r="Q27" s="42">
        <v>1560</v>
      </c>
      <c r="R27" s="42">
        <v>1532.12</v>
      </c>
      <c r="S27" s="42">
        <v>1059.43</v>
      </c>
      <c r="T27" s="42"/>
      <c r="U27" s="42"/>
      <c r="V27" s="3"/>
      <c r="W27" s="3"/>
      <c r="X27" s="3"/>
      <c r="Y27" s="3"/>
      <c r="Z27" s="3"/>
      <c r="AA27" s="3"/>
      <c r="AB27" s="3"/>
      <c r="AE27" s="42">
        <f t="shared" si="1"/>
        <v>29620</v>
      </c>
      <c r="AF27" s="42">
        <f t="shared" si="2"/>
        <v>18871.710000000003</v>
      </c>
      <c r="AG27" s="42" t="str">
        <f t="shared" si="3"/>
        <v/>
      </c>
      <c r="AH27" s="42" t="str">
        <f t="shared" si="4"/>
        <v/>
      </c>
      <c r="AI27" s="42" t="str">
        <f t="shared" si="5"/>
        <v/>
      </c>
      <c r="AJ27" s="42" t="str">
        <f t="shared" si="6"/>
        <v/>
      </c>
      <c r="AK27" s="42" t="str">
        <f t="shared" si="7"/>
        <v/>
      </c>
      <c r="AO27" s="86">
        <f ca="1"/>
        <v>37932.458333333336</v>
      </c>
      <c r="AP27" s="87">
        <f ca="1"/>
        <v>1533.21</v>
      </c>
      <c r="AQ27" s="87">
        <f ca="1"/>
        <v>1532.13</v>
      </c>
      <c r="AR27" s="88">
        <f ca="1"/>
        <v>37932.458333333336</v>
      </c>
      <c r="AS27" s="87">
        <f ca="1"/>
        <v>1550</v>
      </c>
      <c r="AT27" s="87">
        <f ca="1"/>
        <v>1066.8599999999999</v>
      </c>
    </row>
    <row r="28" spans="2:46" ht="15.75" thickBot="1" x14ac:dyDescent="0.3">
      <c r="B28" s="56"/>
      <c r="K28" s="53"/>
      <c r="M28" s="42">
        <v>24</v>
      </c>
      <c r="N28" s="3" t="s">
        <v>84</v>
      </c>
      <c r="O28" s="49">
        <f t="shared" si="0"/>
        <v>37932.458333333336</v>
      </c>
      <c r="P28" s="42">
        <v>1533.21</v>
      </c>
      <c r="Q28" s="42">
        <v>1550</v>
      </c>
      <c r="R28" s="42">
        <v>1532.13</v>
      </c>
      <c r="S28" s="42">
        <v>1066.8599999999999</v>
      </c>
      <c r="T28" s="42"/>
      <c r="U28" s="42"/>
      <c r="V28" s="3"/>
      <c r="W28" s="3"/>
      <c r="X28" s="3"/>
      <c r="Y28" s="3"/>
      <c r="Z28" s="3"/>
      <c r="AA28" s="3"/>
      <c r="AB28" s="3"/>
      <c r="AE28" s="42">
        <f t="shared" si="1"/>
        <v>31170</v>
      </c>
      <c r="AF28" s="42">
        <f t="shared" si="2"/>
        <v>19938.570000000003</v>
      </c>
      <c r="AG28" s="42" t="str">
        <f t="shared" si="3"/>
        <v/>
      </c>
      <c r="AH28" s="42" t="str">
        <f t="shared" si="4"/>
        <v/>
      </c>
      <c r="AI28" s="42" t="str">
        <f t="shared" si="5"/>
        <v/>
      </c>
      <c r="AJ28" s="42" t="str">
        <f t="shared" si="6"/>
        <v/>
      </c>
      <c r="AK28" s="42" t="str">
        <f t="shared" si="7"/>
        <v/>
      </c>
      <c r="AO28" s="86">
        <f ca="1"/>
        <v>37932.5</v>
      </c>
      <c r="AP28" s="87">
        <f ca="1"/>
        <v>1533.19</v>
      </c>
      <c r="AQ28" s="87">
        <f ca="1"/>
        <v>1532.13</v>
      </c>
      <c r="AR28" s="88">
        <f ca="1"/>
        <v>37932.5</v>
      </c>
      <c r="AS28" s="87">
        <f ca="1"/>
        <v>1530</v>
      </c>
      <c r="AT28" s="87">
        <f ca="1"/>
        <v>1068.43</v>
      </c>
    </row>
    <row r="29" spans="2:46" ht="15" customHeight="1" x14ac:dyDescent="0.3">
      <c r="B29" s="56"/>
      <c r="C29" s="72" t="s">
        <v>12</v>
      </c>
      <c r="D29" s="73"/>
      <c r="E29" s="73"/>
      <c r="F29" s="73"/>
      <c r="G29" s="74"/>
      <c r="K29" s="53"/>
      <c r="M29" s="42">
        <v>25</v>
      </c>
      <c r="N29" s="3" t="s">
        <v>85</v>
      </c>
      <c r="O29" s="49">
        <f t="shared" si="0"/>
        <v>37932.5</v>
      </c>
      <c r="P29" s="42">
        <v>1533.19</v>
      </c>
      <c r="Q29" s="42">
        <v>1530</v>
      </c>
      <c r="R29" s="42">
        <v>1532.13</v>
      </c>
      <c r="S29" s="42">
        <v>1068.43</v>
      </c>
      <c r="T29" s="42"/>
      <c r="U29" s="42"/>
      <c r="V29" s="3"/>
      <c r="W29" s="3"/>
      <c r="X29" s="3"/>
      <c r="Y29" s="3"/>
      <c r="Z29" s="3"/>
      <c r="AA29" s="3"/>
      <c r="AB29" s="3"/>
      <c r="AE29" s="42">
        <f t="shared" si="1"/>
        <v>32700</v>
      </c>
      <c r="AF29" s="42">
        <f t="shared" si="2"/>
        <v>21007.000000000004</v>
      </c>
      <c r="AG29" s="42" t="str">
        <f t="shared" si="3"/>
        <v/>
      </c>
      <c r="AH29" s="42" t="str">
        <f t="shared" si="4"/>
        <v/>
      </c>
      <c r="AI29" s="42" t="str">
        <f t="shared" si="5"/>
        <v/>
      </c>
      <c r="AJ29" s="42" t="str">
        <f t="shared" si="6"/>
        <v/>
      </c>
      <c r="AK29" s="42" t="str">
        <f t="shared" si="7"/>
        <v/>
      </c>
      <c r="AO29" s="86">
        <f ca="1"/>
        <v>37932.541666666664</v>
      </c>
      <c r="AP29" s="87">
        <f ca="1"/>
        <v>1533.18</v>
      </c>
      <c r="AQ29" s="87">
        <f ca="1"/>
        <v>1532.13</v>
      </c>
      <c r="AR29" s="88">
        <f ca="1"/>
        <v>37932.541666666664</v>
      </c>
      <c r="AS29" s="87">
        <f ca="1"/>
        <v>1530</v>
      </c>
      <c r="AT29" s="87">
        <f ca="1"/>
        <v>1069.3800000000001</v>
      </c>
    </row>
    <row r="30" spans="2:46" ht="17.25" x14ac:dyDescent="0.25">
      <c r="B30" s="56"/>
      <c r="C30" s="75"/>
      <c r="D30" s="71" t="s">
        <v>6</v>
      </c>
      <c r="E30" s="71" t="s">
        <v>7</v>
      </c>
      <c r="F30" s="71" t="s">
        <v>8</v>
      </c>
      <c r="G30" s="76" t="s">
        <v>10</v>
      </c>
      <c r="K30" s="53"/>
      <c r="M30" s="42">
        <v>26</v>
      </c>
      <c r="N30" s="3" t="s">
        <v>86</v>
      </c>
      <c r="O30" s="49">
        <f t="shared" si="0"/>
        <v>37932.541666666664</v>
      </c>
      <c r="P30" s="42">
        <v>1533.18</v>
      </c>
      <c r="Q30" s="42">
        <v>1530</v>
      </c>
      <c r="R30" s="42">
        <v>1532.13</v>
      </c>
      <c r="S30" s="42">
        <v>1069.3800000000001</v>
      </c>
      <c r="T30" s="42"/>
      <c r="U30" s="42"/>
      <c r="V30" s="3"/>
      <c r="W30" s="3"/>
      <c r="X30" s="3"/>
      <c r="Y30" s="3"/>
      <c r="Z30" s="3"/>
      <c r="AA30" s="3"/>
      <c r="AB30" s="3"/>
      <c r="AE30" s="42">
        <f t="shared" si="1"/>
        <v>34230</v>
      </c>
      <c r="AF30" s="42">
        <f t="shared" si="2"/>
        <v>22076.380000000005</v>
      </c>
      <c r="AG30" s="42" t="str">
        <f t="shared" si="3"/>
        <v/>
      </c>
      <c r="AH30" s="42" t="str">
        <f t="shared" si="4"/>
        <v/>
      </c>
      <c r="AI30" s="42" t="str">
        <f t="shared" si="5"/>
        <v/>
      </c>
      <c r="AJ30" s="42" t="str">
        <f t="shared" si="6"/>
        <v/>
      </c>
      <c r="AK30" s="42" t="str">
        <f t="shared" si="7"/>
        <v/>
      </c>
      <c r="AO30" s="86">
        <f ca="1"/>
        <v>37932.583333333336</v>
      </c>
      <c r="AP30" s="87">
        <f ca="1"/>
        <v>1533.16</v>
      </c>
      <c r="AQ30" s="87">
        <f ca="1"/>
        <v>1532.13</v>
      </c>
      <c r="AR30" s="88">
        <f ca="1"/>
        <v>37932.583333333336</v>
      </c>
      <c r="AS30" s="87">
        <f ca="1"/>
        <v>1510</v>
      </c>
      <c r="AT30" s="87">
        <f ca="1"/>
        <v>1067.45</v>
      </c>
    </row>
    <row r="31" spans="2:46" ht="15.75" thickBot="1" x14ac:dyDescent="0.3">
      <c r="B31" s="56"/>
      <c r="C31" s="30" t="s">
        <v>11</v>
      </c>
      <c r="D31" s="31">
        <f ca="1">CORREL(Mod_El,Obs_El)^2</f>
        <v>0.96558562645821588</v>
      </c>
      <c r="E31" s="31" cm="1">
        <f t="array" aca="1" ref="E31" ca="1">1-SUMPRODUCT((Obs_El-Mod_El)^2)/SUMPRODUCT((Obs_El-AVERAGE(Obs_El))^2)</f>
        <v>0.95868536003043281</v>
      </c>
      <c r="F31" s="31" cm="1">
        <f t="array" aca="1" ref="F31" ca="1">SQRT(SUMPRODUCT((Obs_El-Mod_El)^2))/SQRT(SUMPRODUCT((Obs_El-AVERAGE(Obs_El))^2))</f>
        <v>0.20326003042794016</v>
      </c>
      <c r="G31" s="32">
        <f ca="1">((MAX(Obs_El)-MAX(Mod_El))*100)/MAX(Mod_El)</f>
        <v>-6.2846221127994248E-2</v>
      </c>
      <c r="K31" s="53"/>
      <c r="M31" s="42">
        <v>27</v>
      </c>
      <c r="N31" s="3" t="s">
        <v>87</v>
      </c>
      <c r="O31" s="49">
        <f t="shared" si="0"/>
        <v>37932.583333333336</v>
      </c>
      <c r="P31" s="42">
        <v>1533.16</v>
      </c>
      <c r="Q31" s="42">
        <v>1510</v>
      </c>
      <c r="R31" s="42">
        <v>1532.13</v>
      </c>
      <c r="S31" s="42">
        <v>1067.45</v>
      </c>
      <c r="T31" s="42"/>
      <c r="U31" s="42"/>
      <c r="V31" s="3"/>
      <c r="W31" s="3"/>
      <c r="X31" s="3"/>
      <c r="Y31" s="3"/>
      <c r="Z31" s="3"/>
      <c r="AA31" s="3"/>
      <c r="AB31" s="3"/>
      <c r="AE31" s="42">
        <f t="shared" si="1"/>
        <v>35740</v>
      </c>
      <c r="AF31" s="42">
        <f t="shared" si="2"/>
        <v>23143.830000000005</v>
      </c>
      <c r="AG31" s="42" t="str">
        <f t="shared" si="3"/>
        <v/>
      </c>
      <c r="AH31" s="42" t="str">
        <f t="shared" si="4"/>
        <v/>
      </c>
      <c r="AI31" s="42" t="str">
        <f t="shared" si="5"/>
        <v/>
      </c>
      <c r="AJ31" s="42" t="str">
        <f t="shared" si="6"/>
        <v/>
      </c>
      <c r="AK31" s="42" t="str">
        <f t="shared" si="7"/>
        <v/>
      </c>
      <c r="AO31" s="86">
        <f ca="1"/>
        <v>37932.625</v>
      </c>
      <c r="AP31" s="87">
        <f ca="1"/>
        <v>1533.15</v>
      </c>
      <c r="AQ31" s="87">
        <f ca="1"/>
        <v>1532.13</v>
      </c>
      <c r="AR31" s="88">
        <f ca="1"/>
        <v>37932.625</v>
      </c>
      <c r="AS31" s="87">
        <f ca="1"/>
        <v>1500</v>
      </c>
      <c r="AT31" s="87">
        <f ca="1"/>
        <v>1066.7</v>
      </c>
    </row>
    <row r="32" spans="2:46" x14ac:dyDescent="0.25">
      <c r="B32" s="56"/>
      <c r="K32" s="53"/>
      <c r="M32" s="42">
        <v>28</v>
      </c>
      <c r="N32" s="3" t="s">
        <v>88</v>
      </c>
      <c r="O32" s="49">
        <f t="shared" si="0"/>
        <v>37932.625</v>
      </c>
      <c r="P32" s="42">
        <v>1533.15</v>
      </c>
      <c r="Q32" s="42">
        <v>1500</v>
      </c>
      <c r="R32" s="42">
        <v>1532.13</v>
      </c>
      <c r="S32" s="42">
        <v>1066.7</v>
      </c>
      <c r="T32" s="42"/>
      <c r="U32" s="42"/>
      <c r="V32" s="3"/>
      <c r="W32" s="3"/>
      <c r="X32" s="3"/>
      <c r="Y32" s="3"/>
      <c r="Z32" s="3"/>
      <c r="AA32" s="3"/>
      <c r="AB32" s="3"/>
      <c r="AE32" s="42">
        <f t="shared" si="1"/>
        <v>37240</v>
      </c>
      <c r="AF32" s="42">
        <f t="shared" si="2"/>
        <v>24210.530000000006</v>
      </c>
      <c r="AG32" s="42" t="str">
        <f t="shared" si="3"/>
        <v/>
      </c>
      <c r="AH32" s="42" t="str">
        <f t="shared" si="4"/>
        <v/>
      </c>
      <c r="AI32" s="42" t="str">
        <f t="shared" si="5"/>
        <v/>
      </c>
      <c r="AJ32" s="42" t="str">
        <f t="shared" si="6"/>
        <v/>
      </c>
      <c r="AK32" s="42" t="str">
        <f t="shared" si="7"/>
        <v/>
      </c>
      <c r="AO32" s="86">
        <f ca="1"/>
        <v>37932.666666666664</v>
      </c>
      <c r="AP32" s="87">
        <f ca="1"/>
        <v>1533.14</v>
      </c>
      <c r="AQ32" s="87">
        <f ca="1"/>
        <v>1532.12</v>
      </c>
      <c r="AR32" s="88">
        <f ca="1"/>
        <v>37932.666666666664</v>
      </c>
      <c r="AS32" s="87">
        <f ca="1"/>
        <v>1500</v>
      </c>
      <c r="AT32" s="87">
        <f ca="1"/>
        <v>1062.42</v>
      </c>
    </row>
    <row r="33" spans="2:46" x14ac:dyDescent="0.25">
      <c r="B33" s="56"/>
      <c r="K33" s="53"/>
      <c r="M33" s="42">
        <v>29</v>
      </c>
      <c r="N33" s="3" t="s">
        <v>89</v>
      </c>
      <c r="O33" s="49">
        <f t="shared" si="0"/>
        <v>37932.666666666664</v>
      </c>
      <c r="P33" s="42">
        <v>1533.14</v>
      </c>
      <c r="Q33" s="42">
        <v>1500</v>
      </c>
      <c r="R33" s="42">
        <v>1532.12</v>
      </c>
      <c r="S33" s="42">
        <v>1062.42</v>
      </c>
      <c r="T33" s="42"/>
      <c r="U33" s="42"/>
      <c r="V33" s="3"/>
      <c r="W33" s="3"/>
      <c r="X33" s="3"/>
      <c r="Y33" s="3"/>
      <c r="Z33" s="3"/>
      <c r="AA33" s="3"/>
      <c r="AB33" s="3"/>
      <c r="AE33" s="42">
        <f t="shared" si="1"/>
        <v>38740</v>
      </c>
      <c r="AF33" s="42">
        <f t="shared" si="2"/>
        <v>25272.950000000004</v>
      </c>
      <c r="AG33" s="42" t="str">
        <f t="shared" si="3"/>
        <v/>
      </c>
      <c r="AH33" s="42" t="str">
        <f t="shared" si="4"/>
        <v/>
      </c>
      <c r="AI33" s="42" t="str">
        <f t="shared" si="5"/>
        <v/>
      </c>
      <c r="AJ33" s="42" t="str">
        <f t="shared" si="6"/>
        <v/>
      </c>
      <c r="AK33" s="42" t="str">
        <f t="shared" si="7"/>
        <v/>
      </c>
      <c r="AO33" s="86">
        <f ca="1"/>
        <v>37932.708333333336</v>
      </c>
      <c r="AP33" s="87">
        <f ca="1"/>
        <v>1533.11</v>
      </c>
      <c r="AQ33" s="87">
        <f ca="1"/>
        <v>1532.12</v>
      </c>
      <c r="AR33" s="88">
        <f ca="1"/>
        <v>37932.708333333336</v>
      </c>
      <c r="AS33" s="87">
        <f ca="1"/>
        <v>1480</v>
      </c>
      <c r="AT33" s="87">
        <f ca="1"/>
        <v>1062.51</v>
      </c>
    </row>
    <row r="34" spans="2:46" x14ac:dyDescent="0.25">
      <c r="B34" s="56"/>
      <c r="K34" s="53"/>
      <c r="M34" s="42">
        <v>30</v>
      </c>
      <c r="N34" s="3" t="s">
        <v>90</v>
      </c>
      <c r="O34" s="49">
        <f t="shared" si="0"/>
        <v>37932.708333333336</v>
      </c>
      <c r="P34" s="42">
        <v>1533.11</v>
      </c>
      <c r="Q34" s="42">
        <v>1480</v>
      </c>
      <c r="R34" s="42">
        <v>1532.12</v>
      </c>
      <c r="S34" s="42">
        <v>1062.51</v>
      </c>
      <c r="T34" s="42"/>
      <c r="U34" s="42"/>
      <c r="V34" s="3"/>
      <c r="W34" s="3"/>
      <c r="X34" s="3"/>
      <c r="Y34" s="3"/>
      <c r="Z34" s="3"/>
      <c r="AA34" s="3"/>
      <c r="AB34" s="3"/>
      <c r="AE34" s="42">
        <f t="shared" si="1"/>
        <v>40220</v>
      </c>
      <c r="AF34" s="42">
        <f t="shared" si="2"/>
        <v>26335.460000000003</v>
      </c>
      <c r="AG34" s="42" t="str">
        <f t="shared" si="3"/>
        <v/>
      </c>
      <c r="AH34" s="42" t="str">
        <f t="shared" si="4"/>
        <v/>
      </c>
      <c r="AI34" s="42" t="str">
        <f t="shared" si="5"/>
        <v/>
      </c>
      <c r="AJ34" s="42" t="str">
        <f t="shared" si="6"/>
        <v/>
      </c>
      <c r="AK34" s="42" t="str">
        <f t="shared" si="7"/>
        <v/>
      </c>
      <c r="AO34" s="86">
        <f ca="1"/>
        <v>37932.75</v>
      </c>
      <c r="AP34" s="87">
        <f ca="1"/>
        <v>1533.09</v>
      </c>
      <c r="AQ34" s="87">
        <f ca="1"/>
        <v>1532.12</v>
      </c>
      <c r="AR34" s="88">
        <f ca="1"/>
        <v>37932.75</v>
      </c>
      <c r="AS34" s="87">
        <f ca="1"/>
        <v>1460</v>
      </c>
      <c r="AT34" s="87">
        <f ca="1"/>
        <v>1062.6099999999999</v>
      </c>
    </row>
    <row r="35" spans="2:46" x14ac:dyDescent="0.25">
      <c r="B35" s="56"/>
      <c r="K35" s="53"/>
      <c r="M35" s="42">
        <v>31</v>
      </c>
      <c r="N35" s="3" t="s">
        <v>91</v>
      </c>
      <c r="O35" s="49">
        <f t="shared" si="0"/>
        <v>37932.75</v>
      </c>
      <c r="P35" s="42">
        <v>1533.09</v>
      </c>
      <c r="Q35" s="42">
        <v>1460</v>
      </c>
      <c r="R35" s="42">
        <v>1532.12</v>
      </c>
      <c r="S35" s="42">
        <v>1062.6099999999999</v>
      </c>
      <c r="T35" s="42"/>
      <c r="U35" s="42"/>
      <c r="V35" s="3"/>
      <c r="W35" s="3"/>
      <c r="X35" s="3"/>
      <c r="Y35" s="3"/>
      <c r="Z35" s="3"/>
      <c r="AA35" s="3"/>
      <c r="AB35" s="3"/>
      <c r="AE35" s="42">
        <f t="shared" si="1"/>
        <v>41680</v>
      </c>
      <c r="AF35" s="42">
        <f t="shared" si="2"/>
        <v>27398.070000000003</v>
      </c>
      <c r="AG35" s="42" t="str">
        <f t="shared" si="3"/>
        <v/>
      </c>
      <c r="AH35" s="42" t="str">
        <f t="shared" si="4"/>
        <v/>
      </c>
      <c r="AI35" s="42" t="str">
        <f t="shared" si="5"/>
        <v/>
      </c>
      <c r="AJ35" s="42" t="str">
        <f t="shared" si="6"/>
        <v/>
      </c>
      <c r="AK35" s="42" t="str">
        <f t="shared" si="7"/>
        <v/>
      </c>
      <c r="AO35" s="86">
        <f ca="1"/>
        <v>37932.791666666664</v>
      </c>
      <c r="AP35" s="87">
        <f ca="1"/>
        <v>1533.05</v>
      </c>
      <c r="AQ35" s="87">
        <f ca="1"/>
        <v>1532.13</v>
      </c>
      <c r="AR35" s="88">
        <f ca="1"/>
        <v>37932.791666666664</v>
      </c>
      <c r="AS35" s="87">
        <f ca="1"/>
        <v>1430</v>
      </c>
      <c r="AT35" s="87">
        <f ca="1"/>
        <v>1069.04</v>
      </c>
    </row>
    <row r="36" spans="2:46" x14ac:dyDescent="0.25">
      <c r="B36" s="56"/>
      <c r="K36" s="53"/>
      <c r="M36" s="42">
        <v>32</v>
      </c>
      <c r="N36" s="3" t="s">
        <v>92</v>
      </c>
      <c r="O36" s="49">
        <f t="shared" si="0"/>
        <v>37932.791666666664</v>
      </c>
      <c r="P36" s="42">
        <v>1533.05</v>
      </c>
      <c r="Q36" s="42">
        <v>1430</v>
      </c>
      <c r="R36" s="42">
        <v>1532.13</v>
      </c>
      <c r="S36" s="42">
        <v>1069.04</v>
      </c>
      <c r="T36" s="42"/>
      <c r="U36" s="42"/>
      <c r="V36" s="3"/>
      <c r="W36" s="3"/>
      <c r="X36" s="3"/>
      <c r="Y36" s="3"/>
      <c r="Z36" s="3"/>
      <c r="AA36" s="3"/>
      <c r="AB36" s="3"/>
      <c r="AE36" s="42">
        <f t="shared" si="1"/>
        <v>43110</v>
      </c>
      <c r="AF36" s="42">
        <f t="shared" si="2"/>
        <v>28467.110000000004</v>
      </c>
      <c r="AG36" s="42" t="str">
        <f t="shared" si="3"/>
        <v/>
      </c>
      <c r="AH36" s="42" t="str">
        <f t="shared" si="4"/>
        <v/>
      </c>
      <c r="AI36" s="42" t="str">
        <f t="shared" si="5"/>
        <v/>
      </c>
      <c r="AJ36" s="42" t="str">
        <f t="shared" si="6"/>
        <v/>
      </c>
      <c r="AK36" s="42" t="str">
        <f t="shared" si="7"/>
        <v/>
      </c>
      <c r="AO36" s="86">
        <f ca="1"/>
        <v>37932.833333333336</v>
      </c>
      <c r="AP36" s="87">
        <f ca="1"/>
        <v>1533.01</v>
      </c>
      <c r="AQ36" s="87">
        <f ca="1"/>
        <v>1532.11</v>
      </c>
      <c r="AR36" s="88">
        <f ca="1"/>
        <v>37932.833333333336</v>
      </c>
      <c r="AS36" s="87">
        <f ca="1"/>
        <v>1410</v>
      </c>
      <c r="AT36" s="87">
        <f ca="1"/>
        <v>1054.54</v>
      </c>
    </row>
    <row r="37" spans="2:46" x14ac:dyDescent="0.25">
      <c r="B37" s="56"/>
      <c r="K37" s="53"/>
      <c r="M37" s="42">
        <v>33</v>
      </c>
      <c r="N37" s="3" t="s">
        <v>93</v>
      </c>
      <c r="O37" s="49">
        <f t="shared" si="0"/>
        <v>37932.833333333336</v>
      </c>
      <c r="P37" s="42">
        <v>1533.01</v>
      </c>
      <c r="Q37" s="42">
        <v>1410</v>
      </c>
      <c r="R37" s="42">
        <v>1532.11</v>
      </c>
      <c r="S37" s="42">
        <v>1054.54</v>
      </c>
      <c r="T37" s="42"/>
      <c r="U37" s="42"/>
      <c r="V37" s="3"/>
      <c r="W37" s="3"/>
      <c r="X37" s="3"/>
      <c r="Y37" s="3"/>
      <c r="Z37" s="3"/>
      <c r="AA37" s="3"/>
      <c r="AB37" s="3"/>
      <c r="AE37" s="42">
        <f t="shared" si="1"/>
        <v>44520</v>
      </c>
      <c r="AF37" s="42">
        <f t="shared" si="2"/>
        <v>29521.650000000005</v>
      </c>
      <c r="AG37" s="42" t="str">
        <f t="shared" si="3"/>
        <v/>
      </c>
      <c r="AH37" s="42" t="str">
        <f t="shared" si="4"/>
        <v/>
      </c>
      <c r="AI37" s="42" t="str">
        <f t="shared" si="5"/>
        <v/>
      </c>
      <c r="AJ37" s="42" t="str">
        <f t="shared" si="6"/>
        <v/>
      </c>
      <c r="AK37" s="42" t="str">
        <f t="shared" si="7"/>
        <v/>
      </c>
      <c r="AO37" s="86">
        <f ca="1"/>
        <v>37932.875</v>
      </c>
      <c r="AP37" s="87">
        <f ca="1"/>
        <v>1532.97</v>
      </c>
      <c r="AQ37" s="87">
        <f ca="1"/>
        <v>1532.11</v>
      </c>
      <c r="AR37" s="88">
        <f ca="1"/>
        <v>37932.875</v>
      </c>
      <c r="AS37" s="87">
        <f ca="1"/>
        <v>1380</v>
      </c>
      <c r="AT37" s="87">
        <f ca="1"/>
        <v>1054.75</v>
      </c>
    </row>
    <row r="38" spans="2:46" x14ac:dyDescent="0.25">
      <c r="B38" s="56"/>
      <c r="K38" s="53"/>
      <c r="M38" s="42">
        <v>34</v>
      </c>
      <c r="N38" s="3" t="s">
        <v>94</v>
      </c>
      <c r="O38" s="49">
        <f t="shared" si="0"/>
        <v>37932.875</v>
      </c>
      <c r="P38" s="42">
        <v>1532.97</v>
      </c>
      <c r="Q38" s="42">
        <v>1380</v>
      </c>
      <c r="R38" s="42">
        <v>1532.11</v>
      </c>
      <c r="S38" s="42">
        <v>1054.75</v>
      </c>
      <c r="T38" s="42"/>
      <c r="U38" s="42"/>
      <c r="V38" s="3"/>
      <c r="W38" s="3"/>
      <c r="X38" s="3"/>
      <c r="Y38" s="3"/>
      <c r="Z38" s="3"/>
      <c r="AA38" s="3"/>
      <c r="AB38" s="3"/>
      <c r="AE38" s="42">
        <f t="shared" si="1"/>
        <v>45900</v>
      </c>
      <c r="AF38" s="42">
        <f t="shared" si="2"/>
        <v>30576.400000000005</v>
      </c>
      <c r="AG38" s="42" t="str">
        <f t="shared" si="3"/>
        <v/>
      </c>
      <c r="AH38" s="42" t="str">
        <f t="shared" si="4"/>
        <v/>
      </c>
      <c r="AI38" s="42" t="str">
        <f t="shared" si="5"/>
        <v/>
      </c>
      <c r="AJ38" s="42" t="str">
        <f t="shared" si="6"/>
        <v/>
      </c>
      <c r="AK38" s="42" t="str">
        <f t="shared" si="7"/>
        <v/>
      </c>
      <c r="AO38" s="86">
        <f ca="1"/>
        <v>37932.916666666664</v>
      </c>
      <c r="AP38" s="87">
        <f ca="1"/>
        <v>1532.93</v>
      </c>
      <c r="AQ38" s="87">
        <f ca="1"/>
        <v>1532.1</v>
      </c>
      <c r="AR38" s="88">
        <f ca="1"/>
        <v>37932.916666666664</v>
      </c>
      <c r="AS38" s="87">
        <f ca="1"/>
        <v>1350</v>
      </c>
      <c r="AT38" s="87">
        <f ca="1"/>
        <v>1050.1600000000001</v>
      </c>
    </row>
    <row r="39" spans="2:46" x14ac:dyDescent="0.25">
      <c r="B39" s="56"/>
      <c r="K39" s="53"/>
      <c r="M39" s="42">
        <v>35</v>
      </c>
      <c r="N39" s="3" t="s">
        <v>95</v>
      </c>
      <c r="O39" s="49">
        <f t="shared" si="0"/>
        <v>37932.916666666664</v>
      </c>
      <c r="P39" s="42">
        <v>1532.93</v>
      </c>
      <c r="Q39" s="42">
        <v>1350</v>
      </c>
      <c r="R39" s="42">
        <v>1532.1</v>
      </c>
      <c r="S39" s="42">
        <v>1050.1600000000001</v>
      </c>
      <c r="T39" s="42"/>
      <c r="U39" s="42"/>
      <c r="V39" s="3"/>
      <c r="W39" s="3"/>
      <c r="X39" s="3"/>
      <c r="Y39" s="3"/>
      <c r="Z39" s="3"/>
      <c r="AA39" s="3"/>
      <c r="AB39" s="3"/>
      <c r="AE39" s="42">
        <f t="shared" si="1"/>
        <v>47250</v>
      </c>
      <c r="AF39" s="42">
        <f t="shared" si="2"/>
        <v>31626.560000000005</v>
      </c>
      <c r="AG39" s="42" t="str">
        <f t="shared" si="3"/>
        <v/>
      </c>
      <c r="AH39" s="42" t="str">
        <f t="shared" si="4"/>
        <v/>
      </c>
      <c r="AI39" s="42" t="str">
        <f t="shared" si="5"/>
        <v/>
      </c>
      <c r="AJ39" s="42" t="str">
        <f t="shared" si="6"/>
        <v/>
      </c>
      <c r="AK39" s="42" t="str">
        <f t="shared" si="7"/>
        <v/>
      </c>
      <c r="AO39" s="86">
        <f ca="1"/>
        <v>37932.958333333336</v>
      </c>
      <c r="AP39" s="87">
        <f ca="1"/>
        <v>1532.88</v>
      </c>
      <c r="AQ39" s="87">
        <f ca="1"/>
        <v>1532.09</v>
      </c>
      <c r="AR39" s="88">
        <f ca="1"/>
        <v>37932.958333333336</v>
      </c>
      <c r="AS39" s="87">
        <f ca="1"/>
        <v>1320</v>
      </c>
      <c r="AT39" s="87">
        <f ca="1"/>
        <v>1043.9000000000001</v>
      </c>
    </row>
    <row r="40" spans="2:46" x14ac:dyDescent="0.25">
      <c r="B40" s="56"/>
      <c r="K40" s="53"/>
      <c r="M40" s="42">
        <v>36</v>
      </c>
      <c r="N40" s="3" t="s">
        <v>96</v>
      </c>
      <c r="O40" s="49">
        <f t="shared" si="0"/>
        <v>37932.958333333336</v>
      </c>
      <c r="P40" s="42">
        <v>1532.88</v>
      </c>
      <c r="Q40" s="42">
        <v>1320</v>
      </c>
      <c r="R40" s="42">
        <v>1532.09</v>
      </c>
      <c r="S40" s="42">
        <v>1043.9000000000001</v>
      </c>
      <c r="T40" s="42"/>
      <c r="U40" s="42"/>
      <c r="V40" s="3"/>
      <c r="W40" s="3"/>
      <c r="X40" s="3"/>
      <c r="Y40" s="3"/>
      <c r="Z40" s="3"/>
      <c r="AA40" s="3"/>
      <c r="AB40" s="3"/>
      <c r="AE40" s="42">
        <f t="shared" si="1"/>
        <v>48570</v>
      </c>
      <c r="AF40" s="42">
        <f t="shared" si="2"/>
        <v>32670.460000000006</v>
      </c>
      <c r="AG40" s="42" t="str">
        <f t="shared" si="3"/>
        <v/>
      </c>
      <c r="AH40" s="42" t="str">
        <f t="shared" si="4"/>
        <v/>
      </c>
      <c r="AI40" s="42" t="str">
        <f t="shared" si="5"/>
        <v/>
      </c>
      <c r="AJ40" s="42" t="str">
        <f t="shared" si="6"/>
        <v/>
      </c>
      <c r="AK40" s="42" t="str">
        <f t="shared" si="7"/>
        <v/>
      </c>
      <c r="AO40" s="86">
        <f ca="1"/>
        <v>37933</v>
      </c>
      <c r="AP40" s="87">
        <f ca="1"/>
        <v>1532.84</v>
      </c>
      <c r="AQ40" s="87">
        <f ca="1"/>
        <v>1532.08</v>
      </c>
      <c r="AR40" s="88">
        <f ca="1"/>
        <v>37933</v>
      </c>
      <c r="AS40" s="87">
        <f ca="1"/>
        <v>1300</v>
      </c>
      <c r="AT40" s="87">
        <f ca="1"/>
        <v>1039.81</v>
      </c>
    </row>
    <row r="41" spans="2:46" x14ac:dyDescent="0.25">
      <c r="B41" s="56"/>
      <c r="K41" s="53"/>
      <c r="M41" s="42">
        <v>37</v>
      </c>
      <c r="N41" s="3" t="s">
        <v>97</v>
      </c>
      <c r="O41" s="49">
        <f t="shared" si="0"/>
        <v>37933</v>
      </c>
      <c r="P41" s="42">
        <v>1532.84</v>
      </c>
      <c r="Q41" s="42">
        <v>1300</v>
      </c>
      <c r="R41" s="42">
        <v>1532.08</v>
      </c>
      <c r="S41" s="42">
        <v>1039.81</v>
      </c>
      <c r="T41" s="42"/>
      <c r="U41" s="42"/>
      <c r="V41" s="3"/>
      <c r="W41" s="3"/>
      <c r="X41" s="3"/>
      <c r="Y41" s="3"/>
      <c r="Z41" s="3"/>
      <c r="AA41" s="3"/>
      <c r="AB41" s="3"/>
      <c r="AE41" s="42">
        <f t="shared" si="1"/>
        <v>49870</v>
      </c>
      <c r="AF41" s="42">
        <f t="shared" si="2"/>
        <v>33710.270000000004</v>
      </c>
      <c r="AG41" s="42" t="str">
        <f t="shared" si="3"/>
        <v/>
      </c>
      <c r="AH41" s="42" t="str">
        <f t="shared" si="4"/>
        <v/>
      </c>
      <c r="AI41" s="42" t="str">
        <f t="shared" si="5"/>
        <v/>
      </c>
      <c r="AJ41" s="42" t="str">
        <f t="shared" si="6"/>
        <v/>
      </c>
      <c r="AK41" s="42" t="str">
        <f t="shared" si="7"/>
        <v/>
      </c>
      <c r="AO41" s="86">
        <f ca="1"/>
        <v>37933.041666666664</v>
      </c>
      <c r="AP41" s="87">
        <f ca="1"/>
        <v>1532.79</v>
      </c>
      <c r="AQ41" s="87">
        <f ca="1"/>
        <v>1532.08</v>
      </c>
      <c r="AR41" s="88">
        <f ca="1"/>
        <v>37933.041666666664</v>
      </c>
      <c r="AS41" s="87">
        <f ca="1"/>
        <v>1260</v>
      </c>
      <c r="AT41" s="87">
        <f ca="1"/>
        <v>1034.95</v>
      </c>
    </row>
    <row r="42" spans="2:46" x14ac:dyDescent="0.25">
      <c r="B42" s="56"/>
      <c r="K42" s="53"/>
      <c r="M42" s="42">
        <v>38</v>
      </c>
      <c r="N42" s="3" t="s">
        <v>98</v>
      </c>
      <c r="O42" s="49">
        <f t="shared" si="0"/>
        <v>37933.041666666664</v>
      </c>
      <c r="P42" s="42">
        <v>1532.79</v>
      </c>
      <c r="Q42" s="42">
        <v>1260</v>
      </c>
      <c r="R42" s="42">
        <v>1532.08</v>
      </c>
      <c r="S42" s="42">
        <v>1034.95</v>
      </c>
      <c r="T42" s="42"/>
      <c r="U42" s="42"/>
      <c r="V42" s="3"/>
      <c r="W42" s="3"/>
      <c r="X42" s="3"/>
      <c r="Y42" s="3"/>
      <c r="Z42" s="3"/>
      <c r="AA42" s="3"/>
      <c r="AB42" s="3"/>
      <c r="AE42" s="42">
        <f t="shared" si="1"/>
        <v>51130</v>
      </c>
      <c r="AF42" s="42">
        <f t="shared" si="2"/>
        <v>34745.22</v>
      </c>
      <c r="AG42" s="42" t="str">
        <f t="shared" si="3"/>
        <v/>
      </c>
      <c r="AH42" s="42" t="str">
        <f t="shared" si="4"/>
        <v/>
      </c>
      <c r="AI42" s="42" t="str">
        <f t="shared" si="5"/>
        <v/>
      </c>
      <c r="AJ42" s="42" t="str">
        <f t="shared" si="6"/>
        <v/>
      </c>
      <c r="AK42" s="42" t="str">
        <f t="shared" si="7"/>
        <v/>
      </c>
      <c r="AO42" s="86">
        <f ca="1"/>
        <v>37933.083333333336</v>
      </c>
      <c r="AP42" s="87">
        <f ca="1"/>
        <v>1532.75</v>
      </c>
      <c r="AQ42" s="87">
        <f ca="1"/>
        <v>1532.07</v>
      </c>
      <c r="AR42" s="88">
        <f ca="1"/>
        <v>37933.083333333336</v>
      </c>
      <c r="AS42" s="87">
        <f ca="1"/>
        <v>1240</v>
      </c>
      <c r="AT42" s="87">
        <f ca="1"/>
        <v>1028.8</v>
      </c>
    </row>
    <row r="43" spans="2:46" x14ac:dyDescent="0.25">
      <c r="B43" s="56"/>
      <c r="K43" s="53"/>
      <c r="M43" s="42">
        <v>39</v>
      </c>
      <c r="N43" s="3" t="s">
        <v>99</v>
      </c>
      <c r="O43" s="49">
        <f t="shared" si="0"/>
        <v>37933.083333333336</v>
      </c>
      <c r="P43" s="42">
        <v>1532.75</v>
      </c>
      <c r="Q43" s="42">
        <v>1240</v>
      </c>
      <c r="R43" s="42">
        <v>1532.07</v>
      </c>
      <c r="S43" s="42">
        <v>1028.8</v>
      </c>
      <c r="T43" s="42"/>
      <c r="U43" s="42"/>
      <c r="V43" s="3"/>
      <c r="W43" s="3"/>
      <c r="X43" s="3"/>
      <c r="Y43" s="3"/>
      <c r="Z43" s="3"/>
      <c r="AA43" s="3"/>
      <c r="AB43" s="3"/>
      <c r="AE43" s="42">
        <f t="shared" si="1"/>
        <v>52370</v>
      </c>
      <c r="AF43" s="42">
        <f t="shared" si="2"/>
        <v>35774.020000000004</v>
      </c>
      <c r="AG43" s="42" t="str">
        <f t="shared" si="3"/>
        <v/>
      </c>
      <c r="AH43" s="42" t="str">
        <f t="shared" si="4"/>
        <v/>
      </c>
      <c r="AI43" s="42" t="str">
        <f t="shared" si="5"/>
        <v/>
      </c>
      <c r="AJ43" s="42" t="str">
        <f t="shared" si="6"/>
        <v/>
      </c>
      <c r="AK43" s="42" t="str">
        <f t="shared" si="7"/>
        <v/>
      </c>
      <c r="AO43" s="86">
        <f ca="1"/>
        <v>37933.125</v>
      </c>
      <c r="AP43" s="87">
        <f ca="1"/>
        <v>1532.71</v>
      </c>
      <c r="AQ43" s="87">
        <f ca="1"/>
        <v>1532.06</v>
      </c>
      <c r="AR43" s="88">
        <f ca="1"/>
        <v>37933.125</v>
      </c>
      <c r="AS43" s="87">
        <f ca="1"/>
        <v>1210</v>
      </c>
      <c r="AT43" s="87">
        <f ca="1"/>
        <v>1022.41</v>
      </c>
    </row>
    <row r="44" spans="2:46" x14ac:dyDescent="0.25">
      <c r="B44" s="56"/>
      <c r="E44" t="s">
        <v>57</v>
      </c>
      <c r="K44" s="53"/>
      <c r="M44" s="42">
        <v>40</v>
      </c>
      <c r="N44" s="3" t="s">
        <v>100</v>
      </c>
      <c r="O44" s="49">
        <f t="shared" si="0"/>
        <v>37933.125</v>
      </c>
      <c r="P44" s="42">
        <v>1532.71</v>
      </c>
      <c r="Q44" s="42">
        <v>1210</v>
      </c>
      <c r="R44" s="42">
        <v>1532.06</v>
      </c>
      <c r="S44" s="42">
        <v>1022.41</v>
      </c>
      <c r="T44" s="42"/>
      <c r="U44" s="42"/>
      <c r="V44" s="3"/>
      <c r="W44" s="3"/>
      <c r="X44" s="3"/>
      <c r="Y44" s="3"/>
      <c r="Z44" s="3"/>
      <c r="AA44" s="3"/>
      <c r="AB44" s="3"/>
      <c r="AE44" s="42">
        <f t="shared" si="1"/>
        <v>53580</v>
      </c>
      <c r="AF44" s="42">
        <f t="shared" si="2"/>
        <v>36796.430000000008</v>
      </c>
      <c r="AG44" s="42" t="str">
        <f t="shared" si="3"/>
        <v/>
      </c>
      <c r="AH44" s="42" t="str">
        <f t="shared" si="4"/>
        <v/>
      </c>
      <c r="AI44" s="42" t="str">
        <f t="shared" si="5"/>
        <v/>
      </c>
      <c r="AJ44" s="42" t="str">
        <f t="shared" si="6"/>
        <v/>
      </c>
      <c r="AK44" s="42" t="str">
        <f t="shared" si="7"/>
        <v/>
      </c>
      <c r="AO44" s="86">
        <f ca="1"/>
        <v>37933.166666666664</v>
      </c>
      <c r="AP44" s="87">
        <f ca="1"/>
        <v>1532.67</v>
      </c>
      <c r="AQ44" s="87">
        <f ca="1"/>
        <v>1532.04</v>
      </c>
      <c r="AR44" s="88">
        <f ca="1"/>
        <v>37933.166666666664</v>
      </c>
      <c r="AS44" s="87">
        <f ca="1"/>
        <v>1190</v>
      </c>
      <c r="AT44" s="87">
        <f ca="1"/>
        <v>1015</v>
      </c>
    </row>
    <row r="45" spans="2:46" x14ac:dyDescent="0.25">
      <c r="B45" s="56"/>
      <c r="K45" s="53"/>
      <c r="M45" s="42">
        <v>41</v>
      </c>
      <c r="N45" s="3" t="s">
        <v>101</v>
      </c>
      <c r="O45" s="49">
        <f t="shared" si="0"/>
        <v>37933.166666666664</v>
      </c>
      <c r="P45" s="42">
        <v>1532.67</v>
      </c>
      <c r="Q45" s="42">
        <v>1190</v>
      </c>
      <c r="R45" s="42">
        <v>1532.04</v>
      </c>
      <c r="S45" s="42">
        <v>1015</v>
      </c>
      <c r="T45" s="42"/>
      <c r="U45" s="42"/>
      <c r="V45" s="3"/>
      <c r="W45" s="3"/>
      <c r="X45" s="3"/>
      <c r="Y45" s="3"/>
      <c r="Z45" s="3"/>
      <c r="AA45" s="3"/>
      <c r="AB45" s="3"/>
      <c r="AE45" s="42">
        <f t="shared" si="1"/>
        <v>54770</v>
      </c>
      <c r="AF45" s="42">
        <f t="shared" si="2"/>
        <v>37811.430000000008</v>
      </c>
      <c r="AG45" s="42" t="str">
        <f t="shared" si="3"/>
        <v/>
      </c>
      <c r="AH45" s="42" t="str">
        <f t="shared" si="4"/>
        <v/>
      </c>
      <c r="AI45" s="42" t="str">
        <f t="shared" si="5"/>
        <v/>
      </c>
      <c r="AJ45" s="42" t="str">
        <f t="shared" si="6"/>
        <v/>
      </c>
      <c r="AK45" s="42" t="str">
        <f t="shared" si="7"/>
        <v/>
      </c>
      <c r="AO45" s="86">
        <f ca="1"/>
        <v>37933.208333333336</v>
      </c>
      <c r="AP45" s="87">
        <f ca="1"/>
        <v>1532.62</v>
      </c>
      <c r="AQ45" s="87">
        <f ca="1"/>
        <v>1532.03</v>
      </c>
      <c r="AR45" s="88">
        <f ca="1"/>
        <v>37933.208333333336</v>
      </c>
      <c r="AS45" s="87">
        <f ca="1"/>
        <v>1160</v>
      </c>
      <c r="AT45" s="87">
        <f ca="1"/>
        <v>1007.05</v>
      </c>
    </row>
    <row r="46" spans="2:46" x14ac:dyDescent="0.25">
      <c r="B46" s="56"/>
      <c r="K46" s="53"/>
      <c r="M46" s="42">
        <v>42</v>
      </c>
      <c r="N46" s="3" t="s">
        <v>102</v>
      </c>
      <c r="O46" s="49">
        <f t="shared" si="0"/>
        <v>37933.208333333336</v>
      </c>
      <c r="P46" s="42">
        <v>1532.62</v>
      </c>
      <c r="Q46" s="42">
        <v>1160</v>
      </c>
      <c r="R46" s="42">
        <v>1532.03</v>
      </c>
      <c r="S46" s="42">
        <v>1007.05</v>
      </c>
      <c r="T46" s="42"/>
      <c r="U46" s="42"/>
      <c r="V46" s="3"/>
      <c r="W46" s="3"/>
      <c r="X46" s="3"/>
      <c r="Y46" s="3"/>
      <c r="Z46" s="3"/>
      <c r="AA46" s="3"/>
      <c r="AB46" s="3"/>
      <c r="AE46" s="42">
        <f t="shared" si="1"/>
        <v>55930</v>
      </c>
      <c r="AF46" s="42">
        <f t="shared" si="2"/>
        <v>38818.48000000001</v>
      </c>
      <c r="AG46" s="42" t="str">
        <f t="shared" si="3"/>
        <v/>
      </c>
      <c r="AH46" s="42" t="str">
        <f t="shared" si="4"/>
        <v/>
      </c>
      <c r="AI46" s="42" t="str">
        <f t="shared" si="5"/>
        <v/>
      </c>
      <c r="AJ46" s="42" t="str">
        <f t="shared" si="6"/>
        <v/>
      </c>
      <c r="AK46" s="42" t="str">
        <f t="shared" si="7"/>
        <v/>
      </c>
      <c r="AO46" s="86">
        <f ca="1"/>
        <v>37933.25</v>
      </c>
      <c r="AP46" s="87">
        <f ca="1"/>
        <v>1532.58</v>
      </c>
      <c r="AQ46" s="87">
        <f ca="1"/>
        <v>1532.02</v>
      </c>
      <c r="AR46" s="88">
        <f ca="1"/>
        <v>37933.25</v>
      </c>
      <c r="AS46" s="87">
        <f ca="1"/>
        <v>1140</v>
      </c>
      <c r="AT46" s="87">
        <f ca="1"/>
        <v>999.88</v>
      </c>
    </row>
    <row r="47" spans="2:46" x14ac:dyDescent="0.25">
      <c r="B47" s="56"/>
      <c r="K47" s="53"/>
      <c r="M47" s="42">
        <v>43</v>
      </c>
      <c r="N47" s="3" t="s">
        <v>103</v>
      </c>
      <c r="O47" s="49">
        <f t="shared" si="0"/>
        <v>37933.25</v>
      </c>
      <c r="P47" s="42">
        <v>1532.58</v>
      </c>
      <c r="Q47" s="42">
        <v>1140</v>
      </c>
      <c r="R47" s="42">
        <v>1532.02</v>
      </c>
      <c r="S47" s="42">
        <v>999.88</v>
      </c>
      <c r="T47" s="42"/>
      <c r="U47" s="42"/>
      <c r="V47" s="3"/>
      <c r="W47" s="3"/>
      <c r="X47" s="3"/>
      <c r="Y47" s="3"/>
      <c r="Z47" s="3"/>
      <c r="AA47" s="3"/>
      <c r="AB47" s="3"/>
      <c r="AE47" s="42">
        <f t="shared" si="1"/>
        <v>57070</v>
      </c>
      <c r="AF47" s="42">
        <f t="shared" si="2"/>
        <v>39818.360000000008</v>
      </c>
      <c r="AG47" s="42" t="str">
        <f t="shared" si="3"/>
        <v/>
      </c>
      <c r="AH47" s="42" t="str">
        <f t="shared" si="4"/>
        <v/>
      </c>
      <c r="AI47" s="42" t="str">
        <f t="shared" si="5"/>
        <v/>
      </c>
      <c r="AJ47" s="42" t="str">
        <f t="shared" si="6"/>
        <v/>
      </c>
      <c r="AK47" s="42" t="str">
        <f t="shared" si="7"/>
        <v/>
      </c>
      <c r="AO47" s="86">
        <f ca="1"/>
        <v>37933.291666666664</v>
      </c>
      <c r="AP47" s="87">
        <f ca="1"/>
        <v>1532.53</v>
      </c>
      <c r="AQ47" s="87">
        <f ca="1"/>
        <v>1532.01</v>
      </c>
      <c r="AR47" s="88">
        <f ca="1"/>
        <v>37933.291666666664</v>
      </c>
      <c r="AS47" s="87">
        <f ca="1"/>
        <v>1110</v>
      </c>
      <c r="AT47" s="87">
        <f ca="1"/>
        <v>992.72</v>
      </c>
    </row>
    <row r="48" spans="2:46" x14ac:dyDescent="0.25">
      <c r="B48" s="56"/>
      <c r="K48" s="53"/>
      <c r="M48" s="42">
        <v>44</v>
      </c>
      <c r="N48" s="3" t="s">
        <v>104</v>
      </c>
      <c r="O48" s="49">
        <f t="shared" si="0"/>
        <v>37933.291666666664</v>
      </c>
      <c r="P48" s="42">
        <v>1532.53</v>
      </c>
      <c r="Q48" s="42">
        <v>1110</v>
      </c>
      <c r="R48" s="42">
        <v>1532.01</v>
      </c>
      <c r="S48" s="42">
        <v>992.72</v>
      </c>
      <c r="T48" s="42"/>
      <c r="U48" s="42"/>
      <c r="V48" s="3"/>
      <c r="W48" s="3"/>
      <c r="X48" s="3"/>
      <c r="Y48" s="3"/>
      <c r="Z48" s="3"/>
      <c r="AA48" s="3"/>
      <c r="AB48" s="3"/>
      <c r="AE48" s="42">
        <f t="shared" si="1"/>
        <v>58180</v>
      </c>
      <c r="AF48" s="42">
        <f t="shared" si="2"/>
        <v>40811.080000000009</v>
      </c>
      <c r="AG48" s="42" t="str">
        <f t="shared" si="3"/>
        <v/>
      </c>
      <c r="AH48" s="42" t="str">
        <f t="shared" si="4"/>
        <v/>
      </c>
      <c r="AI48" s="42" t="str">
        <f t="shared" si="5"/>
        <v/>
      </c>
      <c r="AJ48" s="42" t="str">
        <f t="shared" si="6"/>
        <v/>
      </c>
      <c r="AK48" s="42" t="str">
        <f t="shared" si="7"/>
        <v/>
      </c>
      <c r="AO48" s="86">
        <f ca="1"/>
        <v>37933.333333333336</v>
      </c>
      <c r="AP48" s="87">
        <f ca="1"/>
        <v>1532.49</v>
      </c>
      <c r="AQ48" s="87">
        <f ca="1"/>
        <v>1531.99</v>
      </c>
      <c r="AR48" s="88">
        <f ca="1"/>
        <v>37933.333333333336</v>
      </c>
      <c r="AS48" s="87">
        <f ca="1"/>
        <v>1080</v>
      </c>
      <c r="AT48" s="87">
        <f ca="1"/>
        <v>985.44</v>
      </c>
    </row>
    <row r="49" spans="2:46" x14ac:dyDescent="0.25">
      <c r="B49" s="56"/>
      <c r="K49" s="53"/>
      <c r="M49" s="42">
        <v>45</v>
      </c>
      <c r="N49" s="3" t="s">
        <v>105</v>
      </c>
      <c r="O49" s="49">
        <f t="shared" si="0"/>
        <v>37933.333333333336</v>
      </c>
      <c r="P49" s="42">
        <v>1532.49</v>
      </c>
      <c r="Q49" s="42">
        <v>1080</v>
      </c>
      <c r="R49" s="42">
        <v>1531.99</v>
      </c>
      <c r="S49" s="42">
        <v>985.44</v>
      </c>
      <c r="T49" s="42"/>
      <c r="U49" s="42"/>
      <c r="V49" s="3"/>
      <c r="W49" s="3"/>
      <c r="X49" s="3"/>
      <c r="Y49" s="3"/>
      <c r="Z49" s="3"/>
      <c r="AA49" s="3"/>
      <c r="AB49" s="3"/>
      <c r="AE49" s="42">
        <f t="shared" si="1"/>
        <v>59260</v>
      </c>
      <c r="AF49" s="42">
        <f t="shared" si="2"/>
        <v>41796.520000000011</v>
      </c>
      <c r="AG49" s="42" t="str">
        <f t="shared" si="3"/>
        <v/>
      </c>
      <c r="AH49" s="42" t="str">
        <f t="shared" si="4"/>
        <v/>
      </c>
      <c r="AI49" s="42" t="str">
        <f t="shared" si="5"/>
        <v/>
      </c>
      <c r="AJ49" s="42" t="str">
        <f t="shared" si="6"/>
        <v/>
      </c>
      <c r="AK49" s="42" t="str">
        <f t="shared" si="7"/>
        <v/>
      </c>
      <c r="AO49" s="86">
        <f ca="1"/>
        <v>37933.375</v>
      </c>
      <c r="AP49" s="87">
        <f ca="1"/>
        <v>1532.45</v>
      </c>
      <c r="AQ49" s="87">
        <f ca="1"/>
        <v>1531.98</v>
      </c>
      <c r="AR49" s="88">
        <f ca="1"/>
        <v>37933.375</v>
      </c>
      <c r="AS49" s="87">
        <f ca="1"/>
        <v>1060</v>
      </c>
      <c r="AT49" s="87">
        <f ca="1"/>
        <v>977.87</v>
      </c>
    </row>
    <row r="50" spans="2:46" x14ac:dyDescent="0.25">
      <c r="B50" s="56"/>
      <c r="K50" s="53"/>
      <c r="M50" s="42">
        <v>46</v>
      </c>
      <c r="N50" s="3" t="s">
        <v>106</v>
      </c>
      <c r="O50" s="49">
        <f t="shared" si="0"/>
        <v>37933.375</v>
      </c>
      <c r="P50" s="42">
        <v>1532.45</v>
      </c>
      <c r="Q50" s="42">
        <v>1060</v>
      </c>
      <c r="R50" s="42">
        <v>1531.98</v>
      </c>
      <c r="S50" s="42">
        <v>977.87</v>
      </c>
      <c r="T50" s="42"/>
      <c r="U50" s="42"/>
      <c r="V50" s="3"/>
      <c r="W50" s="3"/>
      <c r="X50" s="3"/>
      <c r="Y50" s="3"/>
      <c r="Z50" s="3"/>
      <c r="AA50" s="3"/>
      <c r="AB50" s="3"/>
      <c r="AE50" s="42">
        <f t="shared" si="1"/>
        <v>60320</v>
      </c>
      <c r="AF50" s="42">
        <f t="shared" si="2"/>
        <v>42774.390000000014</v>
      </c>
      <c r="AG50" s="42" t="str">
        <f t="shared" si="3"/>
        <v/>
      </c>
      <c r="AH50" s="42" t="str">
        <f t="shared" si="4"/>
        <v/>
      </c>
      <c r="AI50" s="42" t="str">
        <f t="shared" si="5"/>
        <v/>
      </c>
      <c r="AJ50" s="42" t="str">
        <f t="shared" si="6"/>
        <v/>
      </c>
      <c r="AK50" s="42" t="str">
        <f t="shared" si="7"/>
        <v/>
      </c>
      <c r="AO50" s="86">
        <f ca="1"/>
        <v>37933.416666666664</v>
      </c>
      <c r="AP50" s="87">
        <f ca="1"/>
        <v>1532.41</v>
      </c>
      <c r="AQ50" s="87">
        <f ca="1"/>
        <v>1531.97</v>
      </c>
      <c r="AR50" s="88">
        <f ca="1"/>
        <v>37933.416666666664</v>
      </c>
      <c r="AS50" s="87">
        <f ca="1"/>
        <v>1040</v>
      </c>
      <c r="AT50" s="87">
        <f ca="1"/>
        <v>971.14</v>
      </c>
    </row>
    <row r="51" spans="2:46" x14ac:dyDescent="0.25">
      <c r="B51" s="56"/>
      <c r="K51" s="53"/>
      <c r="M51" s="42">
        <v>47</v>
      </c>
      <c r="N51" s="3" t="s">
        <v>107</v>
      </c>
      <c r="O51" s="49">
        <f t="shared" si="0"/>
        <v>37933.416666666664</v>
      </c>
      <c r="P51" s="42">
        <v>1532.41</v>
      </c>
      <c r="Q51" s="42">
        <v>1040</v>
      </c>
      <c r="R51" s="42">
        <v>1531.97</v>
      </c>
      <c r="S51" s="42">
        <v>971.14</v>
      </c>
      <c r="T51" s="42"/>
      <c r="U51" s="42"/>
      <c r="V51" s="3"/>
      <c r="W51" s="3"/>
      <c r="X51" s="3"/>
      <c r="Y51" s="3"/>
      <c r="Z51" s="3"/>
      <c r="AA51" s="3"/>
      <c r="AB51" s="3"/>
      <c r="AE51" s="42">
        <f t="shared" si="1"/>
        <v>61360</v>
      </c>
      <c r="AF51" s="42">
        <f t="shared" si="2"/>
        <v>43745.530000000013</v>
      </c>
      <c r="AG51" s="42" t="str">
        <f t="shared" si="3"/>
        <v/>
      </c>
      <c r="AH51" s="42" t="str">
        <f t="shared" si="4"/>
        <v/>
      </c>
      <c r="AI51" s="42" t="str">
        <f t="shared" si="5"/>
        <v/>
      </c>
      <c r="AJ51" s="42" t="str">
        <f t="shared" si="6"/>
        <v/>
      </c>
      <c r="AK51" s="42" t="str">
        <f t="shared" si="7"/>
        <v/>
      </c>
      <c r="AO51" s="86">
        <f ca="1"/>
        <v>37933.458333333336</v>
      </c>
      <c r="AP51" s="87">
        <f ca="1"/>
        <v>1532.37</v>
      </c>
      <c r="AQ51" s="87">
        <f ca="1"/>
        <v>1531.96</v>
      </c>
      <c r="AR51" s="88">
        <f ca="1"/>
        <v>37933.458333333336</v>
      </c>
      <c r="AS51" s="87">
        <f ca="1"/>
        <v>1020</v>
      </c>
      <c r="AT51" s="87">
        <f ca="1"/>
        <v>962.63</v>
      </c>
    </row>
    <row r="52" spans="2:46" x14ac:dyDescent="0.25">
      <c r="B52" s="56"/>
      <c r="K52" s="53"/>
      <c r="M52" s="42">
        <v>48</v>
      </c>
      <c r="N52" s="3" t="s">
        <v>108</v>
      </c>
      <c r="O52" s="49">
        <f t="shared" si="0"/>
        <v>37933.458333333336</v>
      </c>
      <c r="P52" s="42">
        <v>1532.37</v>
      </c>
      <c r="Q52" s="42">
        <v>1020</v>
      </c>
      <c r="R52" s="42">
        <v>1531.96</v>
      </c>
      <c r="S52" s="42">
        <v>962.63</v>
      </c>
      <c r="T52" s="42"/>
      <c r="U52" s="42"/>
      <c r="V52" s="3"/>
      <c r="W52" s="3"/>
      <c r="X52" s="3"/>
      <c r="Y52" s="3"/>
      <c r="Z52" s="3"/>
      <c r="AA52" s="3"/>
      <c r="AB52" s="3"/>
      <c r="AE52" s="42">
        <f t="shared" si="1"/>
        <v>62380</v>
      </c>
      <c r="AF52" s="42">
        <f t="shared" si="2"/>
        <v>44708.160000000011</v>
      </c>
      <c r="AG52" s="42" t="str">
        <f t="shared" si="3"/>
        <v/>
      </c>
      <c r="AH52" s="42" t="str">
        <f t="shared" si="4"/>
        <v/>
      </c>
      <c r="AI52" s="42" t="str">
        <f t="shared" si="5"/>
        <v/>
      </c>
      <c r="AJ52" s="42" t="str">
        <f t="shared" si="6"/>
        <v/>
      </c>
      <c r="AK52" s="42" t="str">
        <f t="shared" si="7"/>
        <v/>
      </c>
      <c r="AO52" s="86">
        <f ca="1"/>
        <v>37933.5</v>
      </c>
      <c r="AP52" s="87">
        <f ca="1"/>
        <v>1532.33</v>
      </c>
      <c r="AQ52" s="87">
        <f ca="1"/>
        <v>1531.95</v>
      </c>
      <c r="AR52" s="88">
        <f ca="1"/>
        <v>37933.5</v>
      </c>
      <c r="AS52" s="87">
        <f ca="1"/>
        <v>999</v>
      </c>
      <c r="AT52" s="87">
        <f ca="1"/>
        <v>960.92</v>
      </c>
    </row>
    <row r="53" spans="2:46" x14ac:dyDescent="0.25">
      <c r="B53" s="56"/>
      <c r="C53" t="s">
        <v>590</v>
      </c>
      <c r="K53" s="53"/>
      <c r="M53" s="42">
        <v>49</v>
      </c>
      <c r="N53" s="3" t="s">
        <v>109</v>
      </c>
      <c r="O53" s="49">
        <f t="shared" si="0"/>
        <v>37933.5</v>
      </c>
      <c r="P53" s="42">
        <v>1532.33</v>
      </c>
      <c r="Q53" s="42">
        <v>999</v>
      </c>
      <c r="R53" s="42">
        <v>1531.95</v>
      </c>
      <c r="S53" s="42">
        <v>960.92</v>
      </c>
      <c r="T53" s="42"/>
      <c r="U53" s="42"/>
      <c r="V53" s="3"/>
      <c r="W53" s="3"/>
      <c r="X53" s="3"/>
      <c r="Y53" s="3"/>
      <c r="Z53" s="3"/>
      <c r="AA53" s="3"/>
      <c r="AB53" s="3"/>
      <c r="AE53" s="42">
        <f t="shared" si="1"/>
        <v>63379</v>
      </c>
      <c r="AF53" s="42">
        <f t="shared" si="2"/>
        <v>45669.080000000009</v>
      </c>
      <c r="AG53" s="42" t="str">
        <f t="shared" si="3"/>
        <v/>
      </c>
      <c r="AH53" s="42" t="str">
        <f t="shared" si="4"/>
        <v/>
      </c>
      <c r="AI53" s="42" t="str">
        <f t="shared" si="5"/>
        <v/>
      </c>
      <c r="AJ53" s="42" t="str">
        <f t="shared" si="6"/>
        <v/>
      </c>
      <c r="AK53" s="42" t="str">
        <f t="shared" si="7"/>
        <v/>
      </c>
      <c r="AO53" s="86">
        <f ca="1"/>
        <v>37933.541666666664</v>
      </c>
      <c r="AP53" s="87">
        <f ca="1"/>
        <v>1532.29</v>
      </c>
      <c r="AQ53" s="87">
        <f ca="1"/>
        <v>1531.95</v>
      </c>
      <c r="AR53" s="88">
        <f ca="1"/>
        <v>37933.541666666664</v>
      </c>
      <c r="AS53" s="87">
        <f ca="1"/>
        <v>978</v>
      </c>
      <c r="AT53" s="87">
        <f ca="1"/>
        <v>958.13</v>
      </c>
    </row>
    <row r="54" spans="2:46" x14ac:dyDescent="0.25">
      <c r="B54" s="56"/>
      <c r="K54" s="53"/>
      <c r="M54" s="42">
        <v>50</v>
      </c>
      <c r="N54" s="3" t="s">
        <v>110</v>
      </c>
      <c r="O54" s="49">
        <f t="shared" si="0"/>
        <v>37933.541666666664</v>
      </c>
      <c r="P54" s="42">
        <v>1532.29</v>
      </c>
      <c r="Q54" s="42">
        <v>978</v>
      </c>
      <c r="R54" s="42">
        <v>1531.95</v>
      </c>
      <c r="S54" s="42">
        <v>958.13</v>
      </c>
      <c r="T54" s="42"/>
      <c r="U54" s="42"/>
      <c r="V54" s="3"/>
      <c r="W54" s="3"/>
      <c r="X54" s="3"/>
      <c r="Y54" s="3"/>
      <c r="Z54" s="3"/>
      <c r="AA54" s="3"/>
      <c r="AB54" s="3"/>
      <c r="AE54" s="42">
        <f t="shared" si="1"/>
        <v>64357</v>
      </c>
      <c r="AF54" s="42">
        <f t="shared" si="2"/>
        <v>46627.210000000006</v>
      </c>
      <c r="AG54" s="42" t="str">
        <f t="shared" si="3"/>
        <v/>
      </c>
      <c r="AH54" s="42" t="str">
        <f t="shared" si="4"/>
        <v/>
      </c>
      <c r="AI54" s="42" t="str">
        <f t="shared" si="5"/>
        <v/>
      </c>
      <c r="AJ54" s="42" t="str">
        <f t="shared" si="6"/>
        <v/>
      </c>
      <c r="AK54" s="42" t="str">
        <f t="shared" si="7"/>
        <v/>
      </c>
      <c r="AO54" s="86">
        <f ca="1"/>
        <v>37933.583333333336</v>
      </c>
      <c r="AP54" s="87">
        <f ca="1"/>
        <v>1532.25</v>
      </c>
      <c r="AQ54" s="87">
        <f ca="1"/>
        <v>1531.94</v>
      </c>
      <c r="AR54" s="88">
        <f ca="1"/>
        <v>37933.583333333336</v>
      </c>
      <c r="AS54" s="87">
        <f ca="1"/>
        <v>958</v>
      </c>
      <c r="AT54" s="87">
        <f ca="1"/>
        <v>951.2</v>
      </c>
    </row>
    <row r="55" spans="2:46" x14ac:dyDescent="0.25">
      <c r="B55" s="56"/>
      <c r="K55" s="53"/>
      <c r="M55" s="42">
        <v>51</v>
      </c>
      <c r="N55" s="3" t="s">
        <v>111</v>
      </c>
      <c r="O55" s="49">
        <f t="shared" si="0"/>
        <v>37933.583333333336</v>
      </c>
      <c r="P55" s="42">
        <v>1532.25</v>
      </c>
      <c r="Q55" s="42">
        <v>958</v>
      </c>
      <c r="R55" s="42">
        <v>1531.94</v>
      </c>
      <c r="S55" s="42">
        <v>951.2</v>
      </c>
      <c r="T55" s="42"/>
      <c r="U55" s="42"/>
      <c r="V55" s="3"/>
      <c r="W55" s="3"/>
      <c r="X55" s="3"/>
      <c r="Y55" s="3"/>
      <c r="Z55" s="3"/>
      <c r="AA55" s="3"/>
      <c r="AB55" s="3"/>
      <c r="AE55" s="42">
        <f t="shared" si="1"/>
        <v>65315</v>
      </c>
      <c r="AF55" s="42">
        <f t="shared" si="2"/>
        <v>47578.41</v>
      </c>
      <c r="AG55" s="42" t="str">
        <f t="shared" si="3"/>
        <v/>
      </c>
      <c r="AH55" s="42" t="str">
        <f t="shared" si="4"/>
        <v/>
      </c>
      <c r="AI55" s="42" t="str">
        <f t="shared" si="5"/>
        <v/>
      </c>
      <c r="AJ55" s="42" t="str">
        <f t="shared" si="6"/>
        <v/>
      </c>
      <c r="AK55" s="42" t="str">
        <f t="shared" si="7"/>
        <v/>
      </c>
      <c r="AO55" s="86">
        <f ca="1"/>
        <v>37933.625</v>
      </c>
      <c r="AP55" s="87">
        <f ca="1"/>
        <v>1532.21</v>
      </c>
      <c r="AQ55" s="87">
        <f ca="1"/>
        <v>1531.93</v>
      </c>
      <c r="AR55" s="88">
        <f ca="1"/>
        <v>37933.625</v>
      </c>
      <c r="AS55" s="87">
        <f ca="1"/>
        <v>939</v>
      </c>
      <c r="AT55" s="87">
        <f ca="1"/>
        <v>946.58</v>
      </c>
    </row>
    <row r="56" spans="2:46" x14ac:dyDescent="0.25">
      <c r="B56" s="56"/>
      <c r="K56" s="53"/>
      <c r="M56" s="42">
        <v>52</v>
      </c>
      <c r="N56" s="3" t="s">
        <v>112</v>
      </c>
      <c r="O56" s="49">
        <f t="shared" si="0"/>
        <v>37933.625</v>
      </c>
      <c r="P56" s="42">
        <v>1532.21</v>
      </c>
      <c r="Q56" s="42">
        <v>939</v>
      </c>
      <c r="R56" s="42">
        <v>1531.93</v>
      </c>
      <c r="S56" s="42">
        <v>946.58</v>
      </c>
      <c r="T56" s="42"/>
      <c r="U56" s="42"/>
      <c r="V56" s="3"/>
      <c r="W56" s="3"/>
      <c r="X56" s="3"/>
      <c r="Y56" s="3"/>
      <c r="Z56" s="3"/>
      <c r="AA56" s="3"/>
      <c r="AB56" s="3"/>
      <c r="AE56" s="42">
        <f t="shared" si="1"/>
        <v>66254</v>
      </c>
      <c r="AF56" s="42">
        <f t="shared" si="2"/>
        <v>48524.990000000005</v>
      </c>
      <c r="AG56" s="42" t="str">
        <f t="shared" si="3"/>
        <v/>
      </c>
      <c r="AH56" s="42" t="str">
        <f t="shared" si="4"/>
        <v/>
      </c>
      <c r="AI56" s="42" t="str">
        <f t="shared" si="5"/>
        <v/>
      </c>
      <c r="AJ56" s="42" t="str">
        <f t="shared" si="6"/>
        <v/>
      </c>
      <c r="AK56" s="42" t="str">
        <f t="shared" si="7"/>
        <v/>
      </c>
      <c r="AO56" s="86">
        <f ca="1"/>
        <v>37933.666666666664</v>
      </c>
      <c r="AP56" s="87">
        <f ca="1"/>
        <v>1532.17</v>
      </c>
      <c r="AQ56" s="87">
        <f ca="1"/>
        <v>1531.92</v>
      </c>
      <c r="AR56" s="88">
        <f ca="1"/>
        <v>37933.666666666664</v>
      </c>
      <c r="AS56" s="87">
        <f ca="1"/>
        <v>919</v>
      </c>
      <c r="AT56" s="87">
        <f ca="1"/>
        <v>943.28</v>
      </c>
    </row>
    <row r="57" spans="2:46" x14ac:dyDescent="0.25">
      <c r="B57" s="56"/>
      <c r="K57" s="53"/>
      <c r="M57" s="42">
        <v>53</v>
      </c>
      <c r="N57" s="3" t="s">
        <v>113</v>
      </c>
      <c r="O57" s="49">
        <f t="shared" si="0"/>
        <v>37933.666666666664</v>
      </c>
      <c r="P57" s="42">
        <v>1532.17</v>
      </c>
      <c r="Q57" s="42">
        <v>919</v>
      </c>
      <c r="R57" s="42">
        <v>1531.92</v>
      </c>
      <c r="S57" s="42">
        <v>943.28</v>
      </c>
      <c r="T57" s="42"/>
      <c r="U57" s="42"/>
      <c r="V57" s="3"/>
      <c r="W57" s="3"/>
      <c r="X57" s="3"/>
      <c r="Y57" s="3"/>
      <c r="Z57" s="3"/>
      <c r="AA57" s="3"/>
      <c r="AB57" s="3"/>
      <c r="AE57" s="42">
        <f t="shared" si="1"/>
        <v>67173</v>
      </c>
      <c r="AF57" s="42">
        <f t="shared" si="2"/>
        <v>49468.270000000004</v>
      </c>
      <c r="AG57" s="42" t="str">
        <f t="shared" si="3"/>
        <v/>
      </c>
      <c r="AH57" s="42" t="str">
        <f t="shared" si="4"/>
        <v/>
      </c>
      <c r="AI57" s="42" t="str">
        <f t="shared" si="5"/>
        <v/>
      </c>
      <c r="AJ57" s="42" t="str">
        <f t="shared" si="6"/>
        <v/>
      </c>
      <c r="AK57" s="42" t="str">
        <f t="shared" si="7"/>
        <v/>
      </c>
      <c r="AO57" s="86">
        <f ca="1"/>
        <v>37933.708333333336</v>
      </c>
      <c r="AP57" s="87">
        <f ca="1"/>
        <v>1532.13</v>
      </c>
      <c r="AQ57" s="87">
        <f ca="1"/>
        <v>1531.92</v>
      </c>
      <c r="AR57" s="88">
        <f ca="1"/>
        <v>37933.708333333336</v>
      </c>
      <c r="AS57" s="87">
        <f ca="1"/>
        <v>900</v>
      </c>
      <c r="AT57" s="87">
        <f ca="1"/>
        <v>940.44</v>
      </c>
    </row>
    <row r="58" spans="2:46" x14ac:dyDescent="0.25">
      <c r="B58" s="56"/>
      <c r="K58" s="53"/>
      <c r="M58" s="42">
        <v>54</v>
      </c>
      <c r="N58" s="3" t="s">
        <v>114</v>
      </c>
      <c r="O58" s="49">
        <f t="shared" si="0"/>
        <v>37933.708333333336</v>
      </c>
      <c r="P58" s="42">
        <v>1532.13</v>
      </c>
      <c r="Q58" s="42">
        <v>900</v>
      </c>
      <c r="R58" s="42">
        <v>1531.92</v>
      </c>
      <c r="S58" s="42">
        <v>940.44</v>
      </c>
      <c r="T58" s="42"/>
      <c r="U58" s="42"/>
      <c r="V58" s="3"/>
      <c r="W58" s="3"/>
      <c r="X58" s="3"/>
      <c r="Y58" s="3"/>
      <c r="Z58" s="3"/>
      <c r="AA58" s="3"/>
      <c r="AB58" s="3"/>
      <c r="AE58" s="42">
        <f t="shared" si="1"/>
        <v>68073</v>
      </c>
      <c r="AF58" s="42">
        <f t="shared" si="2"/>
        <v>50408.710000000006</v>
      </c>
      <c r="AG58" s="42" t="str">
        <f t="shared" si="3"/>
        <v/>
      </c>
      <c r="AH58" s="42" t="str">
        <f t="shared" si="4"/>
        <v/>
      </c>
      <c r="AI58" s="42" t="str">
        <f t="shared" si="5"/>
        <v/>
      </c>
      <c r="AJ58" s="42" t="str">
        <f t="shared" si="6"/>
        <v/>
      </c>
      <c r="AK58" s="42" t="str">
        <f t="shared" si="7"/>
        <v/>
      </c>
      <c r="AO58" s="86">
        <f ca="1"/>
        <v>37933.75</v>
      </c>
      <c r="AP58" s="87">
        <f ca="1"/>
        <v>1532.09</v>
      </c>
      <c r="AQ58" s="87">
        <f ca="1"/>
        <v>1531.91</v>
      </c>
      <c r="AR58" s="88">
        <f ca="1"/>
        <v>37933.75</v>
      </c>
      <c r="AS58" s="87">
        <f ca="1"/>
        <v>880</v>
      </c>
      <c r="AT58" s="87">
        <f ca="1"/>
        <v>938.14</v>
      </c>
    </row>
    <row r="59" spans="2:46" x14ac:dyDescent="0.25">
      <c r="B59" s="56"/>
      <c r="K59" s="53"/>
      <c r="M59" s="42">
        <v>55</v>
      </c>
      <c r="N59" s="3" t="s">
        <v>115</v>
      </c>
      <c r="O59" s="49">
        <f t="shared" si="0"/>
        <v>37933.75</v>
      </c>
      <c r="P59" s="42">
        <v>1532.09</v>
      </c>
      <c r="Q59" s="42">
        <v>880</v>
      </c>
      <c r="R59" s="42">
        <v>1531.91</v>
      </c>
      <c r="S59" s="42">
        <v>938.14</v>
      </c>
      <c r="T59" s="42"/>
      <c r="U59" s="42"/>
      <c r="V59" s="3"/>
      <c r="W59" s="3"/>
      <c r="X59" s="3"/>
      <c r="Y59" s="3"/>
      <c r="Z59" s="3"/>
      <c r="AA59" s="3"/>
      <c r="AB59" s="3"/>
      <c r="AE59" s="42">
        <f t="shared" si="1"/>
        <v>68953</v>
      </c>
      <c r="AF59" s="42">
        <f t="shared" si="2"/>
        <v>51346.850000000006</v>
      </c>
      <c r="AG59" s="42" t="str">
        <f t="shared" si="3"/>
        <v/>
      </c>
      <c r="AH59" s="42" t="str">
        <f t="shared" si="4"/>
        <v/>
      </c>
      <c r="AI59" s="42" t="str">
        <f t="shared" si="5"/>
        <v/>
      </c>
      <c r="AJ59" s="42" t="str">
        <f t="shared" si="6"/>
        <v/>
      </c>
      <c r="AK59" s="42" t="str">
        <f t="shared" si="7"/>
        <v/>
      </c>
      <c r="AO59" s="86">
        <f ca="1"/>
        <v>37933.791666666664</v>
      </c>
      <c r="AP59" s="87">
        <f ca="1"/>
        <v>1532.06</v>
      </c>
      <c r="AQ59" s="87">
        <f ca="1"/>
        <v>1531.91</v>
      </c>
      <c r="AR59" s="88">
        <f ca="1"/>
        <v>37933.791666666664</v>
      </c>
      <c r="AS59" s="87">
        <f ca="1"/>
        <v>866</v>
      </c>
      <c r="AT59" s="87">
        <f ca="1"/>
        <v>935.34</v>
      </c>
    </row>
    <row r="60" spans="2:46" x14ac:dyDescent="0.25">
      <c r="B60" s="56"/>
      <c r="K60" s="53"/>
      <c r="M60" s="42">
        <v>56</v>
      </c>
      <c r="N60" s="3" t="s">
        <v>116</v>
      </c>
      <c r="O60" s="49">
        <f t="shared" si="0"/>
        <v>37933.791666666664</v>
      </c>
      <c r="P60" s="42">
        <v>1532.06</v>
      </c>
      <c r="Q60" s="42">
        <v>866</v>
      </c>
      <c r="R60" s="42">
        <v>1531.91</v>
      </c>
      <c r="S60" s="42">
        <v>935.34</v>
      </c>
      <c r="T60" s="42"/>
      <c r="U60" s="42"/>
      <c r="V60" s="3"/>
      <c r="W60" s="3"/>
      <c r="X60" s="3"/>
      <c r="Y60" s="3"/>
      <c r="Z60" s="3"/>
      <c r="AA60" s="3"/>
      <c r="AB60" s="3"/>
      <c r="AE60" s="42">
        <f t="shared" si="1"/>
        <v>69819</v>
      </c>
      <c r="AF60" s="42">
        <f t="shared" si="2"/>
        <v>52282.19</v>
      </c>
      <c r="AG60" s="42" t="str">
        <f t="shared" si="3"/>
        <v/>
      </c>
      <c r="AH60" s="42" t="str">
        <f t="shared" si="4"/>
        <v/>
      </c>
      <c r="AI60" s="42" t="str">
        <f t="shared" si="5"/>
        <v/>
      </c>
      <c r="AJ60" s="42" t="str">
        <f t="shared" si="6"/>
        <v/>
      </c>
      <c r="AK60" s="42" t="str">
        <f t="shared" si="7"/>
        <v/>
      </c>
      <c r="AO60" s="86">
        <f ca="1"/>
        <v>37933.833333333336</v>
      </c>
      <c r="AP60" s="87">
        <f ca="1"/>
        <v>1532.03</v>
      </c>
      <c r="AQ60" s="87">
        <f ca="1"/>
        <v>1531.91</v>
      </c>
      <c r="AR60" s="88">
        <f ca="1"/>
        <v>37933.833333333336</v>
      </c>
      <c r="AS60" s="87">
        <f ca="1"/>
        <v>852</v>
      </c>
      <c r="AT60" s="87">
        <f ca="1"/>
        <v>933.51</v>
      </c>
    </row>
    <row r="61" spans="2:46" x14ac:dyDescent="0.25">
      <c r="B61" s="56"/>
      <c r="K61" s="53"/>
      <c r="M61" s="42">
        <v>57</v>
      </c>
      <c r="N61" s="3" t="s">
        <v>117</v>
      </c>
      <c r="O61" s="49">
        <f t="shared" si="0"/>
        <v>37933.833333333336</v>
      </c>
      <c r="P61" s="42">
        <v>1532.03</v>
      </c>
      <c r="Q61" s="42">
        <v>852</v>
      </c>
      <c r="R61" s="42">
        <v>1531.91</v>
      </c>
      <c r="S61" s="42">
        <v>933.51</v>
      </c>
      <c r="T61" s="42"/>
      <c r="U61" s="42"/>
      <c r="V61" s="3"/>
      <c r="W61" s="3"/>
      <c r="X61" s="3"/>
      <c r="Y61" s="3"/>
      <c r="Z61" s="3"/>
      <c r="AA61" s="3"/>
      <c r="AB61" s="3"/>
      <c r="AE61" s="42">
        <f t="shared" si="1"/>
        <v>70671</v>
      </c>
      <c r="AF61" s="42">
        <f t="shared" si="2"/>
        <v>53215.700000000004</v>
      </c>
      <c r="AG61" s="42" t="str">
        <f t="shared" si="3"/>
        <v/>
      </c>
      <c r="AH61" s="42" t="str">
        <f t="shared" si="4"/>
        <v/>
      </c>
      <c r="AI61" s="42" t="str">
        <f t="shared" si="5"/>
        <v/>
      </c>
      <c r="AJ61" s="42" t="str">
        <f t="shared" si="6"/>
        <v/>
      </c>
      <c r="AK61" s="42" t="str">
        <f t="shared" si="7"/>
        <v/>
      </c>
      <c r="AO61" s="86">
        <f ca="1"/>
        <v>37933.875</v>
      </c>
      <c r="AP61" s="87">
        <f ca="1"/>
        <v>1531.99</v>
      </c>
      <c r="AQ61" s="87">
        <f ca="1"/>
        <v>1531.9</v>
      </c>
      <c r="AR61" s="88">
        <f ca="1"/>
        <v>37933.875</v>
      </c>
      <c r="AS61" s="87">
        <f ca="1"/>
        <v>834</v>
      </c>
      <c r="AT61" s="87">
        <f ca="1"/>
        <v>930.76</v>
      </c>
    </row>
    <row r="62" spans="2:46" x14ac:dyDescent="0.25">
      <c r="B62" s="56"/>
      <c r="K62" s="53"/>
      <c r="M62" s="42">
        <v>58</v>
      </c>
      <c r="N62" s="3" t="s">
        <v>118</v>
      </c>
      <c r="O62" s="49">
        <f t="shared" si="0"/>
        <v>37933.875</v>
      </c>
      <c r="P62" s="42">
        <v>1531.99</v>
      </c>
      <c r="Q62" s="42">
        <v>834</v>
      </c>
      <c r="R62" s="42">
        <v>1531.9</v>
      </c>
      <c r="S62" s="42">
        <v>930.76</v>
      </c>
      <c r="T62" s="42"/>
      <c r="U62" s="42"/>
      <c r="V62" s="3"/>
      <c r="W62" s="3"/>
      <c r="X62" s="3"/>
      <c r="Y62" s="3"/>
      <c r="Z62" s="3"/>
      <c r="AA62" s="3"/>
      <c r="AB62" s="3"/>
      <c r="AE62" s="42">
        <f t="shared" si="1"/>
        <v>71505</v>
      </c>
      <c r="AF62" s="42">
        <f t="shared" si="2"/>
        <v>54146.460000000006</v>
      </c>
      <c r="AG62" s="42" t="str">
        <f t="shared" si="3"/>
        <v/>
      </c>
      <c r="AH62" s="42" t="str">
        <f t="shared" si="4"/>
        <v/>
      </c>
      <c r="AI62" s="42" t="str">
        <f t="shared" si="5"/>
        <v/>
      </c>
      <c r="AJ62" s="42" t="str">
        <f t="shared" si="6"/>
        <v/>
      </c>
      <c r="AK62" s="42" t="str">
        <f t="shared" si="7"/>
        <v/>
      </c>
      <c r="AO62" s="86">
        <f ca="1"/>
        <v>37933.916666666664</v>
      </c>
      <c r="AP62" s="87">
        <f ca="1"/>
        <v>1531.97</v>
      </c>
      <c r="AQ62" s="87">
        <f ca="1"/>
        <v>1531.9</v>
      </c>
      <c r="AR62" s="88">
        <f ca="1"/>
        <v>37933.916666666664</v>
      </c>
      <c r="AS62" s="87">
        <f ca="1"/>
        <v>824</v>
      </c>
      <c r="AT62" s="87">
        <f ca="1"/>
        <v>927.99</v>
      </c>
    </row>
    <row r="63" spans="2:46" x14ac:dyDescent="0.25">
      <c r="B63" s="56"/>
      <c r="K63" s="53"/>
      <c r="M63" s="42">
        <v>59</v>
      </c>
      <c r="N63" s="3" t="s">
        <v>119</v>
      </c>
      <c r="O63" s="49">
        <f t="shared" si="0"/>
        <v>37933.916666666664</v>
      </c>
      <c r="P63" s="42">
        <v>1531.97</v>
      </c>
      <c r="Q63" s="42">
        <v>824</v>
      </c>
      <c r="R63" s="42">
        <v>1531.9</v>
      </c>
      <c r="S63" s="42">
        <v>927.99</v>
      </c>
      <c r="T63" s="42"/>
      <c r="U63" s="42"/>
      <c r="V63" s="3"/>
      <c r="W63" s="3"/>
      <c r="X63" s="3"/>
      <c r="Y63" s="3"/>
      <c r="Z63" s="3"/>
      <c r="AA63" s="3"/>
      <c r="AB63" s="3"/>
      <c r="AE63" s="42">
        <f t="shared" si="1"/>
        <v>72329</v>
      </c>
      <c r="AF63" s="42">
        <f t="shared" si="2"/>
        <v>55074.450000000004</v>
      </c>
      <c r="AG63" s="42" t="str">
        <f t="shared" si="3"/>
        <v/>
      </c>
      <c r="AH63" s="42" t="str">
        <f t="shared" si="4"/>
        <v/>
      </c>
      <c r="AI63" s="42" t="str">
        <f t="shared" si="5"/>
        <v/>
      </c>
      <c r="AJ63" s="42" t="str">
        <f t="shared" si="6"/>
        <v/>
      </c>
      <c r="AK63" s="42" t="str">
        <f t="shared" si="7"/>
        <v/>
      </c>
      <c r="AO63" s="86">
        <f ca="1"/>
        <v>37933.958333333336</v>
      </c>
      <c r="AP63" s="87">
        <f ca="1"/>
        <v>1531.93</v>
      </c>
      <c r="AQ63" s="87">
        <f ca="1"/>
        <v>1531.89</v>
      </c>
      <c r="AR63" s="88">
        <f ca="1"/>
        <v>37933.958333333336</v>
      </c>
      <c r="AS63" s="87">
        <f ca="1"/>
        <v>806</v>
      </c>
      <c r="AT63" s="87">
        <f ca="1"/>
        <v>922.85</v>
      </c>
    </row>
    <row r="64" spans="2:46" x14ac:dyDescent="0.25">
      <c r="B64" s="56"/>
      <c r="K64" s="53"/>
      <c r="M64" s="42">
        <v>60</v>
      </c>
      <c r="N64" s="3" t="s">
        <v>120</v>
      </c>
      <c r="O64" s="49">
        <f t="shared" si="0"/>
        <v>37933.958333333336</v>
      </c>
      <c r="P64" s="42">
        <v>1531.93</v>
      </c>
      <c r="Q64" s="42">
        <v>806</v>
      </c>
      <c r="R64" s="42">
        <v>1531.89</v>
      </c>
      <c r="S64" s="42">
        <v>922.85</v>
      </c>
      <c r="T64" s="42"/>
      <c r="U64" s="42"/>
      <c r="V64" s="3"/>
      <c r="W64" s="3"/>
      <c r="X64" s="3"/>
      <c r="Y64" s="3"/>
      <c r="Z64" s="3"/>
      <c r="AA64" s="3"/>
      <c r="AB64" s="3"/>
      <c r="AE64" s="42">
        <f t="shared" si="1"/>
        <v>73135</v>
      </c>
      <c r="AF64" s="42">
        <f t="shared" si="2"/>
        <v>55997.3</v>
      </c>
      <c r="AG64" s="42" t="str">
        <f t="shared" si="3"/>
        <v/>
      </c>
      <c r="AH64" s="42" t="str">
        <f t="shared" si="4"/>
        <v/>
      </c>
      <c r="AI64" s="42" t="str">
        <f t="shared" si="5"/>
        <v/>
      </c>
      <c r="AJ64" s="42" t="str">
        <f t="shared" si="6"/>
        <v/>
      </c>
      <c r="AK64" s="42" t="str">
        <f t="shared" si="7"/>
        <v/>
      </c>
      <c r="AO64" s="86">
        <f ca="1"/>
        <v>37934</v>
      </c>
      <c r="AP64" s="87">
        <f ca="1"/>
        <v>1531.89</v>
      </c>
      <c r="AQ64" s="87">
        <f ca="1"/>
        <v>1531.88</v>
      </c>
      <c r="AR64" s="88">
        <f ca="1"/>
        <v>37934</v>
      </c>
      <c r="AS64" s="87">
        <f ca="1"/>
        <v>788</v>
      </c>
      <c r="AT64" s="87">
        <f ca="1"/>
        <v>916.68</v>
      </c>
    </row>
    <row r="65" spans="2:46" x14ac:dyDescent="0.25">
      <c r="B65" s="56"/>
      <c r="K65" s="53"/>
      <c r="M65" s="42">
        <v>61</v>
      </c>
      <c r="N65" s="3" t="s">
        <v>121</v>
      </c>
      <c r="O65" s="49">
        <f t="shared" si="0"/>
        <v>37934</v>
      </c>
      <c r="P65" s="42">
        <v>1531.89</v>
      </c>
      <c r="Q65" s="42">
        <v>788</v>
      </c>
      <c r="R65" s="42">
        <v>1531.88</v>
      </c>
      <c r="S65" s="42">
        <v>916.68</v>
      </c>
      <c r="T65" s="42"/>
      <c r="U65" s="42"/>
      <c r="V65" s="3"/>
      <c r="W65" s="3"/>
      <c r="X65" s="3"/>
      <c r="Y65" s="3"/>
      <c r="Z65" s="3"/>
      <c r="AA65" s="3"/>
      <c r="AB65" s="3"/>
      <c r="AE65" s="42">
        <f t="shared" si="1"/>
        <v>73923</v>
      </c>
      <c r="AF65" s="42">
        <f t="shared" si="2"/>
        <v>56913.98</v>
      </c>
      <c r="AG65" s="42" t="str">
        <f t="shared" si="3"/>
        <v/>
      </c>
      <c r="AH65" s="42" t="str">
        <f t="shared" si="4"/>
        <v/>
      </c>
      <c r="AI65" s="42" t="str">
        <f t="shared" si="5"/>
        <v/>
      </c>
      <c r="AJ65" s="42" t="str">
        <f t="shared" si="6"/>
        <v/>
      </c>
      <c r="AK65" s="42" t="str">
        <f t="shared" si="7"/>
        <v/>
      </c>
      <c r="AO65" s="86">
        <f ca="1"/>
        <v>37934.041666666664</v>
      </c>
      <c r="AP65" s="87">
        <f ca="1"/>
        <v>1531.85</v>
      </c>
      <c r="AQ65" s="87">
        <f ca="1"/>
        <v>1531.87</v>
      </c>
      <c r="AR65" s="88">
        <f ca="1"/>
        <v>37934.041666666664</v>
      </c>
      <c r="AS65" s="87">
        <f ca="1"/>
        <v>770</v>
      </c>
      <c r="AT65" s="87">
        <f ca="1"/>
        <v>910.38</v>
      </c>
    </row>
    <row r="66" spans="2:46" x14ac:dyDescent="0.25">
      <c r="B66" s="56"/>
      <c r="K66" s="53"/>
      <c r="M66" s="42">
        <v>62</v>
      </c>
      <c r="N66" s="3" t="s">
        <v>122</v>
      </c>
      <c r="O66" s="49">
        <f t="shared" si="0"/>
        <v>37934.041666666664</v>
      </c>
      <c r="P66" s="42">
        <v>1531.85</v>
      </c>
      <c r="Q66" s="42">
        <v>770</v>
      </c>
      <c r="R66" s="42">
        <v>1531.87</v>
      </c>
      <c r="S66" s="42">
        <v>910.38</v>
      </c>
      <c r="T66" s="42"/>
      <c r="U66" s="42"/>
      <c r="V66" s="3"/>
      <c r="W66" s="3"/>
      <c r="X66" s="3"/>
      <c r="Y66" s="3"/>
      <c r="Z66" s="3"/>
      <c r="AA66" s="3"/>
      <c r="AB66" s="3"/>
      <c r="AE66" s="42">
        <f t="shared" si="1"/>
        <v>74693</v>
      </c>
      <c r="AF66" s="42">
        <f t="shared" si="2"/>
        <v>57824.36</v>
      </c>
      <c r="AG66" s="42" t="str">
        <f t="shared" si="3"/>
        <v/>
      </c>
      <c r="AH66" s="42" t="str">
        <f t="shared" si="4"/>
        <v/>
      </c>
      <c r="AI66" s="42" t="str">
        <f t="shared" si="5"/>
        <v/>
      </c>
      <c r="AJ66" s="42" t="str">
        <f t="shared" si="6"/>
        <v/>
      </c>
      <c r="AK66" s="42" t="str">
        <f t="shared" si="7"/>
        <v/>
      </c>
      <c r="AO66" s="86">
        <f ca="1"/>
        <v>37934.083333333336</v>
      </c>
      <c r="AP66" s="87">
        <f ca="1"/>
        <v>1531.82</v>
      </c>
      <c r="AQ66" s="87">
        <f ca="1"/>
        <v>1531.85</v>
      </c>
      <c r="AR66" s="88">
        <f ca="1"/>
        <v>37934.083333333336</v>
      </c>
      <c r="AS66" s="87">
        <f ca="1"/>
        <v>757</v>
      </c>
      <c r="AT66" s="87">
        <f ca="1"/>
        <v>903.89</v>
      </c>
    </row>
    <row r="67" spans="2:46" x14ac:dyDescent="0.25">
      <c r="B67" s="56"/>
      <c r="K67" s="53"/>
      <c r="M67" s="42">
        <v>63</v>
      </c>
      <c r="N67" s="3" t="s">
        <v>123</v>
      </c>
      <c r="O67" s="49">
        <f t="shared" si="0"/>
        <v>37934.083333333336</v>
      </c>
      <c r="P67" s="42">
        <v>1531.82</v>
      </c>
      <c r="Q67" s="42">
        <v>757</v>
      </c>
      <c r="R67" s="42">
        <v>1531.85</v>
      </c>
      <c r="S67" s="42">
        <v>903.89</v>
      </c>
      <c r="T67" s="42"/>
      <c r="U67" s="42"/>
      <c r="V67" s="3"/>
      <c r="W67" s="3"/>
      <c r="X67" s="3"/>
      <c r="Y67" s="3"/>
      <c r="Z67" s="3"/>
      <c r="AA67" s="3"/>
      <c r="AB67" s="3"/>
      <c r="AE67" s="42">
        <f t="shared" si="1"/>
        <v>75450</v>
      </c>
      <c r="AF67" s="42">
        <f t="shared" si="2"/>
        <v>58728.25</v>
      </c>
      <c r="AG67" s="42" t="str">
        <f t="shared" si="3"/>
        <v/>
      </c>
      <c r="AH67" s="42" t="str">
        <f t="shared" si="4"/>
        <v/>
      </c>
      <c r="AI67" s="42" t="str">
        <f t="shared" si="5"/>
        <v/>
      </c>
      <c r="AJ67" s="42" t="str">
        <f t="shared" si="6"/>
        <v/>
      </c>
      <c r="AK67" s="42" t="str">
        <f t="shared" si="7"/>
        <v/>
      </c>
      <c r="AO67" s="86">
        <f ca="1"/>
        <v>37934.125</v>
      </c>
      <c r="AP67" s="87">
        <f ca="1"/>
        <v>1531.79</v>
      </c>
      <c r="AQ67" s="87">
        <f ca="1"/>
        <v>1531.84</v>
      </c>
      <c r="AR67" s="88">
        <f ca="1"/>
        <v>37934.125</v>
      </c>
      <c r="AS67" s="87">
        <f ca="1"/>
        <v>744</v>
      </c>
      <c r="AT67" s="87">
        <f ca="1"/>
        <v>897.42</v>
      </c>
    </row>
    <row r="68" spans="2:46" x14ac:dyDescent="0.25">
      <c r="B68" s="56"/>
      <c r="K68" s="53"/>
      <c r="M68" s="42">
        <v>64</v>
      </c>
      <c r="N68" s="3" t="s">
        <v>124</v>
      </c>
      <c r="O68" s="49">
        <f t="shared" si="0"/>
        <v>37934.125</v>
      </c>
      <c r="P68" s="42">
        <v>1531.79</v>
      </c>
      <c r="Q68" s="42">
        <v>744</v>
      </c>
      <c r="R68" s="42">
        <v>1531.84</v>
      </c>
      <c r="S68" s="42">
        <v>897.42</v>
      </c>
      <c r="T68" s="42"/>
      <c r="U68" s="42"/>
      <c r="V68" s="3"/>
      <c r="W68" s="3"/>
      <c r="X68" s="3"/>
      <c r="Y68" s="3"/>
      <c r="Z68" s="3"/>
      <c r="AA68" s="3"/>
      <c r="AB68" s="3"/>
      <c r="AE68" s="42">
        <f t="shared" si="1"/>
        <v>76194</v>
      </c>
      <c r="AF68" s="42">
        <f t="shared" si="2"/>
        <v>59625.67</v>
      </c>
      <c r="AG68" s="42" t="str">
        <f t="shared" si="3"/>
        <v/>
      </c>
      <c r="AH68" s="42" t="str">
        <f t="shared" si="4"/>
        <v/>
      </c>
      <c r="AI68" s="42" t="str">
        <f t="shared" si="5"/>
        <v/>
      </c>
      <c r="AJ68" s="42" t="str">
        <f t="shared" si="6"/>
        <v/>
      </c>
      <c r="AK68" s="42" t="str">
        <f t="shared" si="7"/>
        <v/>
      </c>
      <c r="AO68" s="86">
        <f ca="1"/>
        <v>37934.166666666664</v>
      </c>
      <c r="AP68" s="87">
        <f ca="1"/>
        <v>1531.76</v>
      </c>
      <c r="AQ68" s="87">
        <f ca="1"/>
        <v>1531.83</v>
      </c>
      <c r="AR68" s="88">
        <f ca="1"/>
        <v>37934.166666666664</v>
      </c>
      <c r="AS68" s="87">
        <f ca="1"/>
        <v>731</v>
      </c>
      <c r="AT68" s="87">
        <f ca="1"/>
        <v>891.32</v>
      </c>
    </row>
    <row r="69" spans="2:46" x14ac:dyDescent="0.25">
      <c r="B69" s="56"/>
      <c r="K69" s="53"/>
      <c r="M69" s="42">
        <v>65</v>
      </c>
      <c r="N69" s="3" t="s">
        <v>125</v>
      </c>
      <c r="O69" s="49">
        <f t="shared" si="0"/>
        <v>37934.166666666664</v>
      </c>
      <c r="P69" s="42">
        <v>1531.76</v>
      </c>
      <c r="Q69" s="42">
        <v>731</v>
      </c>
      <c r="R69" s="42">
        <v>1531.83</v>
      </c>
      <c r="S69" s="42">
        <v>891.32</v>
      </c>
      <c r="T69" s="42"/>
      <c r="U69" s="42"/>
      <c r="V69" s="3"/>
      <c r="W69" s="3"/>
      <c r="X69" s="3"/>
      <c r="Y69" s="3"/>
      <c r="Z69" s="3"/>
      <c r="AA69" s="3"/>
      <c r="AB69" s="3"/>
      <c r="AE69" s="42">
        <f t="shared" si="1"/>
        <v>76925</v>
      </c>
      <c r="AF69" s="42">
        <f t="shared" si="2"/>
        <v>60516.99</v>
      </c>
      <c r="AG69" s="42" t="str">
        <f t="shared" si="3"/>
        <v/>
      </c>
      <c r="AH69" s="42" t="str">
        <f t="shared" si="4"/>
        <v/>
      </c>
      <c r="AI69" s="42" t="str">
        <f t="shared" si="5"/>
        <v/>
      </c>
      <c r="AJ69" s="42" t="str">
        <f t="shared" si="6"/>
        <v/>
      </c>
      <c r="AK69" s="42" t="str">
        <f t="shared" si="7"/>
        <v/>
      </c>
      <c r="AO69" s="86">
        <f ca="1"/>
        <v>37934.208333333336</v>
      </c>
      <c r="AP69" s="87">
        <f ca="1"/>
        <v>1531.73</v>
      </c>
      <c r="AQ69" s="87">
        <f ca="1"/>
        <v>1531.82</v>
      </c>
      <c r="AR69" s="88">
        <f ca="1"/>
        <v>37934.208333333336</v>
      </c>
      <c r="AS69" s="87">
        <f ca="1"/>
        <v>718</v>
      </c>
      <c r="AT69" s="87">
        <f ca="1"/>
        <v>885.36</v>
      </c>
    </row>
    <row r="70" spans="2:46" ht="15.75" thickBot="1" x14ac:dyDescent="0.3">
      <c r="B70" s="58"/>
      <c r="C70" s="59"/>
      <c r="D70" s="59"/>
      <c r="E70" s="59"/>
      <c r="F70" s="59"/>
      <c r="G70" s="59"/>
      <c r="H70" s="59"/>
      <c r="I70" s="59"/>
      <c r="J70" s="59"/>
      <c r="K70" s="60"/>
      <c r="M70" s="42">
        <v>66</v>
      </c>
      <c r="N70" s="3" t="s">
        <v>126</v>
      </c>
      <c r="O70" s="49">
        <f t="shared" ref="O70:O133" si="8">IF(ISTEXT(N70),IF(MID(N70,11,2)="24",1+DATEVALUE(LEFT(N70,10))+TIMEVALUE(CONCATENATE(MID(N70,11,2),":",MID(N70,13,2))),DATEVALUE(LEFT(N70,10))+TIMEVALUE(CONCATENATE(MID(N70,11,2),":",MID(N70,13,2)))),"")</f>
        <v>37934.208333333336</v>
      </c>
      <c r="P70" s="42">
        <v>1531.73</v>
      </c>
      <c r="Q70" s="42">
        <v>718</v>
      </c>
      <c r="R70" s="42">
        <v>1531.82</v>
      </c>
      <c r="S70" s="42">
        <v>885.36</v>
      </c>
      <c r="T70" s="42"/>
      <c r="U70" s="42"/>
      <c r="V70" s="3"/>
      <c r="W70" s="3"/>
      <c r="X70" s="3"/>
      <c r="Y70" s="3"/>
      <c r="Z70" s="3"/>
      <c r="AA70" s="3"/>
      <c r="AB70" s="3"/>
      <c r="AE70" s="42">
        <f t="shared" si="1"/>
        <v>77643</v>
      </c>
      <c r="AF70" s="42">
        <f t="shared" si="2"/>
        <v>61402.35</v>
      </c>
      <c r="AG70" s="42" t="str">
        <f t="shared" si="3"/>
        <v/>
      </c>
      <c r="AH70" s="42" t="str">
        <f t="shared" si="4"/>
        <v/>
      </c>
      <c r="AI70" s="42" t="str">
        <f t="shared" si="5"/>
        <v/>
      </c>
      <c r="AJ70" s="42" t="str">
        <f t="shared" si="6"/>
        <v/>
      </c>
      <c r="AK70" s="42" t="str">
        <f t="shared" si="7"/>
        <v/>
      </c>
      <c r="AO70" s="86">
        <f ca="1"/>
        <v>37934.25</v>
      </c>
      <c r="AP70" s="87">
        <f ca="1"/>
        <v>1531.7</v>
      </c>
      <c r="AQ70" s="87">
        <f ca="1"/>
        <v>1531.81</v>
      </c>
      <c r="AR70" s="88">
        <f ca="1"/>
        <v>37934.25</v>
      </c>
      <c r="AS70" s="87">
        <f ca="1"/>
        <v>706</v>
      </c>
      <c r="AT70" s="87">
        <f ca="1"/>
        <v>879.08</v>
      </c>
    </row>
    <row r="71" spans="2:46" x14ac:dyDescent="0.25">
      <c r="M71" s="42">
        <v>67</v>
      </c>
      <c r="N71" s="3" t="s">
        <v>127</v>
      </c>
      <c r="O71" s="49">
        <f t="shared" si="8"/>
        <v>37934.25</v>
      </c>
      <c r="P71" s="42">
        <v>1531.7</v>
      </c>
      <c r="Q71" s="42">
        <v>706</v>
      </c>
      <c r="R71" s="42">
        <v>1531.81</v>
      </c>
      <c r="S71" s="42">
        <v>879.08</v>
      </c>
      <c r="T71" s="42"/>
      <c r="U71" s="42"/>
      <c r="V71" s="3"/>
      <c r="W71" s="3"/>
      <c r="X71" s="3"/>
      <c r="Y71" s="3"/>
      <c r="Z71" s="3"/>
      <c r="AA71" s="3"/>
      <c r="AB71" s="3"/>
      <c r="AE71" s="42">
        <f t="shared" ref="AE71:AE134" si="9">IF(ISNUMBER(Q71),AE70+Q71,"")</f>
        <v>78349</v>
      </c>
      <c r="AF71" s="42">
        <f t="shared" ref="AF71:AF134" si="10">IF(ISNUMBER(S71),AF70+S71,"")</f>
        <v>62281.43</v>
      </c>
      <c r="AG71" s="42" t="str">
        <f t="shared" ref="AG71:AG134" si="11">IF(ISNUMBER(U71),AG70+U71,"")</f>
        <v/>
      </c>
      <c r="AH71" s="42" t="str">
        <f t="shared" ref="AH71:AH134" si="12">IF(ISNUMBER(W71),AH70+W71,"")</f>
        <v/>
      </c>
      <c r="AI71" s="42" t="str">
        <f t="shared" ref="AI71:AI134" si="13">IF(ISNUMBER(Y71),AI70+Y71,"")</f>
        <v/>
      </c>
      <c r="AJ71" s="42" t="str">
        <f t="shared" ref="AJ71:AJ134" si="14">IF(ISNUMBER(AA71),AJ70+AA71,"")</f>
        <v/>
      </c>
      <c r="AK71" s="42" t="str">
        <f t="shared" ref="AK71:AK134" si="15">IF(ISNUMBER(AC71),AK70+AC71,"")</f>
        <v/>
      </c>
      <c r="AO71" s="86">
        <f ca="1"/>
        <v>37934.291666666664</v>
      </c>
      <c r="AP71" s="87">
        <f ca="1"/>
        <v>1531.67</v>
      </c>
      <c r="AQ71" s="87">
        <f ca="1"/>
        <v>1531.8</v>
      </c>
      <c r="AR71" s="88">
        <f ca="1"/>
        <v>37934.291666666664</v>
      </c>
      <c r="AS71" s="87">
        <f ca="1"/>
        <v>693</v>
      </c>
      <c r="AT71" s="87">
        <f ca="1"/>
        <v>872.21</v>
      </c>
    </row>
    <row r="72" spans="2:46" x14ac:dyDescent="0.25">
      <c r="M72" s="42">
        <v>68</v>
      </c>
      <c r="N72" s="3" t="s">
        <v>128</v>
      </c>
      <c r="O72" s="49">
        <f t="shared" si="8"/>
        <v>37934.291666666664</v>
      </c>
      <c r="P72" s="42">
        <v>1531.67</v>
      </c>
      <c r="Q72" s="42">
        <v>693</v>
      </c>
      <c r="R72" s="42">
        <v>1531.8</v>
      </c>
      <c r="S72" s="42">
        <v>872.21</v>
      </c>
      <c r="T72" s="42"/>
      <c r="U72" s="42"/>
      <c r="V72" s="3"/>
      <c r="W72" s="3"/>
      <c r="X72" s="3"/>
      <c r="Y72" s="3"/>
      <c r="Z72" s="3"/>
      <c r="AA72" s="3"/>
      <c r="AB72" s="3"/>
      <c r="AE72" s="42">
        <f t="shared" si="9"/>
        <v>79042</v>
      </c>
      <c r="AF72" s="42">
        <f t="shared" si="10"/>
        <v>63153.64</v>
      </c>
      <c r="AG72" s="42" t="str">
        <f t="shared" si="11"/>
        <v/>
      </c>
      <c r="AH72" s="42" t="str">
        <f t="shared" si="12"/>
        <v/>
      </c>
      <c r="AI72" s="42" t="str">
        <f t="shared" si="13"/>
        <v/>
      </c>
      <c r="AJ72" s="42" t="str">
        <f t="shared" si="14"/>
        <v/>
      </c>
      <c r="AK72" s="42" t="str">
        <f t="shared" si="15"/>
        <v/>
      </c>
      <c r="AO72" s="86">
        <f ca="1"/>
        <v>37934.333333333336</v>
      </c>
      <c r="AP72" s="87">
        <f ca="1"/>
        <v>1531.65</v>
      </c>
      <c r="AQ72" s="87">
        <f ca="1"/>
        <v>1531.78</v>
      </c>
      <c r="AR72" s="88">
        <f ca="1"/>
        <v>37934.333333333336</v>
      </c>
      <c r="AS72" s="87">
        <f ca="1"/>
        <v>684</v>
      </c>
      <c r="AT72" s="87">
        <f ca="1"/>
        <v>864.43</v>
      </c>
    </row>
    <row r="73" spans="2:46" ht="15" customHeight="1" x14ac:dyDescent="0.35">
      <c r="K73" s="78"/>
      <c r="L73" s="4"/>
      <c r="M73" s="42">
        <v>69</v>
      </c>
      <c r="N73" s="3" t="s">
        <v>129</v>
      </c>
      <c r="O73" s="49">
        <f t="shared" si="8"/>
        <v>37934.333333333336</v>
      </c>
      <c r="P73" s="42">
        <v>1531.65</v>
      </c>
      <c r="Q73" s="42">
        <v>684</v>
      </c>
      <c r="R73" s="42">
        <v>1531.78</v>
      </c>
      <c r="S73" s="42">
        <v>864.43</v>
      </c>
      <c r="T73" s="42"/>
      <c r="U73" s="42"/>
      <c r="V73" s="3"/>
      <c r="W73" s="3"/>
      <c r="X73" s="3"/>
      <c r="Y73" s="3"/>
      <c r="Z73" s="3"/>
      <c r="AA73" s="3"/>
      <c r="AB73" s="3"/>
      <c r="AE73" s="42">
        <f t="shared" si="9"/>
        <v>79726</v>
      </c>
      <c r="AF73" s="42">
        <f t="shared" si="10"/>
        <v>64018.07</v>
      </c>
      <c r="AG73" s="42" t="str">
        <f t="shared" si="11"/>
        <v/>
      </c>
      <c r="AH73" s="42" t="str">
        <f t="shared" si="12"/>
        <v/>
      </c>
      <c r="AI73" s="42" t="str">
        <f t="shared" si="13"/>
        <v/>
      </c>
      <c r="AJ73" s="42" t="str">
        <f t="shared" si="14"/>
        <v/>
      </c>
      <c r="AK73" s="42" t="str">
        <f t="shared" si="15"/>
        <v/>
      </c>
      <c r="AO73" s="86">
        <f ca="1"/>
        <v>37934.375</v>
      </c>
      <c r="AP73" s="87">
        <f ca="1"/>
        <v>1531.62</v>
      </c>
      <c r="AQ73" s="87">
        <f ca="1"/>
        <v>1531.77</v>
      </c>
      <c r="AR73" s="88">
        <f ca="1"/>
        <v>37934.375</v>
      </c>
      <c r="AS73" s="87">
        <f ca="1"/>
        <v>671</v>
      </c>
      <c r="AT73" s="87">
        <f ca="1"/>
        <v>856.81</v>
      </c>
    </row>
    <row r="74" spans="2:46" ht="15" customHeight="1" x14ac:dyDescent="0.25">
      <c r="M74" s="42">
        <v>70</v>
      </c>
      <c r="N74" s="3" t="s">
        <v>130</v>
      </c>
      <c r="O74" s="49">
        <f t="shared" si="8"/>
        <v>37934.375</v>
      </c>
      <c r="P74" s="42">
        <v>1531.62</v>
      </c>
      <c r="Q74" s="42">
        <v>671</v>
      </c>
      <c r="R74" s="42">
        <v>1531.77</v>
      </c>
      <c r="S74" s="42">
        <v>856.81</v>
      </c>
      <c r="T74" s="42"/>
      <c r="U74" s="42"/>
      <c r="V74" s="3"/>
      <c r="W74" s="3"/>
      <c r="X74" s="3"/>
      <c r="Y74" s="3"/>
      <c r="Z74" s="3"/>
      <c r="AA74" s="3"/>
      <c r="AB74" s="3"/>
      <c r="AE74" s="42">
        <f t="shared" si="9"/>
        <v>80397</v>
      </c>
      <c r="AF74" s="42">
        <f t="shared" si="10"/>
        <v>64874.879999999997</v>
      </c>
      <c r="AG74" s="42" t="str">
        <f t="shared" si="11"/>
        <v/>
      </c>
      <c r="AH74" s="42" t="str">
        <f t="shared" si="12"/>
        <v/>
      </c>
      <c r="AI74" s="42" t="str">
        <f t="shared" si="13"/>
        <v/>
      </c>
      <c r="AJ74" s="42" t="str">
        <f t="shared" si="14"/>
        <v/>
      </c>
      <c r="AK74" s="42" t="str">
        <f t="shared" si="15"/>
        <v/>
      </c>
      <c r="AO74" s="86">
        <f ca="1"/>
        <v>37934.416666666664</v>
      </c>
      <c r="AP74" s="87">
        <f ca="1"/>
        <v>1531.59</v>
      </c>
      <c r="AQ74" s="87">
        <f ca="1"/>
        <v>1531.76</v>
      </c>
      <c r="AR74" s="88">
        <f ca="1"/>
        <v>37934.416666666664</v>
      </c>
      <c r="AS74" s="87">
        <f ca="1"/>
        <v>659</v>
      </c>
      <c r="AT74" s="87">
        <f ca="1"/>
        <v>848.58</v>
      </c>
    </row>
    <row r="75" spans="2:46" ht="15" customHeight="1" x14ac:dyDescent="0.25">
      <c r="M75" s="42">
        <v>71</v>
      </c>
      <c r="N75" s="3" t="s">
        <v>131</v>
      </c>
      <c r="O75" s="49">
        <f t="shared" si="8"/>
        <v>37934.416666666664</v>
      </c>
      <c r="P75" s="42">
        <v>1531.59</v>
      </c>
      <c r="Q75" s="42">
        <v>659</v>
      </c>
      <c r="R75" s="42">
        <v>1531.76</v>
      </c>
      <c r="S75" s="42">
        <v>848.58</v>
      </c>
      <c r="T75" s="42"/>
      <c r="U75" s="42"/>
      <c r="V75" s="3"/>
      <c r="W75" s="3"/>
      <c r="X75" s="3"/>
      <c r="Y75" s="3"/>
      <c r="Z75" s="3"/>
      <c r="AA75" s="3"/>
      <c r="AB75" s="3"/>
      <c r="AE75" s="42">
        <f t="shared" si="9"/>
        <v>81056</v>
      </c>
      <c r="AF75" s="42">
        <f t="shared" si="10"/>
        <v>65723.459999999992</v>
      </c>
      <c r="AG75" s="42" t="str">
        <f t="shared" si="11"/>
        <v/>
      </c>
      <c r="AH75" s="42" t="str">
        <f t="shared" si="12"/>
        <v/>
      </c>
      <c r="AI75" s="42" t="str">
        <f t="shared" si="13"/>
        <v/>
      </c>
      <c r="AJ75" s="42" t="str">
        <f t="shared" si="14"/>
        <v/>
      </c>
      <c r="AK75" s="42" t="str">
        <f t="shared" si="15"/>
        <v/>
      </c>
      <c r="AO75" s="86">
        <f ca="1"/>
        <v>37934.458333333336</v>
      </c>
      <c r="AP75" s="87">
        <f ca="1"/>
        <v>1531.57</v>
      </c>
      <c r="AQ75" s="87">
        <f ca="1"/>
        <v>1531.74</v>
      </c>
      <c r="AR75" s="88">
        <f ca="1"/>
        <v>37934.458333333336</v>
      </c>
      <c r="AS75" s="87">
        <f ca="1"/>
        <v>650</v>
      </c>
      <c r="AT75" s="87">
        <f ca="1"/>
        <v>840.23</v>
      </c>
    </row>
    <row r="76" spans="2:46" ht="15" customHeight="1" x14ac:dyDescent="0.25">
      <c r="M76" s="42">
        <v>72</v>
      </c>
      <c r="N76" s="3" t="s">
        <v>132</v>
      </c>
      <c r="O76" s="49">
        <f t="shared" si="8"/>
        <v>37934.458333333336</v>
      </c>
      <c r="P76" s="42">
        <v>1531.57</v>
      </c>
      <c r="Q76" s="42">
        <v>650</v>
      </c>
      <c r="R76" s="42">
        <v>1531.74</v>
      </c>
      <c r="S76" s="42">
        <v>840.23</v>
      </c>
      <c r="T76" s="42"/>
      <c r="U76" s="42"/>
      <c r="V76" s="3"/>
      <c r="W76" s="3"/>
      <c r="X76" s="3"/>
      <c r="Y76" s="3"/>
      <c r="Z76" s="3"/>
      <c r="AA76" s="3"/>
      <c r="AB76" s="3"/>
      <c r="AE76" s="42">
        <f t="shared" si="9"/>
        <v>81706</v>
      </c>
      <c r="AF76" s="42">
        <f t="shared" si="10"/>
        <v>66563.689999999988</v>
      </c>
      <c r="AG76" s="42" t="str">
        <f t="shared" si="11"/>
        <v/>
      </c>
      <c r="AH76" s="42" t="str">
        <f t="shared" si="12"/>
        <v/>
      </c>
      <c r="AI76" s="42" t="str">
        <f t="shared" si="13"/>
        <v/>
      </c>
      <c r="AJ76" s="42" t="str">
        <f t="shared" si="14"/>
        <v/>
      </c>
      <c r="AK76" s="42" t="str">
        <f t="shared" si="15"/>
        <v/>
      </c>
      <c r="AO76" s="86">
        <f ca="1"/>
        <v>37934.5</v>
      </c>
      <c r="AP76" s="87">
        <f ca="1"/>
        <v>1531.55</v>
      </c>
      <c r="AQ76" s="87">
        <f ca="1"/>
        <v>1531.73</v>
      </c>
      <c r="AR76" s="88">
        <f ca="1"/>
        <v>37934.5</v>
      </c>
      <c r="AS76" s="87">
        <f ca="1"/>
        <v>642</v>
      </c>
      <c r="AT76" s="87">
        <f ca="1"/>
        <v>832.4</v>
      </c>
    </row>
    <row r="77" spans="2:46" ht="15" customHeight="1" x14ac:dyDescent="0.25">
      <c r="M77" s="42">
        <v>73</v>
      </c>
      <c r="N77" s="3" t="s">
        <v>133</v>
      </c>
      <c r="O77" s="49">
        <f t="shared" si="8"/>
        <v>37934.5</v>
      </c>
      <c r="P77" s="42">
        <v>1531.55</v>
      </c>
      <c r="Q77" s="42">
        <v>642</v>
      </c>
      <c r="R77" s="42">
        <v>1531.73</v>
      </c>
      <c r="S77" s="42">
        <v>832.4</v>
      </c>
      <c r="T77" s="42"/>
      <c r="U77" s="42"/>
      <c r="V77" s="3"/>
      <c r="W77" s="3"/>
      <c r="X77" s="3"/>
      <c r="Y77" s="3"/>
      <c r="Z77" s="3"/>
      <c r="AA77" s="3"/>
      <c r="AB77" s="3"/>
      <c r="AE77" s="42">
        <f t="shared" si="9"/>
        <v>82348</v>
      </c>
      <c r="AF77" s="42">
        <f t="shared" si="10"/>
        <v>67396.089999999982</v>
      </c>
      <c r="AG77" s="42" t="str">
        <f t="shared" si="11"/>
        <v/>
      </c>
      <c r="AH77" s="42" t="str">
        <f t="shared" si="12"/>
        <v/>
      </c>
      <c r="AI77" s="42" t="str">
        <f t="shared" si="13"/>
        <v/>
      </c>
      <c r="AJ77" s="42" t="str">
        <f t="shared" si="14"/>
        <v/>
      </c>
      <c r="AK77" s="42" t="str">
        <f t="shared" si="15"/>
        <v/>
      </c>
      <c r="AO77" s="86">
        <f ca="1"/>
        <v>37934.541666666664</v>
      </c>
      <c r="AP77" s="87">
        <f ca="1"/>
        <v>1531.52</v>
      </c>
      <c r="AQ77" s="87">
        <f ca="1"/>
        <v>1531.71</v>
      </c>
      <c r="AR77" s="88">
        <f ca="1"/>
        <v>37934.541666666664</v>
      </c>
      <c r="AS77" s="87">
        <f ca="1"/>
        <v>630</v>
      </c>
      <c r="AT77" s="87">
        <f ca="1"/>
        <v>824.33</v>
      </c>
    </row>
    <row r="78" spans="2:46" ht="15" customHeight="1" x14ac:dyDescent="0.25">
      <c r="M78" s="42">
        <v>74</v>
      </c>
      <c r="N78" s="3" t="s">
        <v>134</v>
      </c>
      <c r="O78" s="49">
        <f t="shared" si="8"/>
        <v>37934.541666666664</v>
      </c>
      <c r="P78" s="42">
        <v>1531.52</v>
      </c>
      <c r="Q78" s="42">
        <v>630</v>
      </c>
      <c r="R78" s="42">
        <v>1531.71</v>
      </c>
      <c r="S78" s="42">
        <v>824.33</v>
      </c>
      <c r="T78" s="42"/>
      <c r="U78" s="42"/>
      <c r="V78" s="3"/>
      <c r="W78" s="3"/>
      <c r="X78" s="3"/>
      <c r="Y78" s="3"/>
      <c r="Z78" s="3"/>
      <c r="AA78" s="3"/>
      <c r="AB78" s="3"/>
      <c r="AE78" s="42">
        <f t="shared" si="9"/>
        <v>82978</v>
      </c>
      <c r="AF78" s="42">
        <f t="shared" si="10"/>
        <v>68220.419999999984</v>
      </c>
      <c r="AG78" s="42" t="str">
        <f t="shared" si="11"/>
        <v/>
      </c>
      <c r="AH78" s="42" t="str">
        <f t="shared" si="12"/>
        <v/>
      </c>
      <c r="AI78" s="42" t="str">
        <f t="shared" si="13"/>
        <v/>
      </c>
      <c r="AJ78" s="42" t="str">
        <f t="shared" si="14"/>
        <v/>
      </c>
      <c r="AK78" s="42" t="str">
        <f t="shared" si="15"/>
        <v/>
      </c>
      <c r="AO78" s="86">
        <f ca="1"/>
        <v>37934.583333333336</v>
      </c>
      <c r="AP78" s="87">
        <f ca="1"/>
        <v>1531.49</v>
      </c>
      <c r="AQ78" s="87">
        <f ca="1"/>
        <v>1531.7</v>
      </c>
      <c r="AR78" s="88">
        <f ca="1"/>
        <v>37934.583333333336</v>
      </c>
      <c r="AS78" s="87">
        <f ca="1"/>
        <v>617</v>
      </c>
      <c r="AT78" s="87">
        <f ca="1"/>
        <v>815.99</v>
      </c>
    </row>
    <row r="79" spans="2:46" ht="15" customHeight="1" x14ac:dyDescent="0.25">
      <c r="M79" s="42">
        <v>75</v>
      </c>
      <c r="N79" s="3" t="s">
        <v>135</v>
      </c>
      <c r="O79" s="49">
        <f t="shared" si="8"/>
        <v>37934.583333333336</v>
      </c>
      <c r="P79" s="42">
        <v>1531.49</v>
      </c>
      <c r="Q79" s="42">
        <v>617</v>
      </c>
      <c r="R79" s="42">
        <v>1531.7</v>
      </c>
      <c r="S79" s="42">
        <v>815.99</v>
      </c>
      <c r="T79" s="42"/>
      <c r="U79" s="42"/>
      <c r="V79" s="3"/>
      <c r="W79" s="3"/>
      <c r="X79" s="3"/>
      <c r="Y79" s="3"/>
      <c r="Z79" s="3"/>
      <c r="AA79" s="3"/>
      <c r="AB79" s="3"/>
      <c r="AE79" s="42">
        <f t="shared" si="9"/>
        <v>83595</v>
      </c>
      <c r="AF79" s="42">
        <f t="shared" si="10"/>
        <v>69036.409999999989</v>
      </c>
      <c r="AG79" s="42" t="str">
        <f t="shared" si="11"/>
        <v/>
      </c>
      <c r="AH79" s="42" t="str">
        <f t="shared" si="12"/>
        <v/>
      </c>
      <c r="AI79" s="42" t="str">
        <f t="shared" si="13"/>
        <v/>
      </c>
      <c r="AJ79" s="42" t="str">
        <f t="shared" si="14"/>
        <v/>
      </c>
      <c r="AK79" s="42" t="str">
        <f t="shared" si="15"/>
        <v/>
      </c>
      <c r="AO79" s="86">
        <f ca="1"/>
        <v>37934.625</v>
      </c>
      <c r="AP79" s="87">
        <f ca="1"/>
        <v>1531.47</v>
      </c>
      <c r="AQ79" s="87">
        <f ca="1"/>
        <v>1531.68</v>
      </c>
      <c r="AR79" s="88">
        <f ca="1"/>
        <v>37934.625</v>
      </c>
      <c r="AS79" s="87">
        <f ca="1"/>
        <v>609</v>
      </c>
      <c r="AT79" s="87">
        <f ca="1"/>
        <v>808.16</v>
      </c>
    </row>
    <row r="80" spans="2:46" ht="15" customHeight="1" x14ac:dyDescent="0.25">
      <c r="M80" s="42">
        <v>76</v>
      </c>
      <c r="N80" s="3" t="s">
        <v>136</v>
      </c>
      <c r="O80" s="49">
        <f t="shared" si="8"/>
        <v>37934.625</v>
      </c>
      <c r="P80" s="42">
        <v>1531.47</v>
      </c>
      <c r="Q80" s="42">
        <v>609</v>
      </c>
      <c r="R80" s="42">
        <v>1531.68</v>
      </c>
      <c r="S80" s="42">
        <v>808.16</v>
      </c>
      <c r="T80" s="42"/>
      <c r="U80" s="42"/>
      <c r="V80" s="3"/>
      <c r="W80" s="3"/>
      <c r="X80" s="3"/>
      <c r="Y80" s="3"/>
      <c r="Z80" s="3"/>
      <c r="AA80" s="3"/>
      <c r="AB80" s="3"/>
      <c r="AE80" s="42">
        <f t="shared" si="9"/>
        <v>84204</v>
      </c>
      <c r="AF80" s="42">
        <f t="shared" si="10"/>
        <v>69844.569999999992</v>
      </c>
      <c r="AG80" s="42" t="str">
        <f t="shared" si="11"/>
        <v/>
      </c>
      <c r="AH80" s="42" t="str">
        <f t="shared" si="12"/>
        <v/>
      </c>
      <c r="AI80" s="42" t="str">
        <f t="shared" si="13"/>
        <v/>
      </c>
      <c r="AJ80" s="42" t="str">
        <f t="shared" si="14"/>
        <v/>
      </c>
      <c r="AK80" s="42" t="str">
        <f t="shared" si="15"/>
        <v/>
      </c>
      <c r="AO80" s="86">
        <f ca="1"/>
        <v>37934.666666666664</v>
      </c>
      <c r="AP80" s="87">
        <f ca="1"/>
        <v>1531.45</v>
      </c>
      <c r="AQ80" s="87">
        <f ca="1"/>
        <v>1531.67</v>
      </c>
      <c r="AR80" s="88">
        <f ca="1"/>
        <v>37934.666666666664</v>
      </c>
      <c r="AS80" s="87">
        <f ca="1"/>
        <v>601</v>
      </c>
      <c r="AT80" s="87">
        <f ca="1"/>
        <v>800.37</v>
      </c>
    </row>
    <row r="81" spans="13:46" ht="15" customHeight="1" x14ac:dyDescent="0.25">
      <c r="M81" s="42">
        <v>77</v>
      </c>
      <c r="N81" s="3" t="s">
        <v>137</v>
      </c>
      <c r="O81" s="49">
        <f t="shared" si="8"/>
        <v>37934.666666666664</v>
      </c>
      <c r="P81" s="42">
        <v>1531.45</v>
      </c>
      <c r="Q81" s="42">
        <v>601</v>
      </c>
      <c r="R81" s="42">
        <v>1531.67</v>
      </c>
      <c r="S81" s="42">
        <v>800.37</v>
      </c>
      <c r="T81" s="42"/>
      <c r="U81" s="42"/>
      <c r="V81" s="3"/>
      <c r="W81" s="3"/>
      <c r="X81" s="3"/>
      <c r="Y81" s="3"/>
      <c r="Z81" s="3"/>
      <c r="AA81" s="3"/>
      <c r="AB81" s="3"/>
      <c r="AE81" s="42">
        <f t="shared" si="9"/>
        <v>84805</v>
      </c>
      <c r="AF81" s="42">
        <f t="shared" si="10"/>
        <v>70644.939999999988</v>
      </c>
      <c r="AG81" s="42" t="str">
        <f t="shared" si="11"/>
        <v/>
      </c>
      <c r="AH81" s="42" t="str">
        <f t="shared" si="12"/>
        <v/>
      </c>
      <c r="AI81" s="42" t="str">
        <f t="shared" si="13"/>
        <v/>
      </c>
      <c r="AJ81" s="42" t="str">
        <f t="shared" si="14"/>
        <v/>
      </c>
      <c r="AK81" s="42" t="str">
        <f t="shared" si="15"/>
        <v/>
      </c>
      <c r="AO81" s="86">
        <f ca="1"/>
        <v>37934.708333333336</v>
      </c>
      <c r="AP81" s="87">
        <f ca="1"/>
        <v>1531.43</v>
      </c>
      <c r="AQ81" s="87">
        <f ca="1"/>
        <v>1531.65</v>
      </c>
      <c r="AR81" s="88">
        <f ca="1"/>
        <v>37934.708333333336</v>
      </c>
      <c r="AS81" s="87">
        <f ca="1"/>
        <v>593</v>
      </c>
      <c r="AT81" s="87">
        <f ca="1"/>
        <v>792.49</v>
      </c>
    </row>
    <row r="82" spans="13:46" ht="15" customHeight="1" x14ac:dyDescent="0.25">
      <c r="M82" s="42">
        <v>78</v>
      </c>
      <c r="N82" s="3" t="s">
        <v>138</v>
      </c>
      <c r="O82" s="49">
        <f t="shared" si="8"/>
        <v>37934.708333333336</v>
      </c>
      <c r="P82" s="42">
        <v>1531.43</v>
      </c>
      <c r="Q82" s="42">
        <v>593</v>
      </c>
      <c r="R82" s="42">
        <v>1531.65</v>
      </c>
      <c r="S82" s="42">
        <v>792.49</v>
      </c>
      <c r="T82" s="42"/>
      <c r="U82" s="42"/>
      <c r="V82" s="3"/>
      <c r="W82" s="3"/>
      <c r="X82" s="3"/>
      <c r="Y82" s="3"/>
      <c r="Z82" s="3"/>
      <c r="AA82" s="3"/>
      <c r="AB82" s="3"/>
      <c r="AE82" s="42">
        <f t="shared" si="9"/>
        <v>85398</v>
      </c>
      <c r="AF82" s="42">
        <f t="shared" si="10"/>
        <v>71437.429999999993</v>
      </c>
      <c r="AG82" s="42" t="str">
        <f t="shared" si="11"/>
        <v/>
      </c>
      <c r="AH82" s="42" t="str">
        <f t="shared" si="12"/>
        <v/>
      </c>
      <c r="AI82" s="42" t="str">
        <f t="shared" si="13"/>
        <v/>
      </c>
      <c r="AJ82" s="42" t="str">
        <f t="shared" si="14"/>
        <v/>
      </c>
      <c r="AK82" s="42" t="str">
        <f t="shared" si="15"/>
        <v/>
      </c>
      <c r="AO82" s="86">
        <f ca="1"/>
        <v>37934.75</v>
      </c>
      <c r="AP82" s="87">
        <f ca="1"/>
        <v>1531.4</v>
      </c>
      <c r="AQ82" s="87">
        <f ca="1"/>
        <v>1531.64</v>
      </c>
      <c r="AR82" s="88">
        <f ca="1"/>
        <v>37934.75</v>
      </c>
      <c r="AS82" s="87">
        <f ca="1"/>
        <v>582</v>
      </c>
      <c r="AT82" s="87">
        <f ca="1"/>
        <v>784.46</v>
      </c>
    </row>
    <row r="83" spans="13:46" ht="15" customHeight="1" x14ac:dyDescent="0.25">
      <c r="M83" s="42">
        <v>79</v>
      </c>
      <c r="N83" s="3" t="s">
        <v>139</v>
      </c>
      <c r="O83" s="49">
        <f t="shared" si="8"/>
        <v>37934.75</v>
      </c>
      <c r="P83" s="42">
        <v>1531.4</v>
      </c>
      <c r="Q83" s="42">
        <v>582</v>
      </c>
      <c r="R83" s="42">
        <v>1531.64</v>
      </c>
      <c r="S83" s="42">
        <v>784.46</v>
      </c>
      <c r="T83" s="42"/>
      <c r="U83" s="42"/>
      <c r="V83" s="3"/>
      <c r="W83" s="3"/>
      <c r="X83" s="3"/>
      <c r="Y83" s="3"/>
      <c r="Z83" s="3"/>
      <c r="AA83" s="3"/>
      <c r="AB83" s="3"/>
      <c r="AE83" s="42">
        <f t="shared" si="9"/>
        <v>85980</v>
      </c>
      <c r="AF83" s="42">
        <f t="shared" si="10"/>
        <v>72221.89</v>
      </c>
      <c r="AG83" s="42" t="str">
        <f t="shared" si="11"/>
        <v/>
      </c>
      <c r="AH83" s="42" t="str">
        <f t="shared" si="12"/>
        <v/>
      </c>
      <c r="AI83" s="42" t="str">
        <f t="shared" si="13"/>
        <v/>
      </c>
      <c r="AJ83" s="42" t="str">
        <f t="shared" si="14"/>
        <v/>
      </c>
      <c r="AK83" s="42" t="str">
        <f t="shared" si="15"/>
        <v/>
      </c>
      <c r="AO83" s="86">
        <f ca="1"/>
        <v>37934.791666666664</v>
      </c>
      <c r="AP83" s="87">
        <f ca="1"/>
        <v>1531.38</v>
      </c>
      <c r="AQ83" s="87">
        <f ca="1"/>
        <v>1531.63</v>
      </c>
      <c r="AR83" s="88">
        <f ca="1"/>
        <v>37934.791666666664</v>
      </c>
      <c r="AS83" s="87">
        <f ca="1"/>
        <v>574</v>
      </c>
      <c r="AT83" s="87">
        <f ca="1"/>
        <v>776.74</v>
      </c>
    </row>
    <row r="84" spans="13:46" ht="15" customHeight="1" x14ac:dyDescent="0.25">
      <c r="M84" s="42">
        <v>80</v>
      </c>
      <c r="N84" s="3" t="s">
        <v>140</v>
      </c>
      <c r="O84" s="49">
        <f t="shared" si="8"/>
        <v>37934.791666666664</v>
      </c>
      <c r="P84" s="42">
        <v>1531.38</v>
      </c>
      <c r="Q84" s="42">
        <v>574</v>
      </c>
      <c r="R84" s="42">
        <v>1531.63</v>
      </c>
      <c r="S84" s="42">
        <v>776.74</v>
      </c>
      <c r="T84" s="42"/>
      <c r="U84" s="42"/>
      <c r="V84" s="3"/>
      <c r="W84" s="3"/>
      <c r="X84" s="3"/>
      <c r="Y84" s="3"/>
      <c r="Z84" s="3"/>
      <c r="AA84" s="3"/>
      <c r="AB84" s="3"/>
      <c r="AE84" s="42">
        <f t="shared" si="9"/>
        <v>86554</v>
      </c>
      <c r="AF84" s="42">
        <f t="shared" si="10"/>
        <v>72998.63</v>
      </c>
      <c r="AG84" s="42" t="str">
        <f t="shared" si="11"/>
        <v/>
      </c>
      <c r="AH84" s="42" t="str">
        <f t="shared" si="12"/>
        <v/>
      </c>
      <c r="AI84" s="42" t="str">
        <f t="shared" si="13"/>
        <v/>
      </c>
      <c r="AJ84" s="42" t="str">
        <f t="shared" si="14"/>
        <v/>
      </c>
      <c r="AK84" s="42" t="str">
        <f t="shared" si="15"/>
        <v/>
      </c>
      <c r="AO84" s="86">
        <f ca="1"/>
        <v>37934.833333333336</v>
      </c>
      <c r="AP84" s="87">
        <f ca="1"/>
        <v>1531.35</v>
      </c>
      <c r="AQ84" s="87">
        <f ca="1"/>
        <v>1531.61</v>
      </c>
      <c r="AR84" s="88">
        <f ca="1"/>
        <v>37934.833333333336</v>
      </c>
      <c r="AS84" s="87">
        <f ca="1"/>
        <v>562</v>
      </c>
      <c r="AT84" s="87">
        <f ca="1"/>
        <v>769.17</v>
      </c>
    </row>
    <row r="85" spans="13:46" ht="15" customHeight="1" x14ac:dyDescent="0.25">
      <c r="M85" s="42">
        <v>81</v>
      </c>
      <c r="N85" s="3" t="s">
        <v>141</v>
      </c>
      <c r="O85" s="49">
        <f t="shared" si="8"/>
        <v>37934.833333333336</v>
      </c>
      <c r="P85" s="42">
        <v>1531.35</v>
      </c>
      <c r="Q85" s="42">
        <v>562</v>
      </c>
      <c r="R85" s="42">
        <v>1531.61</v>
      </c>
      <c r="S85" s="42">
        <v>769.17</v>
      </c>
      <c r="T85" s="42"/>
      <c r="U85" s="42"/>
      <c r="V85" s="3"/>
      <c r="W85" s="3"/>
      <c r="X85" s="3"/>
      <c r="Y85" s="3"/>
      <c r="Z85" s="3"/>
      <c r="AA85" s="3"/>
      <c r="AB85" s="3"/>
      <c r="AE85" s="42">
        <f t="shared" si="9"/>
        <v>87116</v>
      </c>
      <c r="AF85" s="42">
        <f t="shared" si="10"/>
        <v>73767.8</v>
      </c>
      <c r="AG85" s="42" t="str">
        <f t="shared" si="11"/>
        <v/>
      </c>
      <c r="AH85" s="42" t="str">
        <f t="shared" si="12"/>
        <v/>
      </c>
      <c r="AI85" s="42" t="str">
        <f t="shared" si="13"/>
        <v/>
      </c>
      <c r="AJ85" s="42" t="str">
        <f t="shared" si="14"/>
        <v/>
      </c>
      <c r="AK85" s="42" t="str">
        <f t="shared" si="15"/>
        <v/>
      </c>
      <c r="AO85" s="86">
        <f ca="1"/>
        <v>37934.875</v>
      </c>
      <c r="AP85" s="87">
        <f ca="1"/>
        <v>1531.34</v>
      </c>
      <c r="AQ85" s="87">
        <f ca="1"/>
        <v>1531.6</v>
      </c>
      <c r="AR85" s="88">
        <f ca="1"/>
        <v>37934.875</v>
      </c>
      <c r="AS85" s="87">
        <f ca="1"/>
        <v>558</v>
      </c>
      <c r="AT85" s="87">
        <f ca="1"/>
        <v>761.7</v>
      </c>
    </row>
    <row r="86" spans="13:46" ht="15" customHeight="1" x14ac:dyDescent="0.25">
      <c r="M86" s="42">
        <v>82</v>
      </c>
      <c r="N86" s="3" t="s">
        <v>142</v>
      </c>
      <c r="O86" s="49">
        <f t="shared" si="8"/>
        <v>37934.875</v>
      </c>
      <c r="P86" s="42">
        <v>1531.34</v>
      </c>
      <c r="Q86" s="42">
        <v>558</v>
      </c>
      <c r="R86" s="42">
        <v>1531.6</v>
      </c>
      <c r="S86" s="42">
        <v>761.7</v>
      </c>
      <c r="T86" s="42"/>
      <c r="U86" s="42"/>
      <c r="V86" s="3"/>
      <c r="W86" s="3"/>
      <c r="X86" s="3"/>
      <c r="Y86" s="3"/>
      <c r="Z86" s="3"/>
      <c r="AA86" s="3"/>
      <c r="AB86" s="3"/>
      <c r="AE86" s="42">
        <f t="shared" si="9"/>
        <v>87674</v>
      </c>
      <c r="AF86" s="42">
        <f t="shared" si="10"/>
        <v>74529.5</v>
      </c>
      <c r="AG86" s="42" t="str">
        <f t="shared" si="11"/>
        <v/>
      </c>
      <c r="AH86" s="42" t="str">
        <f t="shared" si="12"/>
        <v/>
      </c>
      <c r="AI86" s="42" t="str">
        <f t="shared" si="13"/>
        <v/>
      </c>
      <c r="AJ86" s="42" t="str">
        <f t="shared" si="14"/>
        <v/>
      </c>
      <c r="AK86" s="42" t="str">
        <f t="shared" si="15"/>
        <v/>
      </c>
      <c r="AO86" s="86">
        <f ca="1"/>
        <v>37934.916666666664</v>
      </c>
      <c r="AP86" s="87">
        <f ca="1"/>
        <v>1531.32</v>
      </c>
      <c r="AQ86" s="87">
        <f ca="1"/>
        <v>1531.59</v>
      </c>
      <c r="AR86" s="88">
        <f ca="1"/>
        <v>37934.916666666664</v>
      </c>
      <c r="AS86" s="87">
        <f ca="1"/>
        <v>551</v>
      </c>
      <c r="AT86" s="87">
        <f ca="1"/>
        <v>755.33</v>
      </c>
    </row>
    <row r="87" spans="13:46" ht="15" customHeight="1" x14ac:dyDescent="0.25">
      <c r="M87" s="42">
        <v>83</v>
      </c>
      <c r="N87" s="3" t="s">
        <v>143</v>
      </c>
      <c r="O87" s="49">
        <f t="shared" si="8"/>
        <v>37934.916666666664</v>
      </c>
      <c r="P87" s="42">
        <v>1531.32</v>
      </c>
      <c r="Q87" s="42">
        <v>551</v>
      </c>
      <c r="R87" s="42">
        <v>1531.59</v>
      </c>
      <c r="S87" s="42">
        <v>755.33</v>
      </c>
      <c r="T87" s="42"/>
      <c r="U87" s="42"/>
      <c r="V87" s="3"/>
      <c r="W87" s="3"/>
      <c r="X87" s="3"/>
      <c r="Y87" s="3"/>
      <c r="Z87" s="3"/>
      <c r="AA87" s="3"/>
      <c r="AB87" s="3"/>
      <c r="AE87" s="42">
        <f t="shared" si="9"/>
        <v>88225</v>
      </c>
      <c r="AF87" s="42">
        <f t="shared" si="10"/>
        <v>75284.83</v>
      </c>
      <c r="AG87" s="42" t="str">
        <f t="shared" si="11"/>
        <v/>
      </c>
      <c r="AH87" s="42" t="str">
        <f t="shared" si="12"/>
        <v/>
      </c>
      <c r="AI87" s="42" t="str">
        <f t="shared" si="13"/>
        <v/>
      </c>
      <c r="AJ87" s="42" t="str">
        <f t="shared" si="14"/>
        <v/>
      </c>
      <c r="AK87" s="42" t="str">
        <f t="shared" si="15"/>
        <v/>
      </c>
      <c r="AO87" s="86">
        <f ca="1"/>
        <v>37934.958333333336</v>
      </c>
      <c r="AP87" s="87">
        <f ca="1"/>
        <v>1531.3</v>
      </c>
      <c r="AQ87" s="87">
        <f ca="1"/>
        <v>1531.57</v>
      </c>
      <c r="AR87" s="88">
        <f ca="1"/>
        <v>37934.958333333336</v>
      </c>
      <c r="AS87" s="87">
        <f ca="1"/>
        <v>543</v>
      </c>
      <c r="AT87" s="87">
        <f ca="1"/>
        <v>748.87</v>
      </c>
    </row>
    <row r="88" spans="13:46" ht="15" customHeight="1" x14ac:dyDescent="0.25">
      <c r="M88" s="42">
        <v>84</v>
      </c>
      <c r="N88" s="3" t="s">
        <v>144</v>
      </c>
      <c r="O88" s="49">
        <f t="shared" si="8"/>
        <v>37934.958333333336</v>
      </c>
      <c r="P88" s="42">
        <v>1531.3</v>
      </c>
      <c r="Q88" s="42">
        <v>543</v>
      </c>
      <c r="R88" s="42">
        <v>1531.57</v>
      </c>
      <c r="S88" s="42">
        <v>748.87</v>
      </c>
      <c r="T88" s="42"/>
      <c r="U88" s="42"/>
      <c r="V88" s="3"/>
      <c r="W88" s="3"/>
      <c r="X88" s="3"/>
      <c r="Y88" s="3"/>
      <c r="Z88" s="3"/>
      <c r="AA88" s="3"/>
      <c r="AB88" s="3"/>
      <c r="AE88" s="42">
        <f t="shared" si="9"/>
        <v>88768</v>
      </c>
      <c r="AF88" s="42">
        <f t="shared" si="10"/>
        <v>76033.7</v>
      </c>
      <c r="AG88" s="42" t="str">
        <f t="shared" si="11"/>
        <v/>
      </c>
      <c r="AH88" s="42" t="str">
        <f t="shared" si="12"/>
        <v/>
      </c>
      <c r="AI88" s="42" t="str">
        <f t="shared" si="13"/>
        <v/>
      </c>
      <c r="AJ88" s="42" t="str">
        <f t="shared" si="14"/>
        <v/>
      </c>
      <c r="AK88" s="42" t="str">
        <f t="shared" si="15"/>
        <v/>
      </c>
      <c r="AO88" s="86">
        <f ca="1"/>
        <v>37935</v>
      </c>
      <c r="AP88" s="87">
        <f ca="1"/>
        <v>1531.28</v>
      </c>
      <c r="AQ88" s="87">
        <f ca="1"/>
        <v>1531.56</v>
      </c>
      <c r="AR88" s="88">
        <f ca="1"/>
        <v>37935</v>
      </c>
      <c r="AS88" s="87">
        <f ca="1"/>
        <v>536</v>
      </c>
      <c r="AT88" s="87">
        <f ca="1"/>
        <v>741.62</v>
      </c>
    </row>
    <row r="89" spans="13:46" ht="15" customHeight="1" x14ac:dyDescent="0.25">
      <c r="M89" s="42">
        <v>85</v>
      </c>
      <c r="N89" s="3" t="s">
        <v>145</v>
      </c>
      <c r="O89" s="49">
        <f t="shared" si="8"/>
        <v>37935</v>
      </c>
      <c r="P89" s="42">
        <v>1531.28</v>
      </c>
      <c r="Q89" s="42">
        <v>536</v>
      </c>
      <c r="R89" s="42">
        <v>1531.56</v>
      </c>
      <c r="S89" s="42">
        <v>741.62</v>
      </c>
      <c r="T89" s="42"/>
      <c r="U89" s="42"/>
      <c r="V89" s="3"/>
      <c r="W89" s="3"/>
      <c r="X89" s="3"/>
      <c r="Y89" s="3"/>
      <c r="Z89" s="3"/>
      <c r="AA89" s="3"/>
      <c r="AB89" s="3"/>
      <c r="AE89" s="42">
        <f t="shared" si="9"/>
        <v>89304</v>
      </c>
      <c r="AF89" s="42">
        <f t="shared" si="10"/>
        <v>76775.319999999992</v>
      </c>
      <c r="AG89" s="42" t="str">
        <f t="shared" si="11"/>
        <v/>
      </c>
      <c r="AH89" s="42" t="str">
        <f t="shared" si="12"/>
        <v/>
      </c>
      <c r="AI89" s="42" t="str">
        <f t="shared" si="13"/>
        <v/>
      </c>
      <c r="AJ89" s="42" t="str">
        <f t="shared" si="14"/>
        <v/>
      </c>
      <c r="AK89" s="42" t="str">
        <f t="shared" si="15"/>
        <v/>
      </c>
      <c r="AO89" s="86">
        <f ca="1"/>
        <v>37935.041666666664</v>
      </c>
      <c r="AP89" s="87">
        <f ca="1"/>
        <v>1531.27</v>
      </c>
      <c r="AQ89" s="87">
        <f ca="1"/>
        <v>1531.54</v>
      </c>
      <c r="AR89" s="88">
        <f ca="1"/>
        <v>37935.041666666664</v>
      </c>
      <c r="AS89" s="87">
        <f ca="1"/>
        <v>532</v>
      </c>
      <c r="AT89" s="87">
        <f ca="1"/>
        <v>733.68</v>
      </c>
    </row>
    <row r="90" spans="13:46" ht="15" customHeight="1" x14ac:dyDescent="0.25">
      <c r="M90" s="42">
        <v>86</v>
      </c>
      <c r="N90" s="3" t="s">
        <v>146</v>
      </c>
      <c r="O90" s="49">
        <f t="shared" si="8"/>
        <v>37935.041666666664</v>
      </c>
      <c r="P90" s="42">
        <v>1531.27</v>
      </c>
      <c r="Q90" s="42">
        <v>532</v>
      </c>
      <c r="R90" s="42">
        <v>1531.54</v>
      </c>
      <c r="S90" s="42">
        <v>733.68</v>
      </c>
      <c r="T90" s="42"/>
      <c r="U90" s="42"/>
      <c r="V90" s="3"/>
      <c r="W90" s="3"/>
      <c r="X90" s="3"/>
      <c r="Y90" s="3"/>
      <c r="Z90" s="3"/>
      <c r="AA90" s="3"/>
      <c r="AB90" s="3"/>
      <c r="AE90" s="42">
        <f t="shared" si="9"/>
        <v>89836</v>
      </c>
      <c r="AF90" s="42">
        <f t="shared" si="10"/>
        <v>77508.999999999985</v>
      </c>
      <c r="AG90" s="42" t="str">
        <f t="shared" si="11"/>
        <v/>
      </c>
      <c r="AH90" s="42" t="str">
        <f t="shared" si="12"/>
        <v/>
      </c>
      <c r="AI90" s="42" t="str">
        <f t="shared" si="13"/>
        <v/>
      </c>
      <c r="AJ90" s="42" t="str">
        <f t="shared" si="14"/>
        <v/>
      </c>
      <c r="AK90" s="42" t="str">
        <f t="shared" si="15"/>
        <v/>
      </c>
      <c r="AO90" s="86">
        <f ca="1"/>
        <v>37935.083333333336</v>
      </c>
      <c r="AP90" s="87">
        <f ca="1"/>
        <v>1531.25</v>
      </c>
      <c r="AQ90" s="87">
        <f ca="1"/>
        <v>1531.53</v>
      </c>
      <c r="AR90" s="88">
        <f ca="1"/>
        <v>37935.083333333336</v>
      </c>
      <c r="AS90" s="87">
        <f ca="1"/>
        <v>525</v>
      </c>
      <c r="AT90" s="87">
        <f ca="1"/>
        <v>726.13</v>
      </c>
    </row>
    <row r="91" spans="13:46" ht="15" customHeight="1" x14ac:dyDescent="0.25">
      <c r="M91" s="42">
        <v>87</v>
      </c>
      <c r="N91" s="3" t="s">
        <v>147</v>
      </c>
      <c r="O91" s="49">
        <f t="shared" si="8"/>
        <v>37935.083333333336</v>
      </c>
      <c r="P91" s="42">
        <v>1531.25</v>
      </c>
      <c r="Q91" s="42">
        <v>525</v>
      </c>
      <c r="R91" s="42">
        <v>1531.53</v>
      </c>
      <c r="S91" s="42">
        <v>726.13</v>
      </c>
      <c r="T91" s="42"/>
      <c r="U91" s="42"/>
      <c r="V91" s="3"/>
      <c r="W91" s="3"/>
      <c r="X91" s="3"/>
      <c r="Y91" s="3"/>
      <c r="Z91" s="3"/>
      <c r="AA91" s="3"/>
      <c r="AB91" s="3"/>
      <c r="AE91" s="42">
        <f t="shared" si="9"/>
        <v>90361</v>
      </c>
      <c r="AF91" s="42">
        <f t="shared" si="10"/>
        <v>78235.12999999999</v>
      </c>
      <c r="AG91" s="42" t="str">
        <f t="shared" si="11"/>
        <v/>
      </c>
      <c r="AH91" s="42" t="str">
        <f t="shared" si="12"/>
        <v/>
      </c>
      <c r="AI91" s="42" t="str">
        <f t="shared" si="13"/>
        <v/>
      </c>
      <c r="AJ91" s="42" t="str">
        <f t="shared" si="14"/>
        <v/>
      </c>
      <c r="AK91" s="42" t="str">
        <f t="shared" si="15"/>
        <v/>
      </c>
      <c r="AO91" s="86">
        <f ca="1"/>
        <v>37935.125</v>
      </c>
      <c r="AP91" s="87">
        <f ca="1"/>
        <v>1531.23</v>
      </c>
      <c r="AQ91" s="87">
        <f ca="1"/>
        <v>1531.52</v>
      </c>
      <c r="AR91" s="88">
        <f ca="1"/>
        <v>37935.125</v>
      </c>
      <c r="AS91" s="87">
        <f ca="1"/>
        <v>517</v>
      </c>
      <c r="AT91" s="87">
        <f ca="1"/>
        <v>719.02</v>
      </c>
    </row>
    <row r="92" spans="13:46" ht="15" customHeight="1" x14ac:dyDescent="0.25">
      <c r="M92" s="42">
        <v>88</v>
      </c>
      <c r="N92" s="3" t="s">
        <v>148</v>
      </c>
      <c r="O92" s="49">
        <f t="shared" si="8"/>
        <v>37935.125</v>
      </c>
      <c r="P92" s="42">
        <v>1531.23</v>
      </c>
      <c r="Q92" s="42">
        <v>517</v>
      </c>
      <c r="R92" s="42">
        <v>1531.52</v>
      </c>
      <c r="S92" s="42">
        <v>719.02</v>
      </c>
      <c r="T92" s="42"/>
      <c r="U92" s="42"/>
      <c r="V92" s="3"/>
      <c r="W92" s="3"/>
      <c r="X92" s="3"/>
      <c r="Y92" s="3"/>
      <c r="Z92" s="3"/>
      <c r="AA92" s="3"/>
      <c r="AB92" s="3"/>
      <c r="AE92" s="42">
        <f t="shared" si="9"/>
        <v>90878</v>
      </c>
      <c r="AF92" s="42">
        <f t="shared" si="10"/>
        <v>78954.149999999994</v>
      </c>
      <c r="AG92" s="42" t="str">
        <f t="shared" si="11"/>
        <v/>
      </c>
      <c r="AH92" s="42" t="str">
        <f t="shared" si="12"/>
        <v/>
      </c>
      <c r="AI92" s="42" t="str">
        <f t="shared" si="13"/>
        <v/>
      </c>
      <c r="AJ92" s="42" t="str">
        <f t="shared" si="14"/>
        <v/>
      </c>
      <c r="AK92" s="42" t="str">
        <f t="shared" si="15"/>
        <v/>
      </c>
      <c r="AO92" s="86">
        <f ca="1"/>
        <v>37935.166666666664</v>
      </c>
      <c r="AP92" s="87">
        <f ca="1"/>
        <v>1531.22</v>
      </c>
      <c r="AQ92" s="87">
        <f ca="1"/>
        <v>1531.5</v>
      </c>
      <c r="AR92" s="88">
        <f ca="1"/>
        <v>37935.166666666664</v>
      </c>
      <c r="AS92" s="87">
        <f ca="1"/>
        <v>514</v>
      </c>
      <c r="AT92" s="87">
        <f ca="1"/>
        <v>712.26</v>
      </c>
    </row>
    <row r="93" spans="13:46" ht="15" customHeight="1" x14ac:dyDescent="0.25">
      <c r="M93" s="42">
        <v>89</v>
      </c>
      <c r="N93" s="3" t="s">
        <v>149</v>
      </c>
      <c r="O93" s="49">
        <f t="shared" si="8"/>
        <v>37935.166666666664</v>
      </c>
      <c r="P93" s="42">
        <v>1531.22</v>
      </c>
      <c r="Q93" s="42">
        <v>514</v>
      </c>
      <c r="R93" s="42">
        <v>1531.5</v>
      </c>
      <c r="S93" s="42">
        <v>712.26</v>
      </c>
      <c r="T93" s="42"/>
      <c r="U93" s="42"/>
      <c r="V93" s="3"/>
      <c r="W93" s="3"/>
      <c r="X93" s="3"/>
      <c r="Y93" s="3"/>
      <c r="Z93" s="3"/>
      <c r="AA93" s="3"/>
      <c r="AB93" s="3"/>
      <c r="AE93" s="42">
        <f t="shared" si="9"/>
        <v>91392</v>
      </c>
      <c r="AF93" s="42">
        <f t="shared" si="10"/>
        <v>79666.409999999989</v>
      </c>
      <c r="AG93" s="42" t="str">
        <f t="shared" si="11"/>
        <v/>
      </c>
      <c r="AH93" s="42" t="str">
        <f t="shared" si="12"/>
        <v/>
      </c>
      <c r="AI93" s="42" t="str">
        <f t="shared" si="13"/>
        <v/>
      </c>
      <c r="AJ93" s="42" t="str">
        <f t="shared" si="14"/>
        <v/>
      </c>
      <c r="AK93" s="42" t="str">
        <f t="shared" si="15"/>
        <v/>
      </c>
      <c r="AO93" s="86">
        <f ca="1"/>
        <v>37935.208333333336</v>
      </c>
      <c r="AP93" s="87">
        <f ca="1"/>
        <v>1531.2</v>
      </c>
      <c r="AQ93" s="87">
        <f ca="1"/>
        <v>1531.49</v>
      </c>
      <c r="AR93" s="88">
        <f ca="1"/>
        <v>37935.208333333336</v>
      </c>
      <c r="AS93" s="87">
        <f ca="1"/>
        <v>506</v>
      </c>
      <c r="AT93" s="87">
        <f ca="1"/>
        <v>705.7</v>
      </c>
    </row>
    <row r="94" spans="13:46" ht="15" customHeight="1" x14ac:dyDescent="0.25">
      <c r="M94" s="42">
        <v>90</v>
      </c>
      <c r="N94" s="3" t="s">
        <v>150</v>
      </c>
      <c r="O94" s="49">
        <f t="shared" si="8"/>
        <v>37935.208333333336</v>
      </c>
      <c r="P94" s="42">
        <v>1531.2</v>
      </c>
      <c r="Q94" s="42">
        <v>506</v>
      </c>
      <c r="R94" s="42">
        <v>1531.49</v>
      </c>
      <c r="S94" s="42">
        <v>705.7</v>
      </c>
      <c r="T94" s="42"/>
      <c r="U94" s="42"/>
      <c r="V94" s="3"/>
      <c r="W94" s="3"/>
      <c r="X94" s="3"/>
      <c r="Y94" s="3"/>
      <c r="Z94" s="3"/>
      <c r="AA94" s="3"/>
      <c r="AB94" s="3"/>
      <c r="AE94" s="42">
        <f t="shared" si="9"/>
        <v>91898</v>
      </c>
      <c r="AF94" s="42">
        <f t="shared" si="10"/>
        <v>80372.109999999986</v>
      </c>
      <c r="AG94" s="42" t="str">
        <f t="shared" si="11"/>
        <v/>
      </c>
      <c r="AH94" s="42" t="str">
        <f t="shared" si="12"/>
        <v/>
      </c>
      <c r="AI94" s="42" t="str">
        <f t="shared" si="13"/>
        <v/>
      </c>
      <c r="AJ94" s="42" t="str">
        <f t="shared" si="14"/>
        <v/>
      </c>
      <c r="AK94" s="42" t="str">
        <f t="shared" si="15"/>
        <v/>
      </c>
      <c r="AO94" s="86">
        <f ca="1"/>
        <v>37935.25</v>
      </c>
      <c r="AP94" s="87">
        <f ca="1"/>
        <v>1531.19</v>
      </c>
      <c r="AQ94" s="87">
        <f ca="1"/>
        <v>1531.48</v>
      </c>
      <c r="AR94" s="88">
        <f ca="1"/>
        <v>37935.25</v>
      </c>
      <c r="AS94" s="87">
        <f ca="1"/>
        <v>503</v>
      </c>
      <c r="AT94" s="87">
        <f ca="1"/>
        <v>702.23</v>
      </c>
    </row>
    <row r="95" spans="13:46" ht="15" customHeight="1" x14ac:dyDescent="0.25">
      <c r="M95" s="42">
        <v>91</v>
      </c>
      <c r="N95" s="3" t="s">
        <v>151</v>
      </c>
      <c r="O95" s="49">
        <f t="shared" si="8"/>
        <v>37935.25</v>
      </c>
      <c r="P95" s="42">
        <v>1531.19</v>
      </c>
      <c r="Q95" s="42">
        <v>503</v>
      </c>
      <c r="R95" s="42">
        <v>1531.48</v>
      </c>
      <c r="S95" s="42">
        <v>702.23</v>
      </c>
      <c r="T95" s="42"/>
      <c r="U95" s="42"/>
      <c r="V95" s="3"/>
      <c r="W95" s="3"/>
      <c r="X95" s="3"/>
      <c r="Y95" s="3"/>
      <c r="Z95" s="3"/>
      <c r="AA95" s="3"/>
      <c r="AB95" s="3"/>
      <c r="AE95" s="42">
        <f t="shared" si="9"/>
        <v>92401</v>
      </c>
      <c r="AF95" s="42">
        <f t="shared" si="10"/>
        <v>81074.339999999982</v>
      </c>
      <c r="AG95" s="42" t="str">
        <f t="shared" si="11"/>
        <v/>
      </c>
      <c r="AH95" s="42" t="str">
        <f t="shared" si="12"/>
        <v/>
      </c>
      <c r="AI95" s="42" t="str">
        <f t="shared" si="13"/>
        <v/>
      </c>
      <c r="AJ95" s="42" t="str">
        <f t="shared" si="14"/>
        <v/>
      </c>
      <c r="AK95" s="42" t="str">
        <f t="shared" si="15"/>
        <v/>
      </c>
      <c r="AO95" s="86">
        <f ca="1"/>
        <v>37935.291666666664</v>
      </c>
      <c r="AP95" s="87">
        <f ca="1"/>
        <v>1531.17</v>
      </c>
      <c r="AQ95" s="87">
        <f ca="1"/>
        <v>1531.47</v>
      </c>
      <c r="AR95" s="88">
        <f ca="1"/>
        <v>37935.291666666664</v>
      </c>
      <c r="AS95" s="87">
        <f ca="1"/>
        <v>495</v>
      </c>
      <c r="AT95" s="87">
        <f ca="1"/>
        <v>692.77</v>
      </c>
    </row>
    <row r="96" spans="13:46" ht="15" customHeight="1" x14ac:dyDescent="0.25">
      <c r="M96" s="42">
        <v>92</v>
      </c>
      <c r="N96" s="3" t="s">
        <v>152</v>
      </c>
      <c r="O96" s="49">
        <f t="shared" si="8"/>
        <v>37935.291666666664</v>
      </c>
      <c r="P96" s="42">
        <v>1531.17</v>
      </c>
      <c r="Q96" s="42">
        <v>495</v>
      </c>
      <c r="R96" s="42">
        <v>1531.47</v>
      </c>
      <c r="S96" s="42">
        <v>692.77</v>
      </c>
      <c r="T96" s="42"/>
      <c r="U96" s="42"/>
      <c r="V96" s="3"/>
      <c r="W96" s="3"/>
      <c r="X96" s="3"/>
      <c r="Y96" s="3"/>
      <c r="Z96" s="3"/>
      <c r="AA96" s="3"/>
      <c r="AB96" s="3"/>
      <c r="AE96" s="42">
        <f t="shared" si="9"/>
        <v>92896</v>
      </c>
      <c r="AF96" s="42">
        <f t="shared" si="10"/>
        <v>81767.109999999986</v>
      </c>
      <c r="AG96" s="42" t="str">
        <f t="shared" si="11"/>
        <v/>
      </c>
      <c r="AH96" s="42" t="str">
        <f t="shared" si="12"/>
        <v/>
      </c>
      <c r="AI96" s="42" t="str">
        <f t="shared" si="13"/>
        <v/>
      </c>
      <c r="AJ96" s="42" t="str">
        <f t="shared" si="14"/>
        <v/>
      </c>
      <c r="AK96" s="42" t="str">
        <f t="shared" si="15"/>
        <v/>
      </c>
      <c r="AO96" s="86">
        <f ca="1"/>
        <v>37935.333333333336</v>
      </c>
      <c r="AP96" s="87">
        <f ca="1"/>
        <v>1531.15</v>
      </c>
      <c r="AQ96" s="87">
        <f ca="1"/>
        <v>1531.45</v>
      </c>
      <c r="AR96" s="88">
        <f ca="1"/>
        <v>37935.333333333336</v>
      </c>
      <c r="AS96" s="87">
        <f ca="1"/>
        <v>488</v>
      </c>
      <c r="AT96" s="87">
        <f ca="1"/>
        <v>685.62</v>
      </c>
    </row>
    <row r="97" spans="11:46" ht="15" customHeight="1" x14ac:dyDescent="0.25">
      <c r="M97" s="42">
        <v>93</v>
      </c>
      <c r="N97" s="3" t="s">
        <v>153</v>
      </c>
      <c r="O97" s="49">
        <f t="shared" si="8"/>
        <v>37935.333333333336</v>
      </c>
      <c r="P97" s="42">
        <v>1531.15</v>
      </c>
      <c r="Q97" s="42">
        <v>488</v>
      </c>
      <c r="R97" s="42">
        <v>1531.45</v>
      </c>
      <c r="S97" s="42">
        <v>685.62</v>
      </c>
      <c r="T97" s="42"/>
      <c r="U97" s="42"/>
      <c r="V97" s="3"/>
      <c r="W97" s="3"/>
      <c r="X97" s="3"/>
      <c r="Y97" s="3"/>
      <c r="Z97" s="3"/>
      <c r="AA97" s="3"/>
      <c r="AB97" s="3"/>
      <c r="AE97" s="42">
        <f t="shared" si="9"/>
        <v>93384</v>
      </c>
      <c r="AF97" s="42">
        <f t="shared" si="10"/>
        <v>82452.729999999981</v>
      </c>
      <c r="AG97" s="42" t="str">
        <f t="shared" si="11"/>
        <v/>
      </c>
      <c r="AH97" s="42" t="str">
        <f t="shared" si="12"/>
        <v/>
      </c>
      <c r="AI97" s="42" t="str">
        <f t="shared" si="13"/>
        <v/>
      </c>
      <c r="AJ97" s="42" t="str">
        <f t="shared" si="14"/>
        <v/>
      </c>
      <c r="AK97" s="42" t="str">
        <f t="shared" si="15"/>
        <v/>
      </c>
      <c r="AO97" s="86">
        <f ca="1"/>
        <v>37935.375</v>
      </c>
      <c r="AP97" s="87">
        <f ca="1"/>
        <v>1531.13</v>
      </c>
      <c r="AQ97" s="87">
        <f ca="1"/>
        <v>1531.44</v>
      </c>
      <c r="AR97" s="88">
        <f ca="1"/>
        <v>37935.375</v>
      </c>
      <c r="AS97" s="87">
        <f ca="1"/>
        <v>481</v>
      </c>
      <c r="AT97" s="87">
        <f ca="1"/>
        <v>679.87</v>
      </c>
    </row>
    <row r="98" spans="11:46" ht="15" customHeight="1" x14ac:dyDescent="0.25">
      <c r="M98" s="42">
        <v>94</v>
      </c>
      <c r="N98" s="3" t="s">
        <v>154</v>
      </c>
      <c r="O98" s="49">
        <f t="shared" si="8"/>
        <v>37935.375</v>
      </c>
      <c r="P98" s="42">
        <v>1531.13</v>
      </c>
      <c r="Q98" s="42">
        <v>481</v>
      </c>
      <c r="R98" s="42">
        <v>1531.44</v>
      </c>
      <c r="S98" s="42">
        <v>679.87</v>
      </c>
      <c r="T98" s="42"/>
      <c r="U98" s="42"/>
      <c r="V98" s="3"/>
      <c r="W98" s="3"/>
      <c r="X98" s="3"/>
      <c r="Y98" s="3"/>
      <c r="Z98" s="3"/>
      <c r="AA98" s="3"/>
      <c r="AB98" s="3"/>
      <c r="AE98" s="42">
        <f t="shared" si="9"/>
        <v>93865</v>
      </c>
      <c r="AF98" s="42">
        <f t="shared" si="10"/>
        <v>83132.599999999977</v>
      </c>
      <c r="AG98" s="42" t="str">
        <f t="shared" si="11"/>
        <v/>
      </c>
      <c r="AH98" s="42" t="str">
        <f t="shared" si="12"/>
        <v/>
      </c>
      <c r="AI98" s="42" t="str">
        <f t="shared" si="13"/>
        <v/>
      </c>
      <c r="AJ98" s="42" t="str">
        <f t="shared" si="14"/>
        <v/>
      </c>
      <c r="AK98" s="42" t="str">
        <f t="shared" si="15"/>
        <v/>
      </c>
      <c r="AO98" s="86">
        <f ca="1"/>
        <v>37935.416666666664</v>
      </c>
      <c r="AP98" s="87">
        <f ca="1"/>
        <v>1531.11</v>
      </c>
      <c r="AQ98" s="87">
        <f ca="1"/>
        <v>1531.43</v>
      </c>
      <c r="AR98" s="88">
        <f ca="1"/>
        <v>37935.416666666664</v>
      </c>
      <c r="AS98" s="87">
        <f ca="1"/>
        <v>474</v>
      </c>
      <c r="AT98" s="87">
        <f ca="1"/>
        <v>673.63</v>
      </c>
    </row>
    <row r="99" spans="11:46" ht="15" customHeight="1" x14ac:dyDescent="0.25">
      <c r="M99" s="42">
        <v>95</v>
      </c>
      <c r="N99" s="3" t="s">
        <v>155</v>
      </c>
      <c r="O99" s="49">
        <f t="shared" si="8"/>
        <v>37935.416666666664</v>
      </c>
      <c r="P99" s="42">
        <v>1531.11</v>
      </c>
      <c r="Q99" s="42">
        <v>474</v>
      </c>
      <c r="R99" s="42">
        <v>1531.43</v>
      </c>
      <c r="S99" s="42">
        <v>673.63</v>
      </c>
      <c r="T99" s="42"/>
      <c r="U99" s="42"/>
      <c r="V99" s="3"/>
      <c r="W99" s="3"/>
      <c r="X99" s="3"/>
      <c r="Y99" s="3"/>
      <c r="Z99" s="3"/>
      <c r="AA99" s="3"/>
      <c r="AB99" s="3"/>
      <c r="AE99" s="42">
        <f t="shared" si="9"/>
        <v>94339</v>
      </c>
      <c r="AF99" s="42">
        <f t="shared" si="10"/>
        <v>83806.229999999981</v>
      </c>
      <c r="AG99" s="42" t="str">
        <f t="shared" si="11"/>
        <v/>
      </c>
      <c r="AH99" s="42" t="str">
        <f t="shared" si="12"/>
        <v/>
      </c>
      <c r="AI99" s="42" t="str">
        <f t="shared" si="13"/>
        <v/>
      </c>
      <c r="AJ99" s="42" t="str">
        <f t="shared" si="14"/>
        <v/>
      </c>
      <c r="AK99" s="42" t="str">
        <f t="shared" si="15"/>
        <v/>
      </c>
      <c r="AO99" s="86">
        <f ca="1"/>
        <v>37935.458333333336</v>
      </c>
      <c r="AP99" s="87">
        <f ca="1"/>
        <v>1531.11</v>
      </c>
      <c r="AQ99" s="87">
        <f ca="1"/>
        <v>1531.42</v>
      </c>
      <c r="AR99" s="88">
        <f ca="1"/>
        <v>37935.458333333336</v>
      </c>
      <c r="AS99" s="87">
        <f ca="1"/>
        <v>474</v>
      </c>
      <c r="AT99" s="87">
        <f ca="1"/>
        <v>667.34</v>
      </c>
    </row>
    <row r="100" spans="11:46" ht="15" customHeight="1" x14ac:dyDescent="0.25">
      <c r="M100" s="42">
        <v>96</v>
      </c>
      <c r="N100" s="3" t="s">
        <v>156</v>
      </c>
      <c r="O100" s="49">
        <f t="shared" si="8"/>
        <v>37935.458333333336</v>
      </c>
      <c r="P100" s="42">
        <v>1531.11</v>
      </c>
      <c r="Q100" s="42">
        <v>474</v>
      </c>
      <c r="R100" s="42">
        <v>1531.42</v>
      </c>
      <c r="S100" s="42">
        <v>667.34</v>
      </c>
      <c r="T100" s="42"/>
      <c r="U100" s="42"/>
      <c r="V100" s="3"/>
      <c r="W100" s="3"/>
      <c r="X100" s="3"/>
      <c r="Y100" s="3"/>
      <c r="Z100" s="3"/>
      <c r="AA100" s="3"/>
      <c r="AB100" s="3"/>
      <c r="AE100" s="42">
        <f t="shared" si="9"/>
        <v>94813</v>
      </c>
      <c r="AF100" s="42">
        <f t="shared" si="10"/>
        <v>84473.569999999978</v>
      </c>
      <c r="AG100" s="42" t="str">
        <f t="shared" si="11"/>
        <v/>
      </c>
      <c r="AH100" s="42" t="str">
        <f t="shared" si="12"/>
        <v/>
      </c>
      <c r="AI100" s="42" t="str">
        <f t="shared" si="13"/>
        <v/>
      </c>
      <c r="AJ100" s="42" t="str">
        <f t="shared" si="14"/>
        <v/>
      </c>
      <c r="AK100" s="42" t="str">
        <f t="shared" si="15"/>
        <v/>
      </c>
      <c r="AO100" s="86">
        <f ca="1"/>
        <v>37935.5</v>
      </c>
      <c r="AP100" s="87">
        <f ca="1"/>
        <v>1531.09</v>
      </c>
      <c r="AQ100" s="87">
        <f ca="1"/>
        <v>1531.41</v>
      </c>
      <c r="AR100" s="88">
        <f ca="1"/>
        <v>37935.5</v>
      </c>
      <c r="AS100" s="87">
        <f ca="1"/>
        <v>467</v>
      </c>
      <c r="AT100" s="87">
        <f ca="1"/>
        <v>661.86</v>
      </c>
    </row>
    <row r="101" spans="11:46" ht="15" customHeight="1" x14ac:dyDescent="0.25">
      <c r="M101" s="42">
        <v>97</v>
      </c>
      <c r="N101" s="3" t="s">
        <v>157</v>
      </c>
      <c r="O101" s="49">
        <f t="shared" si="8"/>
        <v>37935.5</v>
      </c>
      <c r="P101" s="42">
        <v>1531.09</v>
      </c>
      <c r="Q101" s="42">
        <v>467</v>
      </c>
      <c r="R101" s="42">
        <v>1531.41</v>
      </c>
      <c r="S101" s="42">
        <v>661.86</v>
      </c>
      <c r="T101" s="42"/>
      <c r="U101" s="42"/>
      <c r="V101" s="3"/>
      <c r="W101" s="3"/>
      <c r="X101" s="3"/>
      <c r="Y101" s="3"/>
      <c r="Z101" s="3"/>
      <c r="AA101" s="3"/>
      <c r="AB101" s="3"/>
      <c r="AE101" s="42">
        <f t="shared" si="9"/>
        <v>95280</v>
      </c>
      <c r="AF101" s="42">
        <f t="shared" si="10"/>
        <v>85135.429999999978</v>
      </c>
      <c r="AG101" s="42" t="str">
        <f t="shared" si="11"/>
        <v/>
      </c>
      <c r="AH101" s="42" t="str">
        <f t="shared" si="12"/>
        <v/>
      </c>
      <c r="AI101" s="42" t="str">
        <f t="shared" si="13"/>
        <v/>
      </c>
      <c r="AJ101" s="42" t="str">
        <f t="shared" si="14"/>
        <v/>
      </c>
      <c r="AK101" s="42" t="str">
        <f t="shared" si="15"/>
        <v/>
      </c>
      <c r="AO101" s="86">
        <f ca="1"/>
        <v>37935.541666666664</v>
      </c>
      <c r="AP101" s="87">
        <f ca="1"/>
        <v>1531.07</v>
      </c>
      <c r="AQ101" s="87">
        <f ca="1"/>
        <v>1531.39</v>
      </c>
      <c r="AR101" s="88">
        <f ca="1"/>
        <v>37935.541666666664</v>
      </c>
      <c r="AS101" s="87">
        <f ca="1"/>
        <v>460</v>
      </c>
      <c r="AT101" s="87">
        <f ca="1"/>
        <v>656.05</v>
      </c>
    </row>
    <row r="102" spans="11:46" ht="15" customHeight="1" x14ac:dyDescent="0.25">
      <c r="M102" s="42">
        <v>98</v>
      </c>
      <c r="N102" s="3" t="s">
        <v>158</v>
      </c>
      <c r="O102" s="49">
        <f t="shared" si="8"/>
        <v>37935.541666666664</v>
      </c>
      <c r="P102" s="42">
        <v>1531.07</v>
      </c>
      <c r="Q102" s="42">
        <v>460</v>
      </c>
      <c r="R102" s="42">
        <v>1531.39</v>
      </c>
      <c r="S102" s="42">
        <v>656.05</v>
      </c>
      <c r="T102" s="42"/>
      <c r="U102" s="42"/>
      <c r="V102" s="3"/>
      <c r="W102" s="3"/>
      <c r="X102" s="3"/>
      <c r="Y102" s="3"/>
      <c r="Z102" s="3"/>
      <c r="AA102" s="3"/>
      <c r="AB102" s="3"/>
      <c r="AE102" s="42">
        <f t="shared" si="9"/>
        <v>95740</v>
      </c>
      <c r="AF102" s="42">
        <f t="shared" si="10"/>
        <v>85791.479999999981</v>
      </c>
      <c r="AG102" s="42" t="str">
        <f t="shared" si="11"/>
        <v/>
      </c>
      <c r="AH102" s="42" t="str">
        <f t="shared" si="12"/>
        <v/>
      </c>
      <c r="AI102" s="42" t="str">
        <f t="shared" si="13"/>
        <v/>
      </c>
      <c r="AJ102" s="42" t="str">
        <f t="shared" si="14"/>
        <v/>
      </c>
      <c r="AK102" s="42" t="str">
        <f t="shared" si="15"/>
        <v/>
      </c>
      <c r="AO102" s="86">
        <f ca="1"/>
        <v>37935.583333333336</v>
      </c>
      <c r="AP102" s="87">
        <f ca="1"/>
        <v>1531.06</v>
      </c>
      <c r="AQ102" s="87">
        <f ca="1"/>
        <v>1531.38</v>
      </c>
      <c r="AR102" s="88">
        <f ca="1"/>
        <v>37935.583333333336</v>
      </c>
      <c r="AS102" s="87">
        <f ca="1"/>
        <v>456</v>
      </c>
      <c r="AT102" s="87">
        <f ca="1"/>
        <v>649.29999999999995</v>
      </c>
    </row>
    <row r="103" spans="11:46" ht="15" customHeight="1" x14ac:dyDescent="0.25">
      <c r="M103" s="42">
        <v>99</v>
      </c>
      <c r="N103" s="3" t="s">
        <v>159</v>
      </c>
      <c r="O103" s="49">
        <f t="shared" si="8"/>
        <v>37935.583333333336</v>
      </c>
      <c r="P103" s="42">
        <v>1531.06</v>
      </c>
      <c r="Q103" s="42">
        <v>456</v>
      </c>
      <c r="R103" s="42">
        <v>1531.38</v>
      </c>
      <c r="S103" s="42">
        <v>649.29999999999995</v>
      </c>
      <c r="T103" s="42"/>
      <c r="U103" s="42"/>
      <c r="V103" s="3"/>
      <c r="W103" s="3"/>
      <c r="X103" s="3"/>
      <c r="Y103" s="3"/>
      <c r="Z103" s="3"/>
      <c r="AA103" s="3"/>
      <c r="AB103" s="3"/>
      <c r="AE103" s="42">
        <f t="shared" si="9"/>
        <v>96196</v>
      </c>
      <c r="AF103" s="42">
        <f t="shared" si="10"/>
        <v>86440.779999999984</v>
      </c>
      <c r="AG103" s="42" t="str">
        <f t="shared" si="11"/>
        <v/>
      </c>
      <c r="AH103" s="42" t="str">
        <f t="shared" si="12"/>
        <v/>
      </c>
      <c r="AI103" s="42" t="str">
        <f t="shared" si="13"/>
        <v/>
      </c>
      <c r="AJ103" s="42" t="str">
        <f t="shared" si="14"/>
        <v/>
      </c>
      <c r="AK103" s="42" t="str">
        <f t="shared" si="15"/>
        <v/>
      </c>
      <c r="AO103" s="86">
        <f ca="1"/>
        <v>37935.625</v>
      </c>
      <c r="AP103" s="87">
        <f ca="1"/>
        <v>1531.05</v>
      </c>
      <c r="AQ103" s="87">
        <f ca="1"/>
        <v>1531.37</v>
      </c>
      <c r="AR103" s="88">
        <f ca="1"/>
        <v>37935.625</v>
      </c>
      <c r="AS103" s="87">
        <f ca="1"/>
        <v>453</v>
      </c>
      <c r="AT103" s="87">
        <f ca="1"/>
        <v>643.09</v>
      </c>
    </row>
    <row r="104" spans="11:46" ht="15" customHeight="1" x14ac:dyDescent="0.25">
      <c r="M104" s="42">
        <v>100</v>
      </c>
      <c r="N104" s="3" t="s">
        <v>160</v>
      </c>
      <c r="O104" s="49">
        <f t="shared" si="8"/>
        <v>37935.625</v>
      </c>
      <c r="P104" s="42">
        <v>1531.05</v>
      </c>
      <c r="Q104" s="42">
        <v>453</v>
      </c>
      <c r="R104" s="42">
        <v>1531.37</v>
      </c>
      <c r="S104" s="42">
        <v>643.09</v>
      </c>
      <c r="T104" s="42"/>
      <c r="U104" s="42"/>
      <c r="V104" s="3"/>
      <c r="W104" s="3"/>
      <c r="X104" s="3"/>
      <c r="Y104" s="3"/>
      <c r="Z104" s="3"/>
      <c r="AA104" s="3"/>
      <c r="AB104" s="3"/>
      <c r="AE104" s="42">
        <f t="shared" si="9"/>
        <v>96649</v>
      </c>
      <c r="AF104" s="42">
        <f t="shared" si="10"/>
        <v>87083.869999999981</v>
      </c>
      <c r="AG104" s="42" t="str">
        <f t="shared" si="11"/>
        <v/>
      </c>
      <c r="AH104" s="42" t="str">
        <f t="shared" si="12"/>
        <v/>
      </c>
      <c r="AI104" s="42" t="str">
        <f t="shared" si="13"/>
        <v/>
      </c>
      <c r="AJ104" s="42" t="str">
        <f t="shared" si="14"/>
        <v/>
      </c>
      <c r="AK104" s="42" t="str">
        <f t="shared" si="15"/>
        <v/>
      </c>
      <c r="AO104" s="86">
        <f ca="1"/>
        <v>37935.666666666664</v>
      </c>
      <c r="AP104" s="87">
        <f ca="1"/>
        <v>1531.03</v>
      </c>
      <c r="AQ104" s="87">
        <f ca="1"/>
        <v>1531.36</v>
      </c>
      <c r="AR104" s="88">
        <f ca="1"/>
        <v>37935.666666666664</v>
      </c>
      <c r="AS104" s="87">
        <f ca="1"/>
        <v>446</v>
      </c>
      <c r="AT104" s="87">
        <f ca="1"/>
        <v>637.49</v>
      </c>
    </row>
    <row r="105" spans="11:46" ht="15" customHeight="1" x14ac:dyDescent="0.25">
      <c r="M105" s="42">
        <v>101</v>
      </c>
      <c r="N105" s="3" t="s">
        <v>161</v>
      </c>
      <c r="O105" s="49">
        <f t="shared" si="8"/>
        <v>37935.666666666664</v>
      </c>
      <c r="P105" s="42">
        <v>1531.03</v>
      </c>
      <c r="Q105" s="42">
        <v>446</v>
      </c>
      <c r="R105" s="42">
        <v>1531.36</v>
      </c>
      <c r="S105" s="42">
        <v>637.49</v>
      </c>
      <c r="T105" s="42"/>
      <c r="U105" s="42"/>
      <c r="V105" s="3"/>
      <c r="W105" s="3"/>
      <c r="X105" s="3"/>
      <c r="Y105" s="3"/>
      <c r="Z105" s="3"/>
      <c r="AA105" s="3"/>
      <c r="AB105" s="3"/>
      <c r="AE105" s="42">
        <f t="shared" si="9"/>
        <v>97095</v>
      </c>
      <c r="AF105" s="42">
        <f t="shared" si="10"/>
        <v>87721.359999999986</v>
      </c>
      <c r="AG105" s="42" t="str">
        <f t="shared" si="11"/>
        <v/>
      </c>
      <c r="AH105" s="42" t="str">
        <f t="shared" si="12"/>
        <v/>
      </c>
      <c r="AI105" s="42" t="str">
        <f t="shared" si="13"/>
        <v/>
      </c>
      <c r="AJ105" s="42" t="str">
        <f t="shared" si="14"/>
        <v/>
      </c>
      <c r="AK105" s="42" t="str">
        <f t="shared" si="15"/>
        <v/>
      </c>
      <c r="AO105" s="86">
        <f ca="1"/>
        <v>37935.708333333336</v>
      </c>
      <c r="AP105" s="87">
        <f ca="1"/>
        <v>1531.02</v>
      </c>
      <c r="AQ105" s="87">
        <f ca="1"/>
        <v>1531.35</v>
      </c>
      <c r="AR105" s="88">
        <f ca="1"/>
        <v>37935.708333333336</v>
      </c>
      <c r="AS105" s="87">
        <f ca="1"/>
        <v>443</v>
      </c>
      <c r="AT105" s="87">
        <f ca="1"/>
        <v>634.1</v>
      </c>
    </row>
    <row r="106" spans="11:46" ht="15" customHeight="1" x14ac:dyDescent="0.25">
      <c r="M106" s="42">
        <v>102</v>
      </c>
      <c r="N106" s="3" t="s">
        <v>162</v>
      </c>
      <c r="O106" s="49">
        <f t="shared" si="8"/>
        <v>37935.708333333336</v>
      </c>
      <c r="P106" s="42">
        <v>1531.02</v>
      </c>
      <c r="Q106" s="42">
        <v>443</v>
      </c>
      <c r="R106" s="42">
        <v>1531.35</v>
      </c>
      <c r="S106" s="42">
        <v>634.1</v>
      </c>
      <c r="T106" s="42"/>
      <c r="U106" s="42"/>
      <c r="V106" s="3"/>
      <c r="W106" s="3"/>
      <c r="X106" s="3"/>
      <c r="Y106" s="3"/>
      <c r="Z106" s="3"/>
      <c r="AA106" s="3"/>
      <c r="AB106" s="3"/>
      <c r="AE106" s="42">
        <f t="shared" si="9"/>
        <v>97538</v>
      </c>
      <c r="AF106" s="42">
        <f t="shared" si="10"/>
        <v>88355.459999999992</v>
      </c>
      <c r="AG106" s="42" t="str">
        <f t="shared" si="11"/>
        <v/>
      </c>
      <c r="AH106" s="42" t="str">
        <f t="shared" si="12"/>
        <v/>
      </c>
      <c r="AI106" s="42" t="str">
        <f t="shared" si="13"/>
        <v/>
      </c>
      <c r="AJ106" s="42" t="str">
        <f t="shared" si="14"/>
        <v/>
      </c>
      <c r="AK106" s="42" t="str">
        <f t="shared" si="15"/>
        <v/>
      </c>
      <c r="AO106" s="86">
        <f ca="1"/>
        <v>37935.75</v>
      </c>
      <c r="AP106" s="87">
        <f ca="1"/>
        <v>1531.01</v>
      </c>
      <c r="AQ106" s="87">
        <f ca="1"/>
        <v>1531.34</v>
      </c>
      <c r="AR106" s="88">
        <f ca="1"/>
        <v>37935.75</v>
      </c>
      <c r="AS106" s="87">
        <f ca="1"/>
        <v>439</v>
      </c>
      <c r="AT106" s="87">
        <f ca="1"/>
        <v>626.76</v>
      </c>
    </row>
    <row r="107" spans="11:46" ht="15" customHeight="1" x14ac:dyDescent="0.25">
      <c r="M107" s="42">
        <v>103</v>
      </c>
      <c r="N107" s="3" t="s">
        <v>163</v>
      </c>
      <c r="O107" s="49">
        <f t="shared" si="8"/>
        <v>37935.75</v>
      </c>
      <c r="P107" s="42">
        <v>1531.01</v>
      </c>
      <c r="Q107" s="42">
        <v>439</v>
      </c>
      <c r="R107" s="42">
        <v>1531.34</v>
      </c>
      <c r="S107" s="42">
        <v>626.76</v>
      </c>
      <c r="T107" s="42"/>
      <c r="U107" s="42"/>
      <c r="V107" s="3"/>
      <c r="W107" s="3"/>
      <c r="X107" s="3"/>
      <c r="Y107" s="3"/>
      <c r="Z107" s="3"/>
      <c r="AA107" s="3"/>
      <c r="AB107" s="3"/>
      <c r="AE107" s="42">
        <f t="shared" si="9"/>
        <v>97977</v>
      </c>
      <c r="AF107" s="42">
        <f t="shared" si="10"/>
        <v>88982.219999999987</v>
      </c>
      <c r="AG107" s="42" t="str">
        <f t="shared" si="11"/>
        <v/>
      </c>
      <c r="AH107" s="42" t="str">
        <f t="shared" si="12"/>
        <v/>
      </c>
      <c r="AI107" s="42" t="str">
        <f t="shared" si="13"/>
        <v/>
      </c>
      <c r="AJ107" s="42" t="str">
        <f t="shared" si="14"/>
        <v/>
      </c>
      <c r="AK107" s="42" t="str">
        <f t="shared" si="15"/>
        <v/>
      </c>
      <c r="AO107" s="86">
        <f ca="1"/>
        <v>37935.791666666664</v>
      </c>
      <c r="AP107" s="87">
        <f ca="1"/>
        <v>1530.99</v>
      </c>
      <c r="AQ107" s="87">
        <f ca="1"/>
        <v>1531.33</v>
      </c>
      <c r="AR107" s="88">
        <f ca="1"/>
        <v>37935.791666666664</v>
      </c>
      <c r="AS107" s="87">
        <f ca="1"/>
        <v>432</v>
      </c>
      <c r="AT107" s="87">
        <f ca="1"/>
        <v>623.12</v>
      </c>
    </row>
    <row r="108" spans="11:46" ht="15" customHeight="1" x14ac:dyDescent="0.25">
      <c r="M108" s="42">
        <v>104</v>
      </c>
      <c r="N108" s="3" t="s">
        <v>164</v>
      </c>
      <c r="O108" s="49">
        <f t="shared" si="8"/>
        <v>37935.791666666664</v>
      </c>
      <c r="P108" s="42">
        <v>1530.99</v>
      </c>
      <c r="Q108" s="42">
        <v>432</v>
      </c>
      <c r="R108" s="42">
        <v>1531.33</v>
      </c>
      <c r="S108" s="42">
        <v>623.12</v>
      </c>
      <c r="T108" s="42"/>
      <c r="U108" s="42"/>
      <c r="V108" s="3"/>
      <c r="W108" s="3"/>
      <c r="X108" s="3"/>
      <c r="Y108" s="3"/>
      <c r="Z108" s="3"/>
      <c r="AA108" s="3"/>
      <c r="AB108" s="3"/>
      <c r="AE108" s="42">
        <f t="shared" si="9"/>
        <v>98409</v>
      </c>
      <c r="AF108" s="42">
        <f t="shared" si="10"/>
        <v>89605.339999999982</v>
      </c>
      <c r="AG108" s="42" t="str">
        <f t="shared" si="11"/>
        <v/>
      </c>
      <c r="AH108" s="42" t="str">
        <f t="shared" si="12"/>
        <v/>
      </c>
      <c r="AI108" s="42" t="str">
        <f t="shared" si="13"/>
        <v/>
      </c>
      <c r="AJ108" s="42" t="str">
        <f t="shared" si="14"/>
        <v/>
      </c>
      <c r="AK108" s="42" t="str">
        <f t="shared" si="15"/>
        <v/>
      </c>
      <c r="AO108" s="86">
        <f ca="1"/>
        <v>37935.833333333336</v>
      </c>
      <c r="AP108" s="87">
        <f ca="1"/>
        <v>1530.98</v>
      </c>
      <c r="AQ108" s="87">
        <f ca="1"/>
        <v>1531.32</v>
      </c>
      <c r="AR108" s="88">
        <f ca="1"/>
        <v>37935.833333333336</v>
      </c>
      <c r="AS108" s="87">
        <f ca="1"/>
        <v>429</v>
      </c>
      <c r="AT108" s="87">
        <f ca="1"/>
        <v>617.73</v>
      </c>
    </row>
    <row r="109" spans="11:46" ht="15" customHeight="1" x14ac:dyDescent="0.25">
      <c r="M109" s="42">
        <v>105</v>
      </c>
      <c r="N109" s="3" t="s">
        <v>165</v>
      </c>
      <c r="O109" s="49">
        <f t="shared" si="8"/>
        <v>37935.833333333336</v>
      </c>
      <c r="P109" s="42">
        <v>1530.98</v>
      </c>
      <c r="Q109" s="42">
        <v>429</v>
      </c>
      <c r="R109" s="42">
        <v>1531.32</v>
      </c>
      <c r="S109" s="42">
        <v>617.73</v>
      </c>
      <c r="T109" s="42"/>
      <c r="U109" s="42"/>
      <c r="V109" s="3"/>
      <c r="W109" s="3"/>
      <c r="X109" s="3"/>
      <c r="Y109" s="3"/>
      <c r="Z109" s="3"/>
      <c r="AA109" s="3"/>
      <c r="AB109" s="3"/>
      <c r="AE109" s="42">
        <f t="shared" si="9"/>
        <v>98838</v>
      </c>
      <c r="AF109" s="42">
        <f t="shared" si="10"/>
        <v>90223.069999999978</v>
      </c>
      <c r="AG109" s="42" t="str">
        <f t="shared" si="11"/>
        <v/>
      </c>
      <c r="AH109" s="42" t="str">
        <f t="shared" si="12"/>
        <v/>
      </c>
      <c r="AI109" s="42" t="str">
        <f t="shared" si="13"/>
        <v/>
      </c>
      <c r="AJ109" s="42" t="str">
        <f t="shared" si="14"/>
        <v/>
      </c>
      <c r="AK109" s="42" t="str">
        <f t="shared" si="15"/>
        <v/>
      </c>
      <c r="AO109" s="86">
        <f ca="1"/>
        <v>37935.875</v>
      </c>
      <c r="AP109" s="87">
        <f ca="1"/>
        <v>1530.96</v>
      </c>
      <c r="AQ109" s="87">
        <f ca="1"/>
        <v>1531.3</v>
      </c>
      <c r="AR109" s="88">
        <f ca="1"/>
        <v>37935.875</v>
      </c>
      <c r="AS109" s="87">
        <f ca="1"/>
        <v>422</v>
      </c>
      <c r="AT109" s="87">
        <f ca="1"/>
        <v>607.39</v>
      </c>
    </row>
    <row r="110" spans="11:46" ht="15" customHeight="1" x14ac:dyDescent="0.25">
      <c r="M110" s="42">
        <v>106</v>
      </c>
      <c r="N110" s="3" t="s">
        <v>166</v>
      </c>
      <c r="O110" s="49">
        <f t="shared" si="8"/>
        <v>37935.875</v>
      </c>
      <c r="P110" s="42">
        <v>1530.96</v>
      </c>
      <c r="Q110" s="42">
        <v>422</v>
      </c>
      <c r="R110" s="42">
        <v>1531.3</v>
      </c>
      <c r="S110" s="42">
        <v>607.39</v>
      </c>
      <c r="T110" s="42"/>
      <c r="U110" s="42"/>
      <c r="V110" s="3"/>
      <c r="W110" s="3"/>
      <c r="X110" s="3"/>
      <c r="Y110" s="3"/>
      <c r="Z110" s="3"/>
      <c r="AA110" s="3"/>
      <c r="AB110" s="3"/>
      <c r="AE110" s="42">
        <f t="shared" si="9"/>
        <v>99260</v>
      </c>
      <c r="AF110" s="42">
        <f t="shared" si="10"/>
        <v>90830.459999999977</v>
      </c>
      <c r="AG110" s="42" t="str">
        <f t="shared" si="11"/>
        <v/>
      </c>
      <c r="AH110" s="42" t="str">
        <f t="shared" si="12"/>
        <v/>
      </c>
      <c r="AI110" s="42" t="str">
        <f t="shared" si="13"/>
        <v/>
      </c>
      <c r="AJ110" s="42" t="str">
        <f t="shared" si="14"/>
        <v/>
      </c>
      <c r="AK110" s="42" t="str">
        <f t="shared" si="15"/>
        <v/>
      </c>
      <c r="AO110" s="86">
        <f ca="1"/>
        <v>37935.916666666664</v>
      </c>
      <c r="AP110" s="87">
        <f ca="1"/>
        <v>1530.95</v>
      </c>
      <c r="AQ110" s="87">
        <f ca="1"/>
        <v>1531.29</v>
      </c>
      <c r="AR110" s="88">
        <f ca="1"/>
        <v>37935.916666666664</v>
      </c>
      <c r="AS110" s="87">
        <f ca="1"/>
        <v>419</v>
      </c>
      <c r="AT110" s="87">
        <f ca="1"/>
        <v>606.04</v>
      </c>
    </row>
    <row r="111" spans="11:46" ht="15" customHeight="1" x14ac:dyDescent="0.25">
      <c r="M111" s="42">
        <v>107</v>
      </c>
      <c r="N111" s="3" t="s">
        <v>167</v>
      </c>
      <c r="O111" s="49">
        <f t="shared" si="8"/>
        <v>37935.916666666664</v>
      </c>
      <c r="P111" s="42">
        <v>1530.95</v>
      </c>
      <c r="Q111" s="42">
        <v>419</v>
      </c>
      <c r="R111" s="42">
        <v>1531.29</v>
      </c>
      <c r="S111" s="42">
        <v>606.04</v>
      </c>
      <c r="T111" s="42"/>
      <c r="U111" s="42"/>
      <c r="V111" s="3"/>
      <c r="W111" s="3"/>
      <c r="X111" s="3"/>
      <c r="Y111" s="3"/>
      <c r="Z111" s="3"/>
      <c r="AA111" s="3"/>
      <c r="AB111" s="3"/>
      <c r="AE111" s="42">
        <f t="shared" si="9"/>
        <v>99679</v>
      </c>
      <c r="AF111" s="42">
        <f t="shared" si="10"/>
        <v>91436.499999999971</v>
      </c>
      <c r="AG111" s="42" t="str">
        <f t="shared" si="11"/>
        <v/>
      </c>
      <c r="AH111" s="42" t="str">
        <f t="shared" si="12"/>
        <v/>
      </c>
      <c r="AI111" s="42" t="str">
        <f t="shared" si="13"/>
        <v/>
      </c>
      <c r="AJ111" s="42" t="str">
        <f t="shared" si="14"/>
        <v/>
      </c>
      <c r="AK111" s="42" t="str">
        <f t="shared" si="15"/>
        <v/>
      </c>
      <c r="AO111" s="86">
        <f ca="1"/>
        <v>37935.958333333336</v>
      </c>
      <c r="AP111" s="87">
        <f ca="1"/>
        <v>1530.94</v>
      </c>
      <c r="AQ111" s="87">
        <f ca="1"/>
        <v>1531.29</v>
      </c>
      <c r="AR111" s="88">
        <f ca="1"/>
        <v>37935.958333333336</v>
      </c>
      <c r="AS111" s="87">
        <f ca="1"/>
        <v>416</v>
      </c>
      <c r="AT111" s="87">
        <f ca="1"/>
        <v>602.32000000000005</v>
      </c>
    </row>
    <row r="112" spans="11:46" ht="15" customHeight="1" x14ac:dyDescent="0.35">
      <c r="K112" s="4"/>
      <c r="L112" s="4"/>
      <c r="M112" s="42">
        <v>108</v>
      </c>
      <c r="N112" s="3" t="s">
        <v>168</v>
      </c>
      <c r="O112" s="49">
        <f t="shared" si="8"/>
        <v>37935.958333333336</v>
      </c>
      <c r="P112" s="42">
        <v>1530.94</v>
      </c>
      <c r="Q112" s="42">
        <v>416</v>
      </c>
      <c r="R112" s="42">
        <v>1531.29</v>
      </c>
      <c r="S112" s="42">
        <v>602.32000000000005</v>
      </c>
      <c r="T112" s="42"/>
      <c r="U112" s="42"/>
      <c r="V112" s="3"/>
      <c r="W112" s="3"/>
      <c r="X112" s="3"/>
      <c r="Y112" s="3"/>
      <c r="Z112" s="3"/>
      <c r="AA112" s="3"/>
      <c r="AB112" s="3"/>
      <c r="AE112" s="42">
        <f t="shared" si="9"/>
        <v>100095</v>
      </c>
      <c r="AF112" s="42">
        <f t="shared" si="10"/>
        <v>92038.819999999978</v>
      </c>
      <c r="AG112" s="42" t="str">
        <f t="shared" si="11"/>
        <v/>
      </c>
      <c r="AH112" s="42" t="str">
        <f t="shared" si="12"/>
        <v/>
      </c>
      <c r="AI112" s="42" t="str">
        <f t="shared" si="13"/>
        <v/>
      </c>
      <c r="AJ112" s="42" t="str">
        <f t="shared" si="14"/>
        <v/>
      </c>
      <c r="AK112" s="42" t="str">
        <f t="shared" si="15"/>
        <v/>
      </c>
      <c r="AO112" s="86">
        <f ca="1"/>
        <v>37936</v>
      </c>
      <c r="AP112" s="87">
        <f ca="1"/>
        <v>1530.93</v>
      </c>
      <c r="AQ112" s="87">
        <f ca="1"/>
        <v>1531.27</v>
      </c>
      <c r="AR112" s="88">
        <f ca="1"/>
        <v>37936</v>
      </c>
      <c r="AS112" s="87">
        <f ca="1"/>
        <v>413</v>
      </c>
      <c r="AT112" s="87">
        <f ca="1"/>
        <v>594.37</v>
      </c>
    </row>
    <row r="113" spans="13:46" x14ac:dyDescent="0.25">
      <c r="M113" s="42">
        <v>109</v>
      </c>
      <c r="N113" s="3" t="s">
        <v>169</v>
      </c>
      <c r="O113" s="49">
        <f t="shared" si="8"/>
        <v>37936</v>
      </c>
      <c r="P113" s="42">
        <v>1530.93</v>
      </c>
      <c r="Q113" s="42">
        <v>413</v>
      </c>
      <c r="R113" s="42">
        <v>1531.27</v>
      </c>
      <c r="S113" s="42">
        <v>594.37</v>
      </c>
      <c r="T113" s="42"/>
      <c r="U113" s="42"/>
      <c r="V113" s="3"/>
      <c r="W113" s="3"/>
      <c r="X113" s="3"/>
      <c r="Y113" s="3"/>
      <c r="Z113" s="3"/>
      <c r="AA113" s="3"/>
      <c r="AB113" s="3"/>
      <c r="AE113" s="42">
        <f t="shared" si="9"/>
        <v>100508</v>
      </c>
      <c r="AF113" s="42">
        <f t="shared" si="10"/>
        <v>92633.189999999973</v>
      </c>
      <c r="AG113" s="42" t="str">
        <f t="shared" si="11"/>
        <v/>
      </c>
      <c r="AH113" s="42" t="str">
        <f t="shared" si="12"/>
        <v/>
      </c>
      <c r="AI113" s="42" t="str">
        <f t="shared" si="13"/>
        <v/>
      </c>
      <c r="AJ113" s="42" t="str">
        <f t="shared" si="14"/>
        <v/>
      </c>
      <c r="AK113" s="42" t="str">
        <f t="shared" si="15"/>
        <v/>
      </c>
      <c r="AO113" s="86">
        <f ca="1"/>
        <v>37936.041666666664</v>
      </c>
      <c r="AP113" s="87">
        <f ca="1"/>
        <v>1530.91</v>
      </c>
      <c r="AQ113" s="87">
        <f ca="1"/>
        <v>1531.26</v>
      </c>
      <c r="AR113" s="88">
        <f ca="1"/>
        <v>37936.041666666664</v>
      </c>
      <c r="AS113" s="87">
        <f ca="1"/>
        <v>406</v>
      </c>
      <c r="AT113" s="87">
        <f ca="1"/>
        <v>590.22</v>
      </c>
    </row>
    <row r="114" spans="13:46" x14ac:dyDescent="0.25">
      <c r="M114" s="42">
        <v>110</v>
      </c>
      <c r="N114" s="3" t="s">
        <v>170</v>
      </c>
      <c r="O114" s="49">
        <f t="shared" si="8"/>
        <v>37936.041666666664</v>
      </c>
      <c r="P114" s="42">
        <v>1530.91</v>
      </c>
      <c r="Q114" s="42">
        <v>406</v>
      </c>
      <c r="R114" s="42">
        <v>1531.26</v>
      </c>
      <c r="S114" s="42">
        <v>590.22</v>
      </c>
      <c r="T114" s="42"/>
      <c r="U114" s="42"/>
      <c r="V114" s="3"/>
      <c r="W114" s="3"/>
      <c r="X114" s="3"/>
      <c r="Y114" s="3"/>
      <c r="Z114" s="3"/>
      <c r="AA114" s="3"/>
      <c r="AB114" s="3"/>
      <c r="AE114" s="42">
        <f t="shared" si="9"/>
        <v>100914</v>
      </c>
      <c r="AF114" s="42">
        <f t="shared" si="10"/>
        <v>93223.409999999974</v>
      </c>
      <c r="AG114" s="42" t="str">
        <f t="shared" si="11"/>
        <v/>
      </c>
      <c r="AH114" s="42" t="str">
        <f t="shared" si="12"/>
        <v/>
      </c>
      <c r="AI114" s="42" t="str">
        <f t="shared" si="13"/>
        <v/>
      </c>
      <c r="AJ114" s="42" t="str">
        <f t="shared" si="14"/>
        <v/>
      </c>
      <c r="AK114" s="42" t="str">
        <f t="shared" si="15"/>
        <v/>
      </c>
      <c r="AO114" s="86">
        <f ca="1"/>
        <v>37936.083333333336</v>
      </c>
      <c r="AP114" s="87">
        <f ca="1"/>
        <v>1530.91</v>
      </c>
      <c r="AQ114" s="87">
        <f ca="1"/>
        <v>1531.24</v>
      </c>
      <c r="AR114" s="88">
        <f ca="1"/>
        <v>37936.083333333336</v>
      </c>
      <c r="AS114" s="87">
        <f ca="1"/>
        <v>406</v>
      </c>
      <c r="AT114" s="87">
        <f ca="1"/>
        <v>582.54999999999995</v>
      </c>
    </row>
    <row r="115" spans="13:46" x14ac:dyDescent="0.25">
      <c r="M115" s="42">
        <v>111</v>
      </c>
      <c r="N115" s="3" t="s">
        <v>171</v>
      </c>
      <c r="O115" s="49">
        <f t="shared" si="8"/>
        <v>37936.083333333336</v>
      </c>
      <c r="P115" s="42">
        <v>1530.91</v>
      </c>
      <c r="Q115" s="42">
        <v>406</v>
      </c>
      <c r="R115" s="42">
        <v>1531.24</v>
      </c>
      <c r="S115" s="42">
        <v>582.54999999999995</v>
      </c>
      <c r="T115" s="42"/>
      <c r="U115" s="42"/>
      <c r="V115" s="3"/>
      <c r="W115" s="3"/>
      <c r="X115" s="3"/>
      <c r="Y115" s="3"/>
      <c r="Z115" s="3"/>
      <c r="AA115" s="3"/>
      <c r="AB115" s="3"/>
      <c r="AE115" s="42">
        <f t="shared" si="9"/>
        <v>101320</v>
      </c>
      <c r="AF115" s="42">
        <f t="shared" si="10"/>
        <v>93805.959999999977</v>
      </c>
      <c r="AG115" s="42" t="str">
        <f t="shared" si="11"/>
        <v/>
      </c>
      <c r="AH115" s="42" t="str">
        <f t="shared" si="12"/>
        <v/>
      </c>
      <c r="AI115" s="42" t="str">
        <f t="shared" si="13"/>
        <v/>
      </c>
      <c r="AJ115" s="42" t="str">
        <f t="shared" si="14"/>
        <v/>
      </c>
      <c r="AK115" s="42" t="str">
        <f t="shared" si="15"/>
        <v/>
      </c>
      <c r="AO115" s="86">
        <f ca="1"/>
        <v>37936.125</v>
      </c>
      <c r="AP115" s="87">
        <f ca="1"/>
        <v>1530.9</v>
      </c>
      <c r="AQ115" s="87">
        <f ca="1"/>
        <v>1531.24</v>
      </c>
      <c r="AR115" s="88">
        <f ca="1"/>
        <v>37936.125</v>
      </c>
      <c r="AS115" s="87">
        <f ca="1"/>
        <v>403</v>
      </c>
      <c r="AT115" s="87">
        <f ca="1"/>
        <v>581.19000000000005</v>
      </c>
    </row>
    <row r="116" spans="13:46" x14ac:dyDescent="0.25">
      <c r="M116" s="42">
        <v>112</v>
      </c>
      <c r="N116" s="3" t="s">
        <v>172</v>
      </c>
      <c r="O116" s="49">
        <f t="shared" si="8"/>
        <v>37936.125</v>
      </c>
      <c r="P116" s="42">
        <v>1530.9</v>
      </c>
      <c r="Q116" s="42">
        <v>403</v>
      </c>
      <c r="R116" s="42">
        <v>1531.24</v>
      </c>
      <c r="S116" s="42">
        <v>581.19000000000005</v>
      </c>
      <c r="T116" s="42"/>
      <c r="U116" s="42"/>
      <c r="V116" s="3"/>
      <c r="W116" s="3"/>
      <c r="X116" s="3"/>
      <c r="Y116" s="3"/>
      <c r="Z116" s="3"/>
      <c r="AA116" s="3"/>
      <c r="AB116" s="3"/>
      <c r="AE116" s="42">
        <f t="shared" si="9"/>
        <v>101723</v>
      </c>
      <c r="AF116" s="42">
        <f t="shared" si="10"/>
        <v>94387.14999999998</v>
      </c>
      <c r="AG116" s="42" t="str">
        <f t="shared" si="11"/>
        <v/>
      </c>
      <c r="AH116" s="42" t="str">
        <f t="shared" si="12"/>
        <v/>
      </c>
      <c r="AI116" s="42" t="str">
        <f t="shared" si="13"/>
        <v/>
      </c>
      <c r="AJ116" s="42" t="str">
        <f t="shared" si="14"/>
        <v/>
      </c>
      <c r="AK116" s="42" t="str">
        <f t="shared" si="15"/>
        <v/>
      </c>
      <c r="AO116" s="86">
        <f ca="1"/>
        <v>37936.166666666664</v>
      </c>
      <c r="AP116" s="87">
        <f ca="1"/>
        <v>1530.89</v>
      </c>
      <c r="AQ116" s="87">
        <f ca="1"/>
        <v>1531.23</v>
      </c>
      <c r="AR116" s="88">
        <f ca="1"/>
        <v>37936.166666666664</v>
      </c>
      <c r="AS116" s="87">
        <f ca="1"/>
        <v>400</v>
      </c>
      <c r="AT116" s="87">
        <f ca="1"/>
        <v>573.77</v>
      </c>
    </row>
    <row r="117" spans="13:46" x14ac:dyDescent="0.25">
      <c r="M117" s="42">
        <v>113</v>
      </c>
      <c r="N117" s="3" t="s">
        <v>173</v>
      </c>
      <c r="O117" s="49">
        <f t="shared" si="8"/>
        <v>37936.166666666664</v>
      </c>
      <c r="P117" s="42">
        <v>1530.89</v>
      </c>
      <c r="Q117" s="42">
        <v>400</v>
      </c>
      <c r="R117" s="42">
        <v>1531.23</v>
      </c>
      <c r="S117" s="42">
        <v>573.77</v>
      </c>
      <c r="T117" s="42"/>
      <c r="U117" s="42"/>
      <c r="V117" s="3"/>
      <c r="W117" s="3"/>
      <c r="X117" s="3"/>
      <c r="Y117" s="3"/>
      <c r="Z117" s="3"/>
      <c r="AA117" s="3"/>
      <c r="AB117" s="3"/>
      <c r="AE117" s="42">
        <f t="shared" si="9"/>
        <v>102123</v>
      </c>
      <c r="AF117" s="42">
        <f t="shared" si="10"/>
        <v>94960.919999999984</v>
      </c>
      <c r="AG117" s="42" t="str">
        <f t="shared" si="11"/>
        <v/>
      </c>
      <c r="AH117" s="42" t="str">
        <f t="shared" si="12"/>
        <v/>
      </c>
      <c r="AI117" s="42" t="str">
        <f t="shared" si="13"/>
        <v/>
      </c>
      <c r="AJ117" s="42" t="str">
        <f t="shared" si="14"/>
        <v/>
      </c>
      <c r="AK117" s="42" t="str">
        <f t="shared" si="15"/>
        <v/>
      </c>
      <c r="AO117" s="86">
        <f ca="1"/>
        <v>37936.208333333336</v>
      </c>
      <c r="AP117" s="87">
        <f ca="1"/>
        <v>1530.87</v>
      </c>
      <c r="AQ117" s="87">
        <f ca="1"/>
        <v>1531.22</v>
      </c>
      <c r="AR117" s="88">
        <f ca="1"/>
        <v>37936.208333333336</v>
      </c>
      <c r="AS117" s="87">
        <f ca="1"/>
        <v>394</v>
      </c>
      <c r="AT117" s="87">
        <f ca="1"/>
        <v>571.08000000000004</v>
      </c>
    </row>
    <row r="118" spans="13:46" x14ac:dyDescent="0.25">
      <c r="M118" s="42">
        <v>114</v>
      </c>
      <c r="N118" s="3" t="s">
        <v>174</v>
      </c>
      <c r="O118" s="49">
        <f t="shared" si="8"/>
        <v>37936.208333333336</v>
      </c>
      <c r="P118" s="42">
        <v>1530.87</v>
      </c>
      <c r="Q118" s="42">
        <v>394</v>
      </c>
      <c r="R118" s="42">
        <v>1531.22</v>
      </c>
      <c r="S118" s="42">
        <v>571.08000000000004</v>
      </c>
      <c r="T118" s="42"/>
      <c r="U118" s="42"/>
      <c r="V118" s="3"/>
      <c r="W118" s="3"/>
      <c r="X118" s="3"/>
      <c r="Y118" s="3"/>
      <c r="Z118" s="3"/>
      <c r="AA118" s="3"/>
      <c r="AB118" s="3"/>
      <c r="AE118" s="42">
        <f t="shared" si="9"/>
        <v>102517</v>
      </c>
      <c r="AF118" s="42">
        <f t="shared" si="10"/>
        <v>95531.999999999985</v>
      </c>
      <c r="AG118" s="42" t="str">
        <f t="shared" si="11"/>
        <v/>
      </c>
      <c r="AH118" s="42" t="str">
        <f t="shared" si="12"/>
        <v/>
      </c>
      <c r="AI118" s="42" t="str">
        <f t="shared" si="13"/>
        <v/>
      </c>
      <c r="AJ118" s="42" t="str">
        <f t="shared" si="14"/>
        <v/>
      </c>
      <c r="AK118" s="42" t="str">
        <f t="shared" si="15"/>
        <v/>
      </c>
      <c r="AO118" s="86">
        <f ca="1"/>
        <v>37936.25</v>
      </c>
      <c r="AP118" s="87">
        <f ca="1"/>
        <v>1530.87</v>
      </c>
      <c r="AQ118" s="87">
        <f ca="1"/>
        <v>1531.21</v>
      </c>
      <c r="AR118" s="88">
        <f ca="1"/>
        <v>37936.25</v>
      </c>
      <c r="AS118" s="87">
        <f ca="1"/>
        <v>394</v>
      </c>
      <c r="AT118" s="87">
        <f ca="1"/>
        <v>564.78</v>
      </c>
    </row>
    <row r="119" spans="13:46" x14ac:dyDescent="0.25">
      <c r="M119" s="42">
        <v>115</v>
      </c>
      <c r="N119" s="3" t="s">
        <v>175</v>
      </c>
      <c r="O119" s="49">
        <f t="shared" si="8"/>
        <v>37936.25</v>
      </c>
      <c r="P119" s="42">
        <v>1530.87</v>
      </c>
      <c r="Q119" s="42">
        <v>394</v>
      </c>
      <c r="R119" s="42">
        <v>1531.21</v>
      </c>
      <c r="S119" s="42">
        <v>564.78</v>
      </c>
      <c r="T119" s="42"/>
      <c r="U119" s="42"/>
      <c r="V119" s="3"/>
      <c r="W119" s="3"/>
      <c r="X119" s="3"/>
      <c r="Y119" s="3"/>
      <c r="Z119" s="3"/>
      <c r="AA119" s="3"/>
      <c r="AB119" s="3"/>
      <c r="AE119" s="42">
        <f t="shared" si="9"/>
        <v>102911</v>
      </c>
      <c r="AF119" s="42">
        <f t="shared" si="10"/>
        <v>96096.779999999984</v>
      </c>
      <c r="AG119" s="42" t="str">
        <f t="shared" si="11"/>
        <v/>
      </c>
      <c r="AH119" s="42" t="str">
        <f t="shared" si="12"/>
        <v/>
      </c>
      <c r="AI119" s="42" t="str">
        <f t="shared" si="13"/>
        <v/>
      </c>
      <c r="AJ119" s="42" t="str">
        <f t="shared" si="14"/>
        <v/>
      </c>
      <c r="AK119" s="42" t="str">
        <f t="shared" si="15"/>
        <v/>
      </c>
      <c r="AO119" s="86">
        <f ca="1"/>
        <v>37936.291666666664</v>
      </c>
      <c r="AP119" s="87">
        <f ca="1"/>
        <v>1530.86</v>
      </c>
      <c r="AQ119" s="87">
        <f ca="1"/>
        <v>1531.2</v>
      </c>
      <c r="AR119" s="88">
        <f ca="1"/>
        <v>37936.291666666664</v>
      </c>
      <c r="AS119" s="87">
        <f ca="1"/>
        <v>391</v>
      </c>
      <c r="AT119" s="87">
        <f ca="1"/>
        <v>559.54999999999995</v>
      </c>
    </row>
    <row r="120" spans="13:46" x14ac:dyDescent="0.25">
      <c r="M120" s="42">
        <v>116</v>
      </c>
      <c r="N120" s="3" t="s">
        <v>176</v>
      </c>
      <c r="O120" s="49">
        <f t="shared" si="8"/>
        <v>37936.291666666664</v>
      </c>
      <c r="P120" s="42">
        <v>1530.86</v>
      </c>
      <c r="Q120" s="42">
        <v>391</v>
      </c>
      <c r="R120" s="42">
        <v>1531.2</v>
      </c>
      <c r="S120" s="42">
        <v>559.54999999999995</v>
      </c>
      <c r="T120" s="42"/>
      <c r="U120" s="42"/>
      <c r="V120" s="3"/>
      <c r="W120" s="3"/>
      <c r="X120" s="3"/>
      <c r="Y120" s="3"/>
      <c r="Z120" s="3"/>
      <c r="AA120" s="3"/>
      <c r="AB120" s="3"/>
      <c r="AE120" s="42">
        <f t="shared" si="9"/>
        <v>103302</v>
      </c>
      <c r="AF120" s="42">
        <f t="shared" si="10"/>
        <v>96656.329999999987</v>
      </c>
      <c r="AG120" s="42" t="str">
        <f t="shared" si="11"/>
        <v/>
      </c>
      <c r="AH120" s="42" t="str">
        <f t="shared" si="12"/>
        <v/>
      </c>
      <c r="AI120" s="42" t="str">
        <f t="shared" si="13"/>
        <v/>
      </c>
      <c r="AJ120" s="42" t="str">
        <f t="shared" si="14"/>
        <v/>
      </c>
      <c r="AK120" s="42" t="str">
        <f t="shared" si="15"/>
        <v/>
      </c>
      <c r="AO120" s="86">
        <f ca="1"/>
        <v>37936.333333333336</v>
      </c>
      <c r="AP120" s="87">
        <f ca="1"/>
        <v>1530.85</v>
      </c>
      <c r="AQ120" s="87">
        <f ca="1"/>
        <v>1531.19</v>
      </c>
      <c r="AR120" s="88">
        <f ca="1"/>
        <v>37936.333333333336</v>
      </c>
      <c r="AS120" s="87">
        <f ca="1"/>
        <v>388</v>
      </c>
      <c r="AT120" s="87">
        <f ca="1"/>
        <v>554.33000000000004</v>
      </c>
    </row>
    <row r="121" spans="13:46" x14ac:dyDescent="0.25">
      <c r="M121" s="42">
        <v>117</v>
      </c>
      <c r="N121" s="3" t="s">
        <v>177</v>
      </c>
      <c r="O121" s="49">
        <f t="shared" si="8"/>
        <v>37936.333333333336</v>
      </c>
      <c r="P121" s="42">
        <v>1530.85</v>
      </c>
      <c r="Q121" s="42">
        <v>388</v>
      </c>
      <c r="R121" s="42">
        <v>1531.19</v>
      </c>
      <c r="S121" s="42">
        <v>554.33000000000004</v>
      </c>
      <c r="T121" s="42"/>
      <c r="U121" s="42"/>
      <c r="V121" s="3"/>
      <c r="W121" s="3"/>
      <c r="X121" s="3"/>
      <c r="Y121" s="3"/>
      <c r="Z121" s="3"/>
      <c r="AA121" s="3"/>
      <c r="AB121" s="3"/>
      <c r="AE121" s="42">
        <f t="shared" si="9"/>
        <v>103690</v>
      </c>
      <c r="AF121" s="42">
        <f t="shared" si="10"/>
        <v>97210.659999999989</v>
      </c>
      <c r="AG121" s="42" t="str">
        <f t="shared" si="11"/>
        <v/>
      </c>
      <c r="AH121" s="42" t="str">
        <f t="shared" si="12"/>
        <v/>
      </c>
      <c r="AI121" s="42" t="str">
        <f t="shared" si="13"/>
        <v/>
      </c>
      <c r="AJ121" s="42" t="str">
        <f t="shared" si="14"/>
        <v/>
      </c>
      <c r="AK121" s="42" t="str">
        <f t="shared" si="15"/>
        <v/>
      </c>
      <c r="AO121" s="86">
        <f ca="1"/>
        <v>37936.375</v>
      </c>
      <c r="AP121" s="87">
        <f ca="1"/>
        <v>1530.84</v>
      </c>
      <c r="AQ121" s="87">
        <f ca="1"/>
        <v>1531.17</v>
      </c>
      <c r="AR121" s="88">
        <f ca="1"/>
        <v>37936.375</v>
      </c>
      <c r="AS121" s="87">
        <f ca="1"/>
        <v>385</v>
      </c>
      <c r="AT121" s="87">
        <f ca="1"/>
        <v>548.73</v>
      </c>
    </row>
    <row r="122" spans="13:46" x14ac:dyDescent="0.25">
      <c r="M122" s="42">
        <v>118</v>
      </c>
      <c r="N122" s="3" t="s">
        <v>178</v>
      </c>
      <c r="O122" s="49">
        <f t="shared" si="8"/>
        <v>37936.375</v>
      </c>
      <c r="P122" s="42">
        <v>1530.84</v>
      </c>
      <c r="Q122" s="42">
        <v>385</v>
      </c>
      <c r="R122" s="42">
        <v>1531.17</v>
      </c>
      <c r="S122" s="42">
        <v>548.73</v>
      </c>
      <c r="T122" s="42"/>
      <c r="U122" s="42"/>
      <c r="V122" s="3"/>
      <c r="W122" s="3"/>
      <c r="X122" s="3"/>
      <c r="Y122" s="3"/>
      <c r="Z122" s="3"/>
      <c r="AA122" s="3"/>
      <c r="AB122" s="3"/>
      <c r="AE122" s="42">
        <f t="shared" si="9"/>
        <v>104075</v>
      </c>
      <c r="AF122" s="42">
        <f t="shared" si="10"/>
        <v>97759.389999999985</v>
      </c>
      <c r="AG122" s="42" t="str">
        <f t="shared" si="11"/>
        <v/>
      </c>
      <c r="AH122" s="42" t="str">
        <f t="shared" si="12"/>
        <v/>
      </c>
      <c r="AI122" s="42" t="str">
        <f t="shared" si="13"/>
        <v/>
      </c>
      <c r="AJ122" s="42" t="str">
        <f t="shared" si="14"/>
        <v/>
      </c>
      <c r="AK122" s="42" t="str">
        <f t="shared" si="15"/>
        <v/>
      </c>
      <c r="AO122" s="86">
        <f ca="1"/>
        <v>37936.416666666664</v>
      </c>
      <c r="AP122" s="87">
        <f ca="1"/>
        <v>1530.83</v>
      </c>
      <c r="AQ122" s="87">
        <f ca="1"/>
        <v>1531.17</v>
      </c>
      <c r="AR122" s="88">
        <f ca="1"/>
        <v>37936.416666666664</v>
      </c>
      <c r="AS122" s="87">
        <f ca="1"/>
        <v>382</v>
      </c>
      <c r="AT122" s="87">
        <f ca="1"/>
        <v>545.5</v>
      </c>
    </row>
    <row r="123" spans="13:46" x14ac:dyDescent="0.25">
      <c r="M123" s="42">
        <v>119</v>
      </c>
      <c r="N123" s="3" t="s">
        <v>179</v>
      </c>
      <c r="O123" s="49">
        <f t="shared" si="8"/>
        <v>37936.416666666664</v>
      </c>
      <c r="P123" s="42">
        <v>1530.83</v>
      </c>
      <c r="Q123" s="42">
        <v>382</v>
      </c>
      <c r="R123" s="42">
        <v>1531.17</v>
      </c>
      <c r="S123" s="42">
        <v>545.5</v>
      </c>
      <c r="T123" s="42"/>
      <c r="U123" s="42"/>
      <c r="V123" s="3"/>
      <c r="W123" s="3"/>
      <c r="X123" s="3"/>
      <c r="Y123" s="3"/>
      <c r="Z123" s="3"/>
      <c r="AA123" s="3"/>
      <c r="AB123" s="3"/>
      <c r="AE123" s="42">
        <f t="shared" si="9"/>
        <v>104457</v>
      </c>
      <c r="AF123" s="42">
        <f t="shared" si="10"/>
        <v>98304.889999999985</v>
      </c>
      <c r="AG123" s="42" t="str">
        <f t="shared" si="11"/>
        <v/>
      </c>
      <c r="AH123" s="42" t="str">
        <f t="shared" si="12"/>
        <v/>
      </c>
      <c r="AI123" s="42" t="str">
        <f t="shared" si="13"/>
        <v/>
      </c>
      <c r="AJ123" s="42" t="str">
        <f t="shared" si="14"/>
        <v/>
      </c>
      <c r="AK123" s="42" t="str">
        <f t="shared" si="15"/>
        <v/>
      </c>
      <c r="AO123" s="86">
        <f ca="1"/>
        <v>37936.458333333336</v>
      </c>
      <c r="AP123" s="87">
        <f ca="1"/>
        <v>1530.82</v>
      </c>
      <c r="AQ123" s="87">
        <f ca="1"/>
        <v>1531.16</v>
      </c>
      <c r="AR123" s="88">
        <f ca="1"/>
        <v>37936.458333333336</v>
      </c>
      <c r="AS123" s="87">
        <f ca="1"/>
        <v>379</v>
      </c>
      <c r="AT123" s="87">
        <f ca="1"/>
        <v>541.98</v>
      </c>
    </row>
    <row r="124" spans="13:46" x14ac:dyDescent="0.25">
      <c r="M124" s="42">
        <v>120</v>
      </c>
      <c r="N124" s="3" t="s">
        <v>180</v>
      </c>
      <c r="O124" s="49">
        <f t="shared" si="8"/>
        <v>37936.458333333336</v>
      </c>
      <c r="P124" s="42">
        <v>1530.82</v>
      </c>
      <c r="Q124" s="42">
        <v>379</v>
      </c>
      <c r="R124" s="42">
        <v>1531.16</v>
      </c>
      <c r="S124" s="42">
        <v>541.98</v>
      </c>
      <c r="T124" s="42"/>
      <c r="U124" s="42"/>
      <c r="V124" s="3"/>
      <c r="W124" s="3"/>
      <c r="X124" s="3"/>
      <c r="Y124" s="3"/>
      <c r="Z124" s="3"/>
      <c r="AA124" s="3"/>
      <c r="AB124" s="3"/>
      <c r="AE124" s="42">
        <f t="shared" si="9"/>
        <v>104836</v>
      </c>
      <c r="AF124" s="42">
        <f t="shared" si="10"/>
        <v>98846.869999999981</v>
      </c>
      <c r="AG124" s="42" t="str">
        <f t="shared" si="11"/>
        <v/>
      </c>
      <c r="AH124" s="42" t="str">
        <f t="shared" si="12"/>
        <v/>
      </c>
      <c r="AI124" s="42" t="str">
        <f t="shared" si="13"/>
        <v/>
      </c>
      <c r="AJ124" s="42" t="str">
        <f t="shared" si="14"/>
        <v/>
      </c>
      <c r="AK124" s="42" t="str">
        <f t="shared" si="15"/>
        <v/>
      </c>
      <c r="AO124" s="86">
        <f ca="1"/>
        <v>37936.5</v>
      </c>
      <c r="AP124" s="87">
        <f ca="1"/>
        <v>1530.81</v>
      </c>
      <c r="AQ124" s="87">
        <f ca="1"/>
        <v>1531.15</v>
      </c>
      <c r="AR124" s="88">
        <f ca="1"/>
        <v>37936.5</v>
      </c>
      <c r="AS124" s="87">
        <f ca="1"/>
        <v>376</v>
      </c>
      <c r="AT124" s="87">
        <f ca="1"/>
        <v>535.99</v>
      </c>
    </row>
    <row r="125" spans="13:46" x14ac:dyDescent="0.25">
      <c r="M125" s="42">
        <v>121</v>
      </c>
      <c r="N125" s="3" t="s">
        <v>181</v>
      </c>
      <c r="O125" s="49">
        <f t="shared" si="8"/>
        <v>37936.5</v>
      </c>
      <c r="P125" s="42">
        <v>1530.81</v>
      </c>
      <c r="Q125" s="42">
        <v>376</v>
      </c>
      <c r="R125" s="42">
        <v>1531.15</v>
      </c>
      <c r="S125" s="42">
        <v>535.99</v>
      </c>
      <c r="T125" s="42"/>
      <c r="U125" s="42"/>
      <c r="V125" s="3"/>
      <c r="W125" s="3"/>
      <c r="X125" s="3"/>
      <c r="Y125" s="3"/>
      <c r="Z125" s="3"/>
      <c r="AA125" s="3"/>
      <c r="AB125" s="3"/>
      <c r="AE125" s="42">
        <f t="shared" si="9"/>
        <v>105212</v>
      </c>
      <c r="AF125" s="42">
        <f t="shared" si="10"/>
        <v>99382.859999999986</v>
      </c>
      <c r="AG125" s="42" t="str">
        <f t="shared" si="11"/>
        <v/>
      </c>
      <c r="AH125" s="42" t="str">
        <f t="shared" si="12"/>
        <v/>
      </c>
      <c r="AI125" s="42" t="str">
        <f t="shared" si="13"/>
        <v/>
      </c>
      <c r="AJ125" s="42" t="str">
        <f t="shared" si="14"/>
        <v/>
      </c>
      <c r="AK125" s="42" t="str">
        <f t="shared" si="15"/>
        <v/>
      </c>
      <c r="AO125" s="86">
        <f ca="1"/>
        <v>37936.541666666664</v>
      </c>
      <c r="AP125" s="87">
        <f ca="1"/>
        <v>1530.8</v>
      </c>
      <c r="AQ125" s="87">
        <f ca="1"/>
        <v>1531.14</v>
      </c>
      <c r="AR125" s="88">
        <f ca="1"/>
        <v>37936.541666666664</v>
      </c>
      <c r="AS125" s="87">
        <f ca="1"/>
        <v>373</v>
      </c>
      <c r="AT125" s="87">
        <f ca="1"/>
        <v>531.88</v>
      </c>
    </row>
    <row r="126" spans="13:46" x14ac:dyDescent="0.25">
      <c r="M126" s="42">
        <v>122</v>
      </c>
      <c r="N126" s="3" t="s">
        <v>182</v>
      </c>
      <c r="O126" s="49">
        <f t="shared" si="8"/>
        <v>37936.541666666664</v>
      </c>
      <c r="P126" s="42">
        <v>1530.8</v>
      </c>
      <c r="Q126" s="42">
        <v>373</v>
      </c>
      <c r="R126" s="42">
        <v>1531.14</v>
      </c>
      <c r="S126" s="42">
        <v>531.88</v>
      </c>
      <c r="T126" s="42"/>
      <c r="U126" s="42"/>
      <c r="V126" s="3"/>
      <c r="W126" s="3"/>
      <c r="X126" s="3"/>
      <c r="Y126" s="3"/>
      <c r="Z126" s="3"/>
      <c r="AA126" s="3"/>
      <c r="AB126" s="3"/>
      <c r="AE126" s="42">
        <f t="shared" si="9"/>
        <v>105585</v>
      </c>
      <c r="AF126" s="42">
        <f t="shared" si="10"/>
        <v>99914.739999999991</v>
      </c>
      <c r="AG126" s="42" t="str">
        <f t="shared" si="11"/>
        <v/>
      </c>
      <c r="AH126" s="42" t="str">
        <f t="shared" si="12"/>
        <v/>
      </c>
      <c r="AI126" s="42" t="str">
        <f t="shared" si="13"/>
        <v/>
      </c>
      <c r="AJ126" s="42" t="str">
        <f t="shared" si="14"/>
        <v/>
      </c>
      <c r="AK126" s="42" t="str">
        <f t="shared" si="15"/>
        <v/>
      </c>
      <c r="AO126" s="86">
        <f ca="1"/>
        <v>37936.583333333336</v>
      </c>
      <c r="AP126" s="87">
        <f ca="1"/>
        <v>1530.79</v>
      </c>
      <c r="AQ126" s="87">
        <f ca="1"/>
        <v>1531.13</v>
      </c>
      <c r="AR126" s="88">
        <f ca="1"/>
        <v>37936.583333333336</v>
      </c>
      <c r="AS126" s="87">
        <f ca="1"/>
        <v>370</v>
      </c>
      <c r="AT126" s="87">
        <f ca="1"/>
        <v>527.44000000000005</v>
      </c>
    </row>
    <row r="127" spans="13:46" x14ac:dyDescent="0.25">
      <c r="M127" s="42">
        <v>123</v>
      </c>
      <c r="N127" s="3" t="s">
        <v>183</v>
      </c>
      <c r="O127" s="49">
        <f t="shared" si="8"/>
        <v>37936.583333333336</v>
      </c>
      <c r="P127" s="42">
        <v>1530.79</v>
      </c>
      <c r="Q127" s="42">
        <v>370</v>
      </c>
      <c r="R127" s="42">
        <v>1531.13</v>
      </c>
      <c r="S127" s="42">
        <v>527.44000000000005</v>
      </c>
      <c r="T127" s="42"/>
      <c r="U127" s="42"/>
      <c r="V127" s="3"/>
      <c r="W127" s="3"/>
      <c r="X127" s="3"/>
      <c r="Y127" s="3"/>
      <c r="Z127" s="3"/>
      <c r="AA127" s="3"/>
      <c r="AB127" s="3"/>
      <c r="AE127" s="42">
        <f t="shared" si="9"/>
        <v>105955</v>
      </c>
      <c r="AF127" s="42">
        <f t="shared" si="10"/>
        <v>100442.18</v>
      </c>
      <c r="AG127" s="42" t="str">
        <f t="shared" si="11"/>
        <v/>
      </c>
      <c r="AH127" s="42" t="str">
        <f t="shared" si="12"/>
        <v/>
      </c>
      <c r="AI127" s="42" t="str">
        <f t="shared" si="13"/>
        <v/>
      </c>
      <c r="AJ127" s="42" t="str">
        <f t="shared" si="14"/>
        <v/>
      </c>
      <c r="AK127" s="42" t="str">
        <f t="shared" si="15"/>
        <v/>
      </c>
      <c r="AO127" s="86">
        <f ca="1"/>
        <v>37936.625</v>
      </c>
      <c r="AP127" s="87">
        <f ca="1"/>
        <v>1530.79</v>
      </c>
      <c r="AQ127" s="87">
        <f ca="1"/>
        <v>1531.12</v>
      </c>
      <c r="AR127" s="88">
        <f ca="1"/>
        <v>37936.625</v>
      </c>
      <c r="AS127" s="87">
        <f ca="1"/>
        <v>370</v>
      </c>
      <c r="AT127" s="87">
        <f ca="1"/>
        <v>524.04</v>
      </c>
    </row>
    <row r="128" spans="13:46" x14ac:dyDescent="0.25">
      <c r="M128" s="42">
        <v>124</v>
      </c>
      <c r="N128" s="3" t="s">
        <v>184</v>
      </c>
      <c r="O128" s="49">
        <f t="shared" si="8"/>
        <v>37936.625</v>
      </c>
      <c r="P128" s="42">
        <v>1530.79</v>
      </c>
      <c r="Q128" s="42">
        <v>370</v>
      </c>
      <c r="R128" s="42">
        <v>1531.12</v>
      </c>
      <c r="S128" s="42">
        <v>524.04</v>
      </c>
      <c r="T128" s="42"/>
      <c r="U128" s="42"/>
      <c r="V128" s="3"/>
      <c r="W128" s="3"/>
      <c r="X128" s="3"/>
      <c r="Y128" s="3"/>
      <c r="Z128" s="3"/>
      <c r="AA128" s="3"/>
      <c r="AB128" s="3"/>
      <c r="AE128" s="42">
        <f t="shared" si="9"/>
        <v>106325</v>
      </c>
      <c r="AF128" s="42">
        <f t="shared" si="10"/>
        <v>100966.21999999999</v>
      </c>
      <c r="AG128" s="42" t="str">
        <f t="shared" si="11"/>
        <v/>
      </c>
      <c r="AH128" s="42" t="str">
        <f t="shared" si="12"/>
        <v/>
      </c>
      <c r="AI128" s="42" t="str">
        <f t="shared" si="13"/>
        <v/>
      </c>
      <c r="AJ128" s="42" t="str">
        <f t="shared" si="14"/>
        <v/>
      </c>
      <c r="AK128" s="42" t="str">
        <f t="shared" si="15"/>
        <v/>
      </c>
      <c r="AO128" s="86">
        <f ca="1"/>
        <v>37936.666666666664</v>
      </c>
      <c r="AP128" s="87">
        <f ca="1"/>
        <v>1530.78</v>
      </c>
      <c r="AQ128" s="87">
        <f ca="1"/>
        <v>1531.11</v>
      </c>
      <c r="AR128" s="88">
        <f ca="1"/>
        <v>37936.666666666664</v>
      </c>
      <c r="AS128" s="87">
        <f ca="1"/>
        <v>367</v>
      </c>
      <c r="AT128" s="87">
        <f ca="1"/>
        <v>519.11</v>
      </c>
    </row>
    <row r="129" spans="13:46" x14ac:dyDescent="0.25">
      <c r="M129" s="42">
        <v>125</v>
      </c>
      <c r="N129" s="3" t="s">
        <v>185</v>
      </c>
      <c r="O129" s="49">
        <f t="shared" si="8"/>
        <v>37936.666666666664</v>
      </c>
      <c r="P129" s="42">
        <v>1530.78</v>
      </c>
      <c r="Q129" s="42">
        <v>367</v>
      </c>
      <c r="R129" s="42">
        <v>1531.11</v>
      </c>
      <c r="S129" s="42">
        <v>519.11</v>
      </c>
      <c r="T129" s="42"/>
      <c r="U129" s="42"/>
      <c r="V129" s="3"/>
      <c r="W129" s="3"/>
      <c r="X129" s="3"/>
      <c r="Y129" s="3"/>
      <c r="Z129" s="3"/>
      <c r="AA129" s="3"/>
      <c r="AB129" s="3"/>
      <c r="AE129" s="42">
        <f t="shared" si="9"/>
        <v>106692</v>
      </c>
      <c r="AF129" s="42">
        <f t="shared" si="10"/>
        <v>101485.32999999999</v>
      </c>
      <c r="AG129" s="42" t="str">
        <f t="shared" si="11"/>
        <v/>
      </c>
      <c r="AH129" s="42" t="str">
        <f t="shared" si="12"/>
        <v/>
      </c>
      <c r="AI129" s="42" t="str">
        <f t="shared" si="13"/>
        <v/>
      </c>
      <c r="AJ129" s="42" t="str">
        <f t="shared" si="14"/>
        <v/>
      </c>
      <c r="AK129" s="42" t="str">
        <f t="shared" si="15"/>
        <v/>
      </c>
      <c r="AO129" s="86">
        <f ca="1"/>
        <v>37936.708333333336</v>
      </c>
      <c r="AP129" s="87">
        <f ca="1"/>
        <v>1530.77</v>
      </c>
      <c r="AQ129" s="87">
        <f ca="1"/>
        <v>1531.1</v>
      </c>
      <c r="AR129" s="88">
        <f ca="1"/>
        <v>37936.708333333336</v>
      </c>
      <c r="AS129" s="87">
        <f ca="1"/>
        <v>364</v>
      </c>
      <c r="AT129" s="87">
        <f ca="1"/>
        <v>514.01</v>
      </c>
    </row>
    <row r="130" spans="13:46" x14ac:dyDescent="0.25">
      <c r="M130" s="42">
        <v>126</v>
      </c>
      <c r="N130" s="3" t="s">
        <v>186</v>
      </c>
      <c r="O130" s="49">
        <f t="shared" si="8"/>
        <v>37936.708333333336</v>
      </c>
      <c r="P130" s="42">
        <v>1530.77</v>
      </c>
      <c r="Q130" s="42">
        <v>364</v>
      </c>
      <c r="R130" s="42">
        <v>1531.1</v>
      </c>
      <c r="S130" s="42">
        <v>514.01</v>
      </c>
      <c r="T130" s="42"/>
      <c r="U130" s="42"/>
      <c r="V130" s="3"/>
      <c r="W130" s="3"/>
      <c r="X130" s="3"/>
      <c r="Y130" s="3"/>
      <c r="Z130" s="3"/>
      <c r="AA130" s="3"/>
      <c r="AB130" s="3"/>
      <c r="AE130" s="42">
        <f t="shared" si="9"/>
        <v>107056</v>
      </c>
      <c r="AF130" s="42">
        <f t="shared" si="10"/>
        <v>101999.33999999998</v>
      </c>
      <c r="AG130" s="42" t="str">
        <f t="shared" si="11"/>
        <v/>
      </c>
      <c r="AH130" s="42" t="str">
        <f t="shared" si="12"/>
        <v/>
      </c>
      <c r="AI130" s="42" t="str">
        <f t="shared" si="13"/>
        <v/>
      </c>
      <c r="AJ130" s="42" t="str">
        <f t="shared" si="14"/>
        <v/>
      </c>
      <c r="AK130" s="42" t="str">
        <f t="shared" si="15"/>
        <v/>
      </c>
      <c r="AO130" s="86">
        <f ca="1"/>
        <v>37936.75</v>
      </c>
      <c r="AP130" s="87">
        <f ca="1"/>
        <v>1530.77</v>
      </c>
      <c r="AQ130" s="87">
        <f ca="1"/>
        <v>1531.09</v>
      </c>
      <c r="AR130" s="88">
        <f ca="1"/>
        <v>37936.75</v>
      </c>
      <c r="AS130" s="87">
        <f ca="1"/>
        <v>364</v>
      </c>
      <c r="AT130" s="87">
        <f ca="1"/>
        <v>508.55</v>
      </c>
    </row>
    <row r="131" spans="13:46" x14ac:dyDescent="0.25">
      <c r="M131" s="42">
        <v>127</v>
      </c>
      <c r="N131" s="3" t="s">
        <v>187</v>
      </c>
      <c r="O131" s="49">
        <f t="shared" si="8"/>
        <v>37936.75</v>
      </c>
      <c r="P131" s="42">
        <v>1530.77</v>
      </c>
      <c r="Q131" s="42">
        <v>364</v>
      </c>
      <c r="R131" s="42">
        <v>1531.09</v>
      </c>
      <c r="S131" s="42">
        <v>508.55</v>
      </c>
      <c r="T131" s="42"/>
      <c r="U131" s="42"/>
      <c r="V131" s="3"/>
      <c r="W131" s="3"/>
      <c r="X131" s="3"/>
      <c r="Y131" s="3"/>
      <c r="Z131" s="3"/>
      <c r="AA131" s="3"/>
      <c r="AB131" s="3"/>
      <c r="AE131" s="42">
        <f t="shared" si="9"/>
        <v>107420</v>
      </c>
      <c r="AF131" s="42">
        <f t="shared" si="10"/>
        <v>102507.88999999998</v>
      </c>
      <c r="AG131" s="42" t="str">
        <f t="shared" si="11"/>
        <v/>
      </c>
      <c r="AH131" s="42" t="str">
        <f t="shared" si="12"/>
        <v/>
      </c>
      <c r="AI131" s="42" t="str">
        <f t="shared" si="13"/>
        <v/>
      </c>
      <c r="AJ131" s="42" t="str">
        <f t="shared" si="14"/>
        <v/>
      </c>
      <c r="AK131" s="42" t="str">
        <f t="shared" si="15"/>
        <v/>
      </c>
      <c r="AO131" s="86">
        <f ca="1"/>
        <v>37936.791666666664</v>
      </c>
      <c r="AP131" s="87">
        <f ca="1"/>
        <v>1530.76</v>
      </c>
      <c r="AQ131" s="87">
        <f ca="1"/>
        <v>1531.08</v>
      </c>
      <c r="AR131" s="88">
        <f ca="1"/>
        <v>37936.791666666664</v>
      </c>
      <c r="AS131" s="87">
        <f ca="1"/>
        <v>361</v>
      </c>
      <c r="AT131" s="87">
        <f ca="1"/>
        <v>505.87</v>
      </c>
    </row>
    <row r="132" spans="13:46" x14ac:dyDescent="0.25">
      <c r="M132" s="42">
        <v>128</v>
      </c>
      <c r="N132" s="3" t="s">
        <v>188</v>
      </c>
      <c r="O132" s="49">
        <f t="shared" si="8"/>
        <v>37936.791666666664</v>
      </c>
      <c r="P132" s="42">
        <v>1530.76</v>
      </c>
      <c r="Q132" s="42">
        <v>361</v>
      </c>
      <c r="R132" s="42">
        <v>1531.08</v>
      </c>
      <c r="S132" s="42">
        <v>505.87</v>
      </c>
      <c r="T132" s="42"/>
      <c r="U132" s="42"/>
      <c r="V132" s="3"/>
      <c r="W132" s="3"/>
      <c r="X132" s="3"/>
      <c r="Y132" s="3"/>
      <c r="Z132" s="3"/>
      <c r="AA132" s="3"/>
      <c r="AB132" s="3"/>
      <c r="AE132" s="42">
        <f t="shared" si="9"/>
        <v>107781</v>
      </c>
      <c r="AF132" s="42">
        <f t="shared" si="10"/>
        <v>103013.75999999998</v>
      </c>
      <c r="AG132" s="42" t="str">
        <f t="shared" si="11"/>
        <v/>
      </c>
      <c r="AH132" s="42" t="str">
        <f t="shared" si="12"/>
        <v/>
      </c>
      <c r="AI132" s="42" t="str">
        <f t="shared" si="13"/>
        <v/>
      </c>
      <c r="AJ132" s="42" t="str">
        <f t="shared" si="14"/>
        <v/>
      </c>
      <c r="AK132" s="42" t="str">
        <f t="shared" si="15"/>
        <v/>
      </c>
      <c r="AO132" s="86">
        <f ca="1"/>
        <v>37936.833333333336</v>
      </c>
      <c r="AP132" s="87">
        <f ca="1"/>
        <v>1530.75</v>
      </c>
      <c r="AQ132" s="87">
        <f ca="1"/>
        <v>1531.07</v>
      </c>
      <c r="AR132" s="88">
        <f ca="1"/>
        <v>37936.833333333336</v>
      </c>
      <c r="AS132" s="87">
        <f ca="1"/>
        <v>358</v>
      </c>
      <c r="AT132" s="87">
        <f ca="1"/>
        <v>501.5</v>
      </c>
    </row>
    <row r="133" spans="13:46" x14ac:dyDescent="0.25">
      <c r="M133" s="42">
        <v>129</v>
      </c>
      <c r="N133" s="3" t="s">
        <v>189</v>
      </c>
      <c r="O133" s="49">
        <f t="shared" si="8"/>
        <v>37936.833333333336</v>
      </c>
      <c r="P133" s="42">
        <v>1530.75</v>
      </c>
      <c r="Q133" s="42">
        <v>358</v>
      </c>
      <c r="R133" s="42">
        <v>1531.07</v>
      </c>
      <c r="S133" s="42">
        <v>501.5</v>
      </c>
      <c r="T133" s="42"/>
      <c r="U133" s="42"/>
      <c r="V133" s="3"/>
      <c r="W133" s="3"/>
      <c r="X133" s="3"/>
      <c r="Y133" s="3"/>
      <c r="Z133" s="3"/>
      <c r="AA133" s="3"/>
      <c r="AB133" s="3"/>
      <c r="AE133" s="42">
        <f t="shared" si="9"/>
        <v>108139</v>
      </c>
      <c r="AF133" s="42">
        <f t="shared" si="10"/>
        <v>103515.25999999998</v>
      </c>
      <c r="AG133" s="42" t="str">
        <f t="shared" si="11"/>
        <v/>
      </c>
      <c r="AH133" s="42" t="str">
        <f t="shared" si="12"/>
        <v/>
      </c>
      <c r="AI133" s="42" t="str">
        <f t="shared" si="13"/>
        <v/>
      </c>
      <c r="AJ133" s="42" t="str">
        <f t="shared" si="14"/>
        <v/>
      </c>
      <c r="AK133" s="42" t="str">
        <f t="shared" si="15"/>
        <v/>
      </c>
      <c r="AO133" s="86">
        <f ca="1"/>
        <v>37936.875</v>
      </c>
      <c r="AP133" s="87">
        <f ca="1"/>
        <v>1530.74</v>
      </c>
      <c r="AQ133" s="87">
        <f ca="1"/>
        <v>1531.06</v>
      </c>
      <c r="AR133" s="88">
        <f ca="1"/>
        <v>37936.875</v>
      </c>
      <c r="AS133" s="87">
        <f ca="1"/>
        <v>355</v>
      </c>
      <c r="AT133" s="87">
        <f ca="1"/>
        <v>497.69</v>
      </c>
    </row>
    <row r="134" spans="13:46" x14ac:dyDescent="0.25">
      <c r="M134" s="42">
        <v>130</v>
      </c>
      <c r="N134" s="3" t="s">
        <v>190</v>
      </c>
      <c r="O134" s="49">
        <f t="shared" ref="O134:O197" si="16">IF(ISTEXT(N134),IF(MID(N134,11,2)="24",1+DATEVALUE(LEFT(N134,10))+TIMEVALUE(CONCATENATE(MID(N134,11,2),":",MID(N134,13,2))),DATEVALUE(LEFT(N134,10))+TIMEVALUE(CONCATENATE(MID(N134,11,2),":",MID(N134,13,2)))),"")</f>
        <v>37936.875</v>
      </c>
      <c r="P134" s="42">
        <v>1530.74</v>
      </c>
      <c r="Q134" s="42">
        <v>355</v>
      </c>
      <c r="R134" s="42">
        <v>1531.06</v>
      </c>
      <c r="S134" s="42">
        <v>497.69</v>
      </c>
      <c r="T134" s="42"/>
      <c r="U134" s="42"/>
      <c r="V134" s="3"/>
      <c r="W134" s="3"/>
      <c r="X134" s="3"/>
      <c r="Y134" s="3"/>
      <c r="Z134" s="3"/>
      <c r="AA134" s="3"/>
      <c r="AB134" s="3"/>
      <c r="AE134" s="42">
        <f t="shared" si="9"/>
        <v>108494</v>
      </c>
      <c r="AF134" s="42">
        <f t="shared" si="10"/>
        <v>104012.94999999998</v>
      </c>
      <c r="AG134" s="42" t="str">
        <f t="shared" si="11"/>
        <v/>
      </c>
      <c r="AH134" s="42" t="str">
        <f t="shared" si="12"/>
        <v/>
      </c>
      <c r="AI134" s="42" t="str">
        <f t="shared" si="13"/>
        <v/>
      </c>
      <c r="AJ134" s="42" t="str">
        <f t="shared" si="14"/>
        <v/>
      </c>
      <c r="AK134" s="42" t="str">
        <f t="shared" si="15"/>
        <v/>
      </c>
      <c r="AO134" s="86">
        <f ca="1"/>
        <v>37936.916666666664</v>
      </c>
      <c r="AP134" s="87">
        <f ca="1"/>
        <v>1530.73</v>
      </c>
      <c r="AQ134" s="87">
        <f ca="1"/>
        <v>1531.06</v>
      </c>
      <c r="AR134" s="88">
        <f ca="1"/>
        <v>37936.916666666664</v>
      </c>
      <c r="AS134" s="87">
        <f ca="1"/>
        <v>352</v>
      </c>
      <c r="AT134" s="87">
        <f ca="1"/>
        <v>494.06</v>
      </c>
    </row>
    <row r="135" spans="13:46" x14ac:dyDescent="0.25">
      <c r="M135" s="42">
        <v>131</v>
      </c>
      <c r="N135" s="3" t="s">
        <v>191</v>
      </c>
      <c r="O135" s="49">
        <f t="shared" si="16"/>
        <v>37936.916666666664</v>
      </c>
      <c r="P135" s="42">
        <v>1530.73</v>
      </c>
      <c r="Q135" s="42">
        <v>352</v>
      </c>
      <c r="R135" s="42">
        <v>1531.06</v>
      </c>
      <c r="S135" s="42">
        <v>494.06</v>
      </c>
      <c r="T135" s="42"/>
      <c r="U135" s="42"/>
      <c r="V135" s="3"/>
      <c r="W135" s="3"/>
      <c r="X135" s="3"/>
      <c r="Y135" s="3"/>
      <c r="Z135" s="3"/>
      <c r="AA135" s="3"/>
      <c r="AB135" s="3"/>
      <c r="AE135" s="42">
        <f t="shared" ref="AE135:AE198" si="17">IF(ISNUMBER(Q135),AE134+Q135,"")</f>
        <v>108846</v>
      </c>
      <c r="AF135" s="42">
        <f t="shared" ref="AF135:AF198" si="18">IF(ISNUMBER(S135),AF134+S135,"")</f>
        <v>104507.00999999998</v>
      </c>
      <c r="AG135" s="42" t="str">
        <f t="shared" ref="AG135:AG198" si="19">IF(ISNUMBER(U135),AG134+U135,"")</f>
        <v/>
      </c>
      <c r="AH135" s="42" t="str">
        <f t="shared" ref="AH135:AH198" si="20">IF(ISNUMBER(W135),AH134+W135,"")</f>
        <v/>
      </c>
      <c r="AI135" s="42" t="str">
        <f t="shared" ref="AI135:AI198" si="21">IF(ISNUMBER(Y135),AI134+Y135,"")</f>
        <v/>
      </c>
      <c r="AJ135" s="42" t="str">
        <f t="shared" ref="AJ135:AJ198" si="22">IF(ISNUMBER(AA135),AJ134+AA135,"")</f>
        <v/>
      </c>
      <c r="AK135" s="42" t="str">
        <f t="shared" ref="AK135:AK198" si="23">IF(ISNUMBER(AC135),AK134+AC135,"")</f>
        <v/>
      </c>
      <c r="AO135" s="86">
        <f ca="1"/>
        <v>37936.958333333336</v>
      </c>
      <c r="AP135" s="87">
        <f ca="1"/>
        <v>1530.73</v>
      </c>
      <c r="AQ135" s="87">
        <f ca="1"/>
        <v>1531.04</v>
      </c>
      <c r="AR135" s="88">
        <f ca="1"/>
        <v>37936.958333333336</v>
      </c>
      <c r="AS135" s="87">
        <f ca="1"/>
        <v>352</v>
      </c>
      <c r="AT135" s="87">
        <f ca="1"/>
        <v>488.65</v>
      </c>
    </row>
    <row r="136" spans="13:46" x14ac:dyDescent="0.25">
      <c r="M136" s="42">
        <v>132</v>
      </c>
      <c r="N136" s="3" t="s">
        <v>192</v>
      </c>
      <c r="O136" s="49">
        <f t="shared" si="16"/>
        <v>37936.958333333336</v>
      </c>
      <c r="P136" s="42">
        <v>1530.73</v>
      </c>
      <c r="Q136" s="42">
        <v>352</v>
      </c>
      <c r="R136" s="42">
        <v>1531.04</v>
      </c>
      <c r="S136" s="42">
        <v>488.65</v>
      </c>
      <c r="T136" s="42"/>
      <c r="U136" s="42"/>
      <c r="V136" s="3"/>
      <c r="W136" s="3"/>
      <c r="X136" s="3"/>
      <c r="Y136" s="3"/>
      <c r="Z136" s="3"/>
      <c r="AA136" s="3"/>
      <c r="AB136" s="3"/>
      <c r="AE136" s="42">
        <f t="shared" si="17"/>
        <v>109198</v>
      </c>
      <c r="AF136" s="42">
        <f t="shared" si="18"/>
        <v>104995.65999999997</v>
      </c>
      <c r="AG136" s="42" t="str">
        <f t="shared" si="19"/>
        <v/>
      </c>
      <c r="AH136" s="42" t="str">
        <f t="shared" si="20"/>
        <v/>
      </c>
      <c r="AI136" s="42" t="str">
        <f t="shared" si="21"/>
        <v/>
      </c>
      <c r="AJ136" s="42" t="str">
        <f t="shared" si="22"/>
        <v/>
      </c>
      <c r="AK136" s="42" t="str">
        <f t="shared" si="23"/>
        <v/>
      </c>
      <c r="AO136" s="86">
        <f ca="1"/>
        <v>37937</v>
      </c>
      <c r="AP136" s="87">
        <f ca="1"/>
        <v>1530.72</v>
      </c>
      <c r="AQ136" s="87">
        <f ca="1"/>
        <v>1531.04</v>
      </c>
      <c r="AR136" s="88">
        <f ca="1"/>
        <v>37937</v>
      </c>
      <c r="AS136" s="87">
        <f ca="1"/>
        <v>350</v>
      </c>
      <c r="AT136" s="87">
        <f ca="1"/>
        <v>485.63</v>
      </c>
    </row>
    <row r="137" spans="13:46" x14ac:dyDescent="0.25">
      <c r="M137" s="42">
        <v>133</v>
      </c>
      <c r="N137" s="3" t="s">
        <v>193</v>
      </c>
      <c r="O137" s="49">
        <f t="shared" si="16"/>
        <v>37937</v>
      </c>
      <c r="P137" s="42">
        <v>1530.72</v>
      </c>
      <c r="Q137" s="42">
        <v>350</v>
      </c>
      <c r="R137" s="42">
        <v>1531.04</v>
      </c>
      <c r="S137" s="42">
        <v>485.63</v>
      </c>
      <c r="T137" s="42"/>
      <c r="U137" s="42"/>
      <c r="V137" s="3"/>
      <c r="W137" s="3"/>
      <c r="X137" s="3"/>
      <c r="Y137" s="3"/>
      <c r="Z137" s="3"/>
      <c r="AA137" s="3"/>
      <c r="AB137" s="3"/>
      <c r="AE137" s="42">
        <f t="shared" si="17"/>
        <v>109548</v>
      </c>
      <c r="AF137" s="42">
        <f t="shared" si="18"/>
        <v>105481.28999999998</v>
      </c>
      <c r="AG137" s="42" t="str">
        <f t="shared" si="19"/>
        <v/>
      </c>
      <c r="AH137" s="42" t="str">
        <f t="shared" si="20"/>
        <v/>
      </c>
      <c r="AI137" s="42" t="str">
        <f t="shared" si="21"/>
        <v/>
      </c>
      <c r="AJ137" s="42" t="str">
        <f t="shared" si="22"/>
        <v/>
      </c>
      <c r="AK137" s="42" t="str">
        <f t="shared" si="23"/>
        <v/>
      </c>
      <c r="AO137" s="86">
        <f ca="1"/>
        <v>37937.041666666664</v>
      </c>
      <c r="AP137" s="87">
        <f ca="1"/>
        <v>1530.71</v>
      </c>
      <c r="AQ137" s="87">
        <f ca="1"/>
        <v>1531.03</v>
      </c>
      <c r="AR137" s="88">
        <f ca="1"/>
        <v>37937.041666666664</v>
      </c>
      <c r="AS137" s="87">
        <f ca="1"/>
        <v>347</v>
      </c>
      <c r="AT137" s="87">
        <f ca="1"/>
        <v>481.91</v>
      </c>
    </row>
    <row r="138" spans="13:46" x14ac:dyDescent="0.25">
      <c r="M138" s="42">
        <v>134</v>
      </c>
      <c r="N138" s="3" t="s">
        <v>194</v>
      </c>
      <c r="O138" s="49">
        <f t="shared" si="16"/>
        <v>37937.041666666664</v>
      </c>
      <c r="P138" s="42">
        <v>1530.71</v>
      </c>
      <c r="Q138" s="42">
        <v>347</v>
      </c>
      <c r="R138" s="42">
        <v>1531.03</v>
      </c>
      <c r="S138" s="42">
        <v>481.91</v>
      </c>
      <c r="T138" s="42"/>
      <c r="U138" s="42"/>
      <c r="V138" s="3"/>
      <c r="W138" s="3"/>
      <c r="X138" s="3"/>
      <c r="Y138" s="3"/>
      <c r="Z138" s="3"/>
      <c r="AA138" s="3"/>
      <c r="AB138" s="3"/>
      <c r="AE138" s="42">
        <f t="shared" si="17"/>
        <v>109895</v>
      </c>
      <c r="AF138" s="42">
        <f t="shared" si="18"/>
        <v>105963.19999999998</v>
      </c>
      <c r="AG138" s="42" t="str">
        <f t="shared" si="19"/>
        <v/>
      </c>
      <c r="AH138" s="42" t="str">
        <f t="shared" si="20"/>
        <v/>
      </c>
      <c r="AI138" s="42" t="str">
        <f t="shared" si="21"/>
        <v/>
      </c>
      <c r="AJ138" s="42" t="str">
        <f t="shared" si="22"/>
        <v/>
      </c>
      <c r="AK138" s="42" t="str">
        <f t="shared" si="23"/>
        <v/>
      </c>
      <c r="AO138" s="86">
        <f ca="1"/>
        <v>37937.083333333336</v>
      </c>
      <c r="AP138" s="87">
        <f ca="1"/>
        <v>1530.71</v>
      </c>
      <c r="AQ138" s="87">
        <f ca="1"/>
        <v>1531.02</v>
      </c>
      <c r="AR138" s="88">
        <f ca="1"/>
        <v>37937.083333333336</v>
      </c>
      <c r="AS138" s="87">
        <f ca="1"/>
        <v>347</v>
      </c>
      <c r="AT138" s="87">
        <f ca="1"/>
        <v>477.22</v>
      </c>
    </row>
    <row r="139" spans="13:46" x14ac:dyDescent="0.25">
      <c r="M139" s="42">
        <v>135</v>
      </c>
      <c r="N139" s="3" t="s">
        <v>195</v>
      </c>
      <c r="O139" s="49">
        <f t="shared" si="16"/>
        <v>37937.083333333336</v>
      </c>
      <c r="P139" s="42">
        <v>1530.71</v>
      </c>
      <c r="Q139" s="42">
        <v>347</v>
      </c>
      <c r="R139" s="42">
        <v>1531.02</v>
      </c>
      <c r="S139" s="42">
        <v>477.22</v>
      </c>
      <c r="T139" s="42"/>
      <c r="U139" s="42"/>
      <c r="V139" s="3"/>
      <c r="W139" s="3"/>
      <c r="X139" s="3"/>
      <c r="Y139" s="3"/>
      <c r="Z139" s="3"/>
      <c r="AA139" s="3"/>
      <c r="AB139" s="3"/>
      <c r="AE139" s="42">
        <f t="shared" si="17"/>
        <v>110242</v>
      </c>
      <c r="AF139" s="42">
        <f t="shared" si="18"/>
        <v>106440.41999999998</v>
      </c>
      <c r="AG139" s="42" t="str">
        <f t="shared" si="19"/>
        <v/>
      </c>
      <c r="AH139" s="42" t="str">
        <f t="shared" si="20"/>
        <v/>
      </c>
      <c r="AI139" s="42" t="str">
        <f t="shared" si="21"/>
        <v/>
      </c>
      <c r="AJ139" s="42" t="str">
        <f t="shared" si="22"/>
        <v/>
      </c>
      <c r="AK139" s="42" t="str">
        <f t="shared" si="23"/>
        <v/>
      </c>
      <c r="AO139" s="86">
        <f ca="1"/>
        <v>37937.125</v>
      </c>
      <c r="AP139" s="87">
        <f ca="1"/>
        <v>1530.71</v>
      </c>
      <c r="AQ139" s="87">
        <f ca="1"/>
        <v>1531.01</v>
      </c>
      <c r="AR139" s="88">
        <f ca="1"/>
        <v>37937.125</v>
      </c>
      <c r="AS139" s="87">
        <f ca="1"/>
        <v>347</v>
      </c>
      <c r="AT139" s="87">
        <f ca="1"/>
        <v>473.94</v>
      </c>
    </row>
    <row r="140" spans="13:46" x14ac:dyDescent="0.25">
      <c r="M140" s="42">
        <v>136</v>
      </c>
      <c r="N140" s="3" t="s">
        <v>196</v>
      </c>
      <c r="O140" s="49">
        <f t="shared" si="16"/>
        <v>37937.125</v>
      </c>
      <c r="P140" s="42">
        <v>1530.71</v>
      </c>
      <c r="Q140" s="42">
        <v>347</v>
      </c>
      <c r="R140" s="42">
        <v>1531.01</v>
      </c>
      <c r="S140" s="42">
        <v>473.94</v>
      </c>
      <c r="T140" s="42"/>
      <c r="U140" s="42"/>
      <c r="V140" s="3"/>
      <c r="W140" s="3"/>
      <c r="X140" s="3"/>
      <c r="Y140" s="3"/>
      <c r="Z140" s="3"/>
      <c r="AA140" s="3"/>
      <c r="AB140" s="3"/>
      <c r="AE140" s="42">
        <f t="shared" si="17"/>
        <v>110589</v>
      </c>
      <c r="AF140" s="42">
        <f t="shared" si="18"/>
        <v>106914.35999999999</v>
      </c>
      <c r="AG140" s="42" t="str">
        <f t="shared" si="19"/>
        <v/>
      </c>
      <c r="AH140" s="42" t="str">
        <f t="shared" si="20"/>
        <v/>
      </c>
      <c r="AI140" s="42" t="str">
        <f t="shared" si="21"/>
        <v/>
      </c>
      <c r="AJ140" s="42" t="str">
        <f t="shared" si="22"/>
        <v/>
      </c>
      <c r="AK140" s="42" t="str">
        <f t="shared" si="23"/>
        <v/>
      </c>
      <c r="AO140" s="86">
        <f ca="1"/>
        <v>37937.166666666664</v>
      </c>
      <c r="AP140" s="87">
        <f ca="1"/>
        <v>1530.7</v>
      </c>
      <c r="AQ140" s="87">
        <f ca="1"/>
        <v>1531</v>
      </c>
      <c r="AR140" s="88">
        <f ca="1"/>
        <v>37937.166666666664</v>
      </c>
      <c r="AS140" s="87">
        <f ca="1"/>
        <v>344</v>
      </c>
      <c r="AT140" s="87">
        <f ca="1"/>
        <v>469.14</v>
      </c>
    </row>
    <row r="141" spans="13:46" x14ac:dyDescent="0.25">
      <c r="M141" s="42">
        <v>137</v>
      </c>
      <c r="N141" s="3" t="s">
        <v>197</v>
      </c>
      <c r="O141" s="49">
        <f t="shared" si="16"/>
        <v>37937.166666666664</v>
      </c>
      <c r="P141" s="42">
        <v>1530.7</v>
      </c>
      <c r="Q141" s="42">
        <v>344</v>
      </c>
      <c r="R141" s="42">
        <v>1531</v>
      </c>
      <c r="S141" s="42">
        <v>469.14</v>
      </c>
      <c r="T141" s="42"/>
      <c r="U141" s="42"/>
      <c r="V141" s="3"/>
      <c r="W141" s="3"/>
      <c r="X141" s="3"/>
      <c r="Y141" s="3"/>
      <c r="Z141" s="3"/>
      <c r="AA141" s="3"/>
      <c r="AB141" s="3"/>
      <c r="AE141" s="42">
        <f t="shared" si="17"/>
        <v>110933</v>
      </c>
      <c r="AF141" s="42">
        <f t="shared" si="18"/>
        <v>107383.49999999999</v>
      </c>
      <c r="AG141" s="42" t="str">
        <f t="shared" si="19"/>
        <v/>
      </c>
      <c r="AH141" s="42" t="str">
        <f t="shared" si="20"/>
        <v/>
      </c>
      <c r="AI141" s="42" t="str">
        <f t="shared" si="21"/>
        <v/>
      </c>
      <c r="AJ141" s="42" t="str">
        <f t="shared" si="22"/>
        <v/>
      </c>
      <c r="AK141" s="42" t="str">
        <f t="shared" si="23"/>
        <v/>
      </c>
      <c r="AO141" s="86">
        <f ca="1"/>
        <v>37937.208333333336</v>
      </c>
      <c r="AP141" s="87">
        <f ca="1"/>
        <v>1530.69</v>
      </c>
      <c r="AQ141" s="87">
        <f ca="1"/>
        <v>1530.99</v>
      </c>
      <c r="AR141" s="88">
        <f ca="1"/>
        <v>37937.208333333336</v>
      </c>
      <c r="AS141" s="87">
        <f ca="1"/>
        <v>341</v>
      </c>
      <c r="AT141" s="87">
        <f ca="1"/>
        <v>466.75</v>
      </c>
    </row>
    <row r="142" spans="13:46" x14ac:dyDescent="0.25">
      <c r="M142" s="42">
        <v>138</v>
      </c>
      <c r="N142" s="3" t="s">
        <v>198</v>
      </c>
      <c r="O142" s="49">
        <f t="shared" si="16"/>
        <v>37937.208333333336</v>
      </c>
      <c r="P142" s="42">
        <v>1530.69</v>
      </c>
      <c r="Q142" s="42">
        <v>341</v>
      </c>
      <c r="R142" s="42">
        <v>1530.99</v>
      </c>
      <c r="S142" s="42">
        <v>466.75</v>
      </c>
      <c r="T142" s="42"/>
      <c r="U142" s="42"/>
      <c r="V142" s="3"/>
      <c r="W142" s="3"/>
      <c r="X142" s="3"/>
      <c r="Y142" s="3"/>
      <c r="Z142" s="3"/>
      <c r="AA142" s="3"/>
      <c r="AB142" s="3"/>
      <c r="AE142" s="42">
        <f t="shared" si="17"/>
        <v>111274</v>
      </c>
      <c r="AF142" s="42">
        <f t="shared" si="18"/>
        <v>107850.24999999999</v>
      </c>
      <c r="AG142" s="42" t="str">
        <f t="shared" si="19"/>
        <v/>
      </c>
      <c r="AH142" s="42" t="str">
        <f t="shared" si="20"/>
        <v/>
      </c>
      <c r="AI142" s="42" t="str">
        <f t="shared" si="21"/>
        <v/>
      </c>
      <c r="AJ142" s="42" t="str">
        <f t="shared" si="22"/>
        <v/>
      </c>
      <c r="AK142" s="42" t="str">
        <f t="shared" si="23"/>
        <v/>
      </c>
      <c r="AO142" s="86">
        <f ca="1"/>
        <v>37937.25</v>
      </c>
      <c r="AP142" s="87">
        <f ca="1"/>
        <v>1530.69</v>
      </c>
      <c r="AQ142" s="87">
        <f ca="1"/>
        <v>1530.98</v>
      </c>
      <c r="AR142" s="88">
        <f ca="1"/>
        <v>37937.25</v>
      </c>
      <c r="AS142" s="87">
        <f ca="1"/>
        <v>341</v>
      </c>
      <c r="AT142" s="87">
        <f ca="1"/>
        <v>462.06</v>
      </c>
    </row>
    <row r="143" spans="13:46" x14ac:dyDescent="0.25">
      <c r="M143" s="42">
        <v>139</v>
      </c>
      <c r="N143" s="3" t="s">
        <v>199</v>
      </c>
      <c r="O143" s="49">
        <f t="shared" si="16"/>
        <v>37937.25</v>
      </c>
      <c r="P143" s="42">
        <v>1530.69</v>
      </c>
      <c r="Q143" s="42">
        <v>341</v>
      </c>
      <c r="R143" s="42">
        <v>1530.98</v>
      </c>
      <c r="S143" s="42">
        <v>462.06</v>
      </c>
      <c r="T143" s="42"/>
      <c r="U143" s="42"/>
      <c r="V143" s="3"/>
      <c r="W143" s="3"/>
      <c r="X143" s="3"/>
      <c r="Y143" s="3"/>
      <c r="Z143" s="3"/>
      <c r="AA143" s="3"/>
      <c r="AB143" s="3"/>
      <c r="AE143" s="42">
        <f t="shared" si="17"/>
        <v>111615</v>
      </c>
      <c r="AF143" s="42">
        <f t="shared" si="18"/>
        <v>108312.30999999998</v>
      </c>
      <c r="AG143" s="42" t="str">
        <f t="shared" si="19"/>
        <v/>
      </c>
      <c r="AH143" s="42" t="str">
        <f t="shared" si="20"/>
        <v/>
      </c>
      <c r="AI143" s="42" t="str">
        <f t="shared" si="21"/>
        <v/>
      </c>
      <c r="AJ143" s="42" t="str">
        <f t="shared" si="22"/>
        <v/>
      </c>
      <c r="AK143" s="42" t="str">
        <f t="shared" si="23"/>
        <v/>
      </c>
      <c r="AO143" s="86">
        <f ca="1"/>
        <v>37937.291666666664</v>
      </c>
      <c r="AP143" s="87">
        <f ca="1"/>
        <v>1530.68</v>
      </c>
      <c r="AQ143" s="87">
        <f ca="1"/>
        <v>1530.98</v>
      </c>
      <c r="AR143" s="88">
        <f ca="1"/>
        <v>37937.291666666664</v>
      </c>
      <c r="AS143" s="87">
        <f ca="1"/>
        <v>338</v>
      </c>
      <c r="AT143" s="87">
        <f ca="1"/>
        <v>458.14</v>
      </c>
    </row>
    <row r="144" spans="13:46" x14ac:dyDescent="0.25">
      <c r="M144" s="42">
        <v>140</v>
      </c>
      <c r="N144" s="3" t="s">
        <v>200</v>
      </c>
      <c r="O144" s="49">
        <f t="shared" si="16"/>
        <v>37937.291666666664</v>
      </c>
      <c r="P144" s="42">
        <v>1530.68</v>
      </c>
      <c r="Q144" s="42">
        <v>338</v>
      </c>
      <c r="R144" s="42">
        <v>1530.98</v>
      </c>
      <c r="S144" s="42">
        <v>458.14</v>
      </c>
      <c r="T144" s="42"/>
      <c r="U144" s="42"/>
      <c r="V144" s="3"/>
      <c r="W144" s="3"/>
      <c r="X144" s="3"/>
      <c r="Y144" s="3"/>
      <c r="Z144" s="3"/>
      <c r="AA144" s="3"/>
      <c r="AB144" s="3"/>
      <c r="AE144" s="42">
        <f t="shared" si="17"/>
        <v>111953</v>
      </c>
      <c r="AF144" s="42">
        <f t="shared" si="18"/>
        <v>108770.44999999998</v>
      </c>
      <c r="AG144" s="42" t="str">
        <f t="shared" si="19"/>
        <v/>
      </c>
      <c r="AH144" s="42" t="str">
        <f t="shared" si="20"/>
        <v/>
      </c>
      <c r="AI144" s="42" t="str">
        <f t="shared" si="21"/>
        <v/>
      </c>
      <c r="AJ144" s="42" t="str">
        <f t="shared" si="22"/>
        <v/>
      </c>
      <c r="AK144" s="42" t="str">
        <f t="shared" si="23"/>
        <v/>
      </c>
      <c r="AO144" s="86">
        <f ca="1"/>
        <v>37937.333333333336</v>
      </c>
      <c r="AP144" s="87">
        <f ca="1"/>
        <v>1530.68</v>
      </c>
      <c r="AQ144" s="87">
        <f ca="1"/>
        <v>1530.97</v>
      </c>
      <c r="AR144" s="88">
        <f ca="1"/>
        <v>37937.333333333336</v>
      </c>
      <c r="AS144" s="87">
        <f ca="1"/>
        <v>338</v>
      </c>
      <c r="AT144" s="87">
        <f ca="1"/>
        <v>455.08</v>
      </c>
    </row>
    <row r="145" spans="13:46" x14ac:dyDescent="0.25">
      <c r="M145" s="42">
        <v>141</v>
      </c>
      <c r="N145" s="3" t="s">
        <v>201</v>
      </c>
      <c r="O145" s="49">
        <f t="shared" si="16"/>
        <v>37937.333333333336</v>
      </c>
      <c r="P145" s="42">
        <v>1530.68</v>
      </c>
      <c r="Q145" s="42">
        <v>338</v>
      </c>
      <c r="R145" s="42">
        <v>1530.97</v>
      </c>
      <c r="S145" s="42">
        <v>455.08</v>
      </c>
      <c r="T145" s="42"/>
      <c r="U145" s="42"/>
      <c r="V145" s="3"/>
      <c r="W145" s="3"/>
      <c r="X145" s="3"/>
      <c r="Y145" s="3"/>
      <c r="Z145" s="3"/>
      <c r="AA145" s="3"/>
      <c r="AB145" s="3"/>
      <c r="AE145" s="42">
        <f t="shared" si="17"/>
        <v>112291</v>
      </c>
      <c r="AF145" s="42">
        <f t="shared" si="18"/>
        <v>109225.52999999998</v>
      </c>
      <c r="AG145" s="42" t="str">
        <f t="shared" si="19"/>
        <v/>
      </c>
      <c r="AH145" s="42" t="str">
        <f t="shared" si="20"/>
        <v/>
      </c>
      <c r="AI145" s="42" t="str">
        <f t="shared" si="21"/>
        <v/>
      </c>
      <c r="AJ145" s="42" t="str">
        <f t="shared" si="22"/>
        <v/>
      </c>
      <c r="AK145" s="42" t="str">
        <f t="shared" si="23"/>
        <v/>
      </c>
      <c r="AO145" s="86">
        <f ca="1"/>
        <v>37937.375</v>
      </c>
      <c r="AP145" s="87">
        <f ca="1"/>
        <v>1530.67</v>
      </c>
      <c r="AQ145" s="87">
        <f ca="1"/>
        <v>1530.96</v>
      </c>
      <c r="AR145" s="88">
        <f ca="1"/>
        <v>37937.375</v>
      </c>
      <c r="AS145" s="87">
        <f ca="1"/>
        <v>335</v>
      </c>
      <c r="AT145" s="87">
        <f ca="1"/>
        <v>450</v>
      </c>
    </row>
    <row r="146" spans="13:46" x14ac:dyDescent="0.25">
      <c r="M146" s="42">
        <v>142</v>
      </c>
      <c r="N146" s="3" t="s">
        <v>202</v>
      </c>
      <c r="O146" s="49">
        <f t="shared" si="16"/>
        <v>37937.375</v>
      </c>
      <c r="P146" s="42">
        <v>1530.67</v>
      </c>
      <c r="Q146" s="42">
        <v>335</v>
      </c>
      <c r="R146" s="42">
        <v>1530.96</v>
      </c>
      <c r="S146" s="42">
        <v>450</v>
      </c>
      <c r="T146" s="42"/>
      <c r="U146" s="42"/>
      <c r="V146" s="3"/>
      <c r="W146" s="3"/>
      <c r="X146" s="3"/>
      <c r="Y146" s="3"/>
      <c r="Z146" s="3"/>
      <c r="AA146" s="3"/>
      <c r="AB146" s="3"/>
      <c r="AE146" s="42">
        <f t="shared" si="17"/>
        <v>112626</v>
      </c>
      <c r="AF146" s="42">
        <f t="shared" si="18"/>
        <v>109675.52999999998</v>
      </c>
      <c r="AG146" s="42" t="str">
        <f t="shared" si="19"/>
        <v/>
      </c>
      <c r="AH146" s="42" t="str">
        <f t="shared" si="20"/>
        <v/>
      </c>
      <c r="AI146" s="42" t="str">
        <f t="shared" si="21"/>
        <v/>
      </c>
      <c r="AJ146" s="42" t="str">
        <f t="shared" si="22"/>
        <v/>
      </c>
      <c r="AK146" s="42" t="str">
        <f t="shared" si="23"/>
        <v/>
      </c>
      <c r="AO146" s="86">
        <f ca="1"/>
        <v>37937.416666666664</v>
      </c>
      <c r="AP146" s="87">
        <f ca="1"/>
        <v>1530.67</v>
      </c>
      <c r="AQ146" s="87">
        <f ca="1"/>
        <v>1530.95</v>
      </c>
      <c r="AR146" s="88">
        <f ca="1"/>
        <v>37937.416666666664</v>
      </c>
      <c r="AS146" s="87">
        <f ca="1"/>
        <v>335</v>
      </c>
      <c r="AT146" s="87">
        <f ca="1"/>
        <v>447.72</v>
      </c>
    </row>
    <row r="147" spans="13:46" x14ac:dyDescent="0.25">
      <c r="M147" s="42">
        <v>143</v>
      </c>
      <c r="N147" s="3" t="s">
        <v>203</v>
      </c>
      <c r="O147" s="49">
        <f t="shared" si="16"/>
        <v>37937.416666666664</v>
      </c>
      <c r="P147" s="42">
        <v>1530.67</v>
      </c>
      <c r="Q147" s="42">
        <v>335</v>
      </c>
      <c r="R147" s="42">
        <v>1530.95</v>
      </c>
      <c r="S147" s="42">
        <v>447.72</v>
      </c>
      <c r="T147" s="42"/>
      <c r="U147" s="42"/>
      <c r="V147" s="3"/>
      <c r="W147" s="3"/>
      <c r="X147" s="3"/>
      <c r="Y147" s="3"/>
      <c r="Z147" s="3"/>
      <c r="AA147" s="3"/>
      <c r="AB147" s="3"/>
      <c r="AE147" s="42">
        <f t="shared" si="17"/>
        <v>112961</v>
      </c>
      <c r="AF147" s="42">
        <f t="shared" si="18"/>
        <v>110123.24999999999</v>
      </c>
      <c r="AG147" s="42" t="str">
        <f t="shared" si="19"/>
        <v/>
      </c>
      <c r="AH147" s="42" t="str">
        <f t="shared" si="20"/>
        <v/>
      </c>
      <c r="AI147" s="42" t="str">
        <f t="shared" si="21"/>
        <v/>
      </c>
      <c r="AJ147" s="42" t="str">
        <f t="shared" si="22"/>
        <v/>
      </c>
      <c r="AK147" s="42" t="str">
        <f t="shared" si="23"/>
        <v/>
      </c>
      <c r="AO147" s="86">
        <f ca="1"/>
        <v>37937.458333333336</v>
      </c>
      <c r="AP147" s="87">
        <f ca="1"/>
        <v>1530.66</v>
      </c>
      <c r="AQ147" s="87">
        <f ca="1"/>
        <v>1530.94</v>
      </c>
      <c r="AR147" s="88">
        <f ca="1"/>
        <v>37937.458333333336</v>
      </c>
      <c r="AS147" s="87">
        <f ca="1"/>
        <v>332</v>
      </c>
      <c r="AT147" s="87">
        <f ca="1"/>
        <v>444.47</v>
      </c>
    </row>
    <row r="148" spans="13:46" x14ac:dyDescent="0.25">
      <c r="M148" s="42">
        <v>144</v>
      </c>
      <c r="N148" s="3" t="s">
        <v>204</v>
      </c>
      <c r="O148" s="49">
        <f t="shared" si="16"/>
        <v>37937.458333333336</v>
      </c>
      <c r="P148" s="42">
        <v>1530.66</v>
      </c>
      <c r="Q148" s="42">
        <v>332</v>
      </c>
      <c r="R148" s="42">
        <v>1530.94</v>
      </c>
      <c r="S148" s="42">
        <v>444.47</v>
      </c>
      <c r="T148" s="42"/>
      <c r="U148" s="42"/>
      <c r="V148" s="3"/>
      <c r="W148" s="3"/>
      <c r="X148" s="3"/>
      <c r="Y148" s="3"/>
      <c r="Z148" s="3"/>
      <c r="AA148" s="3"/>
      <c r="AB148" s="3"/>
      <c r="AE148" s="42">
        <f t="shared" si="17"/>
        <v>113293</v>
      </c>
      <c r="AF148" s="42">
        <f t="shared" si="18"/>
        <v>110567.71999999999</v>
      </c>
      <c r="AG148" s="42" t="str">
        <f t="shared" si="19"/>
        <v/>
      </c>
      <c r="AH148" s="42" t="str">
        <f t="shared" si="20"/>
        <v/>
      </c>
      <c r="AI148" s="42" t="str">
        <f t="shared" si="21"/>
        <v/>
      </c>
      <c r="AJ148" s="42" t="str">
        <f t="shared" si="22"/>
        <v/>
      </c>
      <c r="AK148" s="42" t="str">
        <f t="shared" si="23"/>
        <v/>
      </c>
      <c r="AO148" s="86">
        <f ca="1"/>
        <v>37937.5</v>
      </c>
      <c r="AP148" s="87">
        <f ca="1"/>
        <v>1530.65</v>
      </c>
      <c r="AQ148" s="87">
        <f ca="1"/>
        <v>1530.94</v>
      </c>
      <c r="AR148" s="88">
        <f ca="1"/>
        <v>37937.5</v>
      </c>
      <c r="AS148" s="87">
        <f ca="1"/>
        <v>330</v>
      </c>
      <c r="AT148" s="87">
        <f ca="1"/>
        <v>441.8</v>
      </c>
    </row>
    <row r="149" spans="13:46" x14ac:dyDescent="0.25">
      <c r="M149" s="42">
        <v>145</v>
      </c>
      <c r="N149" s="3" t="s">
        <v>205</v>
      </c>
      <c r="O149" s="49">
        <f t="shared" si="16"/>
        <v>37937.5</v>
      </c>
      <c r="P149" s="42">
        <v>1530.65</v>
      </c>
      <c r="Q149" s="42">
        <v>330</v>
      </c>
      <c r="R149" s="42">
        <v>1530.94</v>
      </c>
      <c r="S149" s="42">
        <v>441.8</v>
      </c>
      <c r="T149" s="42"/>
      <c r="U149" s="42"/>
      <c r="V149" s="3"/>
      <c r="W149" s="3"/>
      <c r="X149" s="3"/>
      <c r="Y149" s="3"/>
      <c r="Z149" s="3"/>
      <c r="AA149" s="3"/>
      <c r="AB149" s="3"/>
      <c r="AE149" s="42">
        <f t="shared" si="17"/>
        <v>113623</v>
      </c>
      <c r="AF149" s="42">
        <f t="shared" si="18"/>
        <v>111009.51999999999</v>
      </c>
      <c r="AG149" s="42" t="str">
        <f t="shared" si="19"/>
        <v/>
      </c>
      <c r="AH149" s="42" t="str">
        <f t="shared" si="20"/>
        <v/>
      </c>
      <c r="AI149" s="42" t="str">
        <f t="shared" si="21"/>
        <v/>
      </c>
      <c r="AJ149" s="42" t="str">
        <f t="shared" si="22"/>
        <v/>
      </c>
      <c r="AK149" s="42" t="str">
        <f t="shared" si="23"/>
        <v/>
      </c>
      <c r="AO149" s="86">
        <f ca="1"/>
        <v>37937.541666666664</v>
      </c>
      <c r="AP149" s="87">
        <f ca="1"/>
        <v>1530.65</v>
      </c>
      <c r="AQ149" s="87">
        <f ca="1"/>
        <v>1530.93</v>
      </c>
      <c r="AR149" s="88">
        <f ca="1"/>
        <v>37937.541666666664</v>
      </c>
      <c r="AS149" s="87">
        <f ca="1"/>
        <v>330</v>
      </c>
      <c r="AT149" s="87">
        <f ca="1"/>
        <v>436.95</v>
      </c>
    </row>
    <row r="150" spans="13:46" x14ac:dyDescent="0.25">
      <c r="M150" s="42">
        <v>146</v>
      </c>
      <c r="N150" s="3" t="s">
        <v>206</v>
      </c>
      <c r="O150" s="49">
        <f t="shared" si="16"/>
        <v>37937.541666666664</v>
      </c>
      <c r="P150" s="42">
        <v>1530.65</v>
      </c>
      <c r="Q150" s="42">
        <v>330</v>
      </c>
      <c r="R150" s="42">
        <v>1530.93</v>
      </c>
      <c r="S150" s="42">
        <v>436.95</v>
      </c>
      <c r="T150" s="42"/>
      <c r="U150" s="42"/>
      <c r="V150" s="3"/>
      <c r="W150" s="3"/>
      <c r="X150" s="3"/>
      <c r="Y150" s="3"/>
      <c r="Z150" s="3"/>
      <c r="AA150" s="3"/>
      <c r="AB150" s="3"/>
      <c r="AE150" s="42">
        <f t="shared" si="17"/>
        <v>113953</v>
      </c>
      <c r="AF150" s="42">
        <f t="shared" si="18"/>
        <v>111446.46999999999</v>
      </c>
      <c r="AG150" s="42" t="str">
        <f t="shared" si="19"/>
        <v/>
      </c>
      <c r="AH150" s="42" t="str">
        <f t="shared" si="20"/>
        <v/>
      </c>
      <c r="AI150" s="42" t="str">
        <f t="shared" si="21"/>
        <v/>
      </c>
      <c r="AJ150" s="42" t="str">
        <f t="shared" si="22"/>
        <v/>
      </c>
      <c r="AK150" s="42" t="str">
        <f t="shared" si="23"/>
        <v/>
      </c>
      <c r="AO150" s="86">
        <f ca="1"/>
        <v>37937.583333333336</v>
      </c>
      <c r="AP150" s="87">
        <f ca="1"/>
        <v>1530.64</v>
      </c>
      <c r="AQ150" s="87">
        <f ca="1"/>
        <v>1530.92</v>
      </c>
      <c r="AR150" s="88">
        <f ca="1"/>
        <v>37937.583333333336</v>
      </c>
      <c r="AS150" s="87">
        <f ca="1"/>
        <v>327</v>
      </c>
      <c r="AT150" s="87">
        <f ca="1"/>
        <v>433.95</v>
      </c>
    </row>
    <row r="151" spans="13:46" x14ac:dyDescent="0.25">
      <c r="M151" s="42">
        <v>147</v>
      </c>
      <c r="N151" s="3" t="s">
        <v>207</v>
      </c>
      <c r="O151" s="49">
        <f t="shared" si="16"/>
        <v>37937.583333333336</v>
      </c>
      <c r="P151" s="42">
        <v>1530.64</v>
      </c>
      <c r="Q151" s="42">
        <v>327</v>
      </c>
      <c r="R151" s="42">
        <v>1530.92</v>
      </c>
      <c r="S151" s="42">
        <v>433.95</v>
      </c>
      <c r="T151" s="42"/>
      <c r="U151" s="42"/>
      <c r="V151" s="3"/>
      <c r="W151" s="3"/>
      <c r="X151" s="3"/>
      <c r="Y151" s="3"/>
      <c r="Z151" s="3"/>
      <c r="AA151" s="3"/>
      <c r="AB151" s="3"/>
      <c r="AE151" s="42">
        <f t="shared" si="17"/>
        <v>114280</v>
      </c>
      <c r="AF151" s="42">
        <f t="shared" si="18"/>
        <v>111880.41999999998</v>
      </c>
      <c r="AG151" s="42" t="str">
        <f t="shared" si="19"/>
        <v/>
      </c>
      <c r="AH151" s="42" t="str">
        <f t="shared" si="20"/>
        <v/>
      </c>
      <c r="AI151" s="42" t="str">
        <f t="shared" si="21"/>
        <v/>
      </c>
      <c r="AJ151" s="42" t="str">
        <f t="shared" si="22"/>
        <v/>
      </c>
      <c r="AK151" s="42" t="str">
        <f t="shared" si="23"/>
        <v/>
      </c>
      <c r="AO151" s="86">
        <f ca="1"/>
        <v>37937.625</v>
      </c>
      <c r="AP151" s="87">
        <f ca="1"/>
        <v>1530.63</v>
      </c>
      <c r="AQ151" s="87">
        <f ca="1"/>
        <v>1530.91</v>
      </c>
      <c r="AR151" s="88">
        <f ca="1"/>
        <v>37937.625</v>
      </c>
      <c r="AS151" s="87">
        <f ca="1"/>
        <v>324</v>
      </c>
      <c r="AT151" s="87">
        <f ca="1"/>
        <v>430.11</v>
      </c>
    </row>
    <row r="152" spans="13:46" x14ac:dyDescent="0.25">
      <c r="M152" s="42">
        <v>148</v>
      </c>
      <c r="N152" s="3" t="s">
        <v>208</v>
      </c>
      <c r="O152" s="49">
        <f t="shared" si="16"/>
        <v>37937.625</v>
      </c>
      <c r="P152" s="42">
        <v>1530.63</v>
      </c>
      <c r="Q152" s="42">
        <v>324</v>
      </c>
      <c r="R152" s="42">
        <v>1530.91</v>
      </c>
      <c r="S152" s="42">
        <v>430.11</v>
      </c>
      <c r="T152" s="42"/>
      <c r="U152" s="42"/>
      <c r="V152" s="3"/>
      <c r="W152" s="3"/>
      <c r="X152" s="3"/>
      <c r="Y152" s="3"/>
      <c r="Z152" s="3"/>
      <c r="AA152" s="3"/>
      <c r="AB152" s="3"/>
      <c r="AE152" s="42">
        <f t="shared" si="17"/>
        <v>114604</v>
      </c>
      <c r="AF152" s="42">
        <f t="shared" si="18"/>
        <v>112310.52999999998</v>
      </c>
      <c r="AG152" s="42" t="str">
        <f t="shared" si="19"/>
        <v/>
      </c>
      <c r="AH152" s="42" t="str">
        <f t="shared" si="20"/>
        <v/>
      </c>
      <c r="AI152" s="42" t="str">
        <f t="shared" si="21"/>
        <v/>
      </c>
      <c r="AJ152" s="42" t="str">
        <f t="shared" si="22"/>
        <v/>
      </c>
      <c r="AK152" s="42" t="str">
        <f t="shared" si="23"/>
        <v/>
      </c>
      <c r="AO152" s="86">
        <f ca="1"/>
        <v>37937.666666666664</v>
      </c>
      <c r="AP152" s="87">
        <f ca="1"/>
        <v>1530.63</v>
      </c>
      <c r="AQ152" s="87">
        <f ca="1"/>
        <v>1530.9</v>
      </c>
      <c r="AR152" s="88">
        <f ca="1"/>
        <v>37937.666666666664</v>
      </c>
      <c r="AS152" s="87">
        <f ca="1"/>
        <v>324</v>
      </c>
      <c r="AT152" s="87">
        <f ca="1"/>
        <v>426.52</v>
      </c>
    </row>
    <row r="153" spans="13:46" x14ac:dyDescent="0.25">
      <c r="M153" s="42">
        <v>149</v>
      </c>
      <c r="N153" s="3" t="s">
        <v>209</v>
      </c>
      <c r="O153" s="49">
        <f t="shared" si="16"/>
        <v>37937.666666666664</v>
      </c>
      <c r="P153" s="42">
        <v>1530.63</v>
      </c>
      <c r="Q153" s="42">
        <v>324</v>
      </c>
      <c r="R153" s="42">
        <v>1530.9</v>
      </c>
      <c r="S153" s="42">
        <v>426.52</v>
      </c>
      <c r="T153" s="42"/>
      <c r="U153" s="42"/>
      <c r="V153" s="3"/>
      <c r="W153" s="3"/>
      <c r="X153" s="3"/>
      <c r="Y153" s="3"/>
      <c r="Z153" s="3"/>
      <c r="AA153" s="3"/>
      <c r="AB153" s="3"/>
      <c r="AE153" s="42">
        <f t="shared" si="17"/>
        <v>114928</v>
      </c>
      <c r="AF153" s="42">
        <f t="shared" si="18"/>
        <v>112737.04999999999</v>
      </c>
      <c r="AG153" s="42" t="str">
        <f t="shared" si="19"/>
        <v/>
      </c>
      <c r="AH153" s="42" t="str">
        <f t="shared" si="20"/>
        <v/>
      </c>
      <c r="AI153" s="42" t="str">
        <f t="shared" si="21"/>
        <v/>
      </c>
      <c r="AJ153" s="42" t="str">
        <f t="shared" si="22"/>
        <v/>
      </c>
      <c r="AK153" s="42" t="str">
        <f t="shared" si="23"/>
        <v/>
      </c>
      <c r="AO153" s="86">
        <f ca="1"/>
        <v>37937.708333333336</v>
      </c>
      <c r="AP153" s="87">
        <f ca="1"/>
        <v>1530.62</v>
      </c>
      <c r="AQ153" s="87">
        <f ca="1"/>
        <v>1530.89</v>
      </c>
      <c r="AR153" s="88">
        <f ca="1"/>
        <v>37937.708333333336</v>
      </c>
      <c r="AS153" s="87">
        <f ca="1"/>
        <v>321</v>
      </c>
      <c r="AT153" s="87">
        <f ca="1"/>
        <v>423.14</v>
      </c>
    </row>
    <row r="154" spans="13:46" x14ac:dyDescent="0.25">
      <c r="M154" s="42">
        <v>150</v>
      </c>
      <c r="N154" s="3" t="s">
        <v>210</v>
      </c>
      <c r="O154" s="49">
        <f t="shared" si="16"/>
        <v>37937.708333333336</v>
      </c>
      <c r="P154" s="42">
        <v>1530.62</v>
      </c>
      <c r="Q154" s="42">
        <v>321</v>
      </c>
      <c r="R154" s="42">
        <v>1530.89</v>
      </c>
      <c r="S154" s="42">
        <v>423.14</v>
      </c>
      <c r="T154" s="42"/>
      <c r="U154" s="42"/>
      <c r="V154" s="3"/>
      <c r="W154" s="3"/>
      <c r="X154" s="3"/>
      <c r="Y154" s="3"/>
      <c r="Z154" s="3"/>
      <c r="AA154" s="3"/>
      <c r="AB154" s="3"/>
      <c r="AE154" s="42">
        <f t="shared" si="17"/>
        <v>115249</v>
      </c>
      <c r="AF154" s="42">
        <f t="shared" si="18"/>
        <v>113160.18999999999</v>
      </c>
      <c r="AG154" s="42" t="str">
        <f t="shared" si="19"/>
        <v/>
      </c>
      <c r="AH154" s="42" t="str">
        <f t="shared" si="20"/>
        <v/>
      </c>
      <c r="AI154" s="42" t="str">
        <f t="shared" si="21"/>
        <v/>
      </c>
      <c r="AJ154" s="42" t="str">
        <f t="shared" si="22"/>
        <v/>
      </c>
      <c r="AK154" s="42" t="str">
        <f t="shared" si="23"/>
        <v/>
      </c>
      <c r="AO154" s="86">
        <f ca="1"/>
        <v>37937.75</v>
      </c>
      <c r="AP154" s="87">
        <f ca="1"/>
        <v>1530.61</v>
      </c>
      <c r="AQ154" s="87">
        <f ca="1"/>
        <v>1530.89</v>
      </c>
      <c r="AR154" s="88">
        <f ca="1"/>
        <v>37937.75</v>
      </c>
      <c r="AS154" s="87">
        <f ca="1"/>
        <v>319</v>
      </c>
      <c r="AT154" s="87">
        <f ca="1"/>
        <v>419.8</v>
      </c>
    </row>
    <row r="155" spans="13:46" x14ac:dyDescent="0.25">
      <c r="M155" s="42">
        <v>151</v>
      </c>
      <c r="N155" s="3" t="s">
        <v>211</v>
      </c>
      <c r="O155" s="49">
        <f t="shared" si="16"/>
        <v>37937.75</v>
      </c>
      <c r="P155" s="42">
        <v>1530.61</v>
      </c>
      <c r="Q155" s="42">
        <v>319</v>
      </c>
      <c r="R155" s="42">
        <v>1530.89</v>
      </c>
      <c r="S155" s="42">
        <v>419.8</v>
      </c>
      <c r="T155" s="42"/>
      <c r="U155" s="42"/>
      <c r="V155" s="3"/>
      <c r="W155" s="3"/>
      <c r="X155" s="3"/>
      <c r="Y155" s="3"/>
      <c r="Z155" s="3"/>
      <c r="AA155" s="3"/>
      <c r="AB155" s="3"/>
      <c r="AE155" s="42">
        <f t="shared" si="17"/>
        <v>115568</v>
      </c>
      <c r="AF155" s="42">
        <f t="shared" si="18"/>
        <v>113579.98999999999</v>
      </c>
      <c r="AG155" s="42" t="str">
        <f t="shared" si="19"/>
        <v/>
      </c>
      <c r="AH155" s="42" t="str">
        <f t="shared" si="20"/>
        <v/>
      </c>
      <c r="AI155" s="42" t="str">
        <f t="shared" si="21"/>
        <v/>
      </c>
      <c r="AJ155" s="42" t="str">
        <f t="shared" si="22"/>
        <v/>
      </c>
      <c r="AK155" s="42" t="str">
        <f t="shared" si="23"/>
        <v/>
      </c>
      <c r="AO155" s="86">
        <f ca="1"/>
        <v>37937.791666666664</v>
      </c>
      <c r="AP155" s="87">
        <f ca="1"/>
        <v>1530.61</v>
      </c>
      <c r="AQ155" s="87">
        <f ca="1"/>
        <v>1530.88</v>
      </c>
      <c r="AR155" s="88">
        <f ca="1"/>
        <v>37937.791666666664</v>
      </c>
      <c r="AS155" s="87">
        <f ca="1"/>
        <v>319</v>
      </c>
      <c r="AT155" s="87">
        <f ca="1"/>
        <v>416.32</v>
      </c>
    </row>
    <row r="156" spans="13:46" x14ac:dyDescent="0.25">
      <c r="M156" s="42">
        <v>152</v>
      </c>
      <c r="N156" s="3" t="s">
        <v>212</v>
      </c>
      <c r="O156" s="49">
        <f t="shared" si="16"/>
        <v>37937.791666666664</v>
      </c>
      <c r="P156" s="42">
        <v>1530.61</v>
      </c>
      <c r="Q156" s="42">
        <v>319</v>
      </c>
      <c r="R156" s="42">
        <v>1530.88</v>
      </c>
      <c r="S156" s="42">
        <v>416.32</v>
      </c>
      <c r="T156" s="42"/>
      <c r="U156" s="42"/>
      <c r="V156" s="3"/>
      <c r="W156" s="3"/>
      <c r="X156" s="3"/>
      <c r="Y156" s="3"/>
      <c r="Z156" s="3"/>
      <c r="AA156" s="3"/>
      <c r="AB156" s="3"/>
      <c r="AE156" s="42">
        <f t="shared" si="17"/>
        <v>115887</v>
      </c>
      <c r="AF156" s="42">
        <f t="shared" si="18"/>
        <v>113996.31</v>
      </c>
      <c r="AG156" s="42" t="str">
        <f t="shared" si="19"/>
        <v/>
      </c>
      <c r="AH156" s="42" t="str">
        <f t="shared" si="20"/>
        <v/>
      </c>
      <c r="AI156" s="42" t="str">
        <f t="shared" si="21"/>
        <v/>
      </c>
      <c r="AJ156" s="42" t="str">
        <f t="shared" si="22"/>
        <v/>
      </c>
      <c r="AK156" s="42" t="str">
        <f t="shared" si="23"/>
        <v/>
      </c>
      <c r="AO156" s="86">
        <f ca="1"/>
        <v>37937.833333333336</v>
      </c>
      <c r="AP156" s="87">
        <f ca="1"/>
        <v>1530.61</v>
      </c>
      <c r="AQ156" s="87">
        <f ca="1"/>
        <v>1530.87</v>
      </c>
      <c r="AR156" s="88">
        <f ca="1"/>
        <v>37937.833333333336</v>
      </c>
      <c r="AS156" s="87">
        <f ca="1"/>
        <v>319</v>
      </c>
      <c r="AT156" s="87">
        <f ca="1"/>
        <v>413.63</v>
      </c>
    </row>
    <row r="157" spans="13:46" x14ac:dyDescent="0.25">
      <c r="M157" s="42">
        <v>153</v>
      </c>
      <c r="N157" s="3" t="s">
        <v>213</v>
      </c>
      <c r="O157" s="49">
        <f t="shared" si="16"/>
        <v>37937.833333333336</v>
      </c>
      <c r="P157" s="42">
        <v>1530.61</v>
      </c>
      <c r="Q157" s="42">
        <v>319</v>
      </c>
      <c r="R157" s="42">
        <v>1530.87</v>
      </c>
      <c r="S157" s="42">
        <v>413.63</v>
      </c>
      <c r="T157" s="42"/>
      <c r="U157" s="42"/>
      <c r="V157" s="3"/>
      <c r="W157" s="3"/>
      <c r="X157" s="3"/>
      <c r="Y157" s="3"/>
      <c r="Z157" s="3"/>
      <c r="AA157" s="3"/>
      <c r="AB157" s="3"/>
      <c r="AE157" s="42">
        <f t="shared" si="17"/>
        <v>116206</v>
      </c>
      <c r="AF157" s="42">
        <f t="shared" si="18"/>
        <v>114409.94</v>
      </c>
      <c r="AG157" s="42" t="str">
        <f t="shared" si="19"/>
        <v/>
      </c>
      <c r="AH157" s="42" t="str">
        <f t="shared" si="20"/>
        <v/>
      </c>
      <c r="AI157" s="42" t="str">
        <f t="shared" si="21"/>
        <v/>
      </c>
      <c r="AJ157" s="42" t="str">
        <f t="shared" si="22"/>
        <v/>
      </c>
      <c r="AK157" s="42" t="str">
        <f t="shared" si="23"/>
        <v/>
      </c>
      <c r="AO157" s="86">
        <f ca="1"/>
        <v>37937.875</v>
      </c>
      <c r="AP157" s="87">
        <f ca="1"/>
        <v>1530.62</v>
      </c>
      <c r="AQ157" s="87">
        <f ca="1"/>
        <v>1530.87</v>
      </c>
      <c r="AR157" s="88">
        <f ca="1"/>
        <v>37937.875</v>
      </c>
      <c r="AS157" s="87">
        <f ca="1"/>
        <v>321</v>
      </c>
      <c r="AT157" s="87">
        <f ca="1"/>
        <v>411.35</v>
      </c>
    </row>
    <row r="158" spans="13:46" x14ac:dyDescent="0.25">
      <c r="M158" s="42">
        <v>154</v>
      </c>
      <c r="N158" s="3" t="s">
        <v>214</v>
      </c>
      <c r="O158" s="49">
        <f t="shared" si="16"/>
        <v>37937.875</v>
      </c>
      <c r="P158" s="42">
        <v>1530.62</v>
      </c>
      <c r="Q158" s="42">
        <v>321</v>
      </c>
      <c r="R158" s="42">
        <v>1530.87</v>
      </c>
      <c r="S158" s="42">
        <v>411.35</v>
      </c>
      <c r="T158" s="42"/>
      <c r="U158" s="42"/>
      <c r="V158" s="3"/>
      <c r="W158" s="3"/>
      <c r="X158" s="3"/>
      <c r="Y158" s="3"/>
      <c r="Z158" s="3"/>
      <c r="AA158" s="3"/>
      <c r="AB158" s="3"/>
      <c r="AE158" s="42">
        <f t="shared" si="17"/>
        <v>116527</v>
      </c>
      <c r="AF158" s="42">
        <f t="shared" si="18"/>
        <v>114821.29000000001</v>
      </c>
      <c r="AG158" s="42" t="str">
        <f t="shared" si="19"/>
        <v/>
      </c>
      <c r="AH158" s="42" t="str">
        <f t="shared" si="20"/>
        <v/>
      </c>
      <c r="AI158" s="42" t="str">
        <f t="shared" si="21"/>
        <v/>
      </c>
      <c r="AJ158" s="42" t="str">
        <f t="shared" si="22"/>
        <v/>
      </c>
      <c r="AK158" s="42" t="str">
        <f t="shared" si="23"/>
        <v/>
      </c>
      <c r="AO158" s="86">
        <f ca="1"/>
        <v>37937.916666666664</v>
      </c>
      <c r="AP158" s="87">
        <f ca="1"/>
        <v>1530.62</v>
      </c>
      <c r="AQ158" s="87">
        <f ca="1"/>
        <v>1530.86</v>
      </c>
      <c r="AR158" s="88">
        <f ca="1"/>
        <v>37937.916666666664</v>
      </c>
      <c r="AS158" s="87">
        <f ca="1"/>
        <v>321</v>
      </c>
      <c r="AT158" s="87">
        <f ca="1"/>
        <v>408.28</v>
      </c>
    </row>
    <row r="159" spans="13:46" x14ac:dyDescent="0.25">
      <c r="M159" s="42">
        <v>155</v>
      </c>
      <c r="N159" s="3" t="s">
        <v>215</v>
      </c>
      <c r="O159" s="49">
        <f t="shared" si="16"/>
        <v>37937.916666666664</v>
      </c>
      <c r="P159" s="42">
        <v>1530.62</v>
      </c>
      <c r="Q159" s="42">
        <v>321</v>
      </c>
      <c r="R159" s="42">
        <v>1530.86</v>
      </c>
      <c r="S159" s="42">
        <v>408.28</v>
      </c>
      <c r="T159" s="42"/>
      <c r="U159" s="42"/>
      <c r="V159" s="3"/>
      <c r="W159" s="3"/>
      <c r="X159" s="3"/>
      <c r="Y159" s="3"/>
      <c r="Z159" s="3"/>
      <c r="AA159" s="3"/>
      <c r="AB159" s="3"/>
      <c r="AE159" s="42">
        <f t="shared" si="17"/>
        <v>116848</v>
      </c>
      <c r="AF159" s="42">
        <f t="shared" si="18"/>
        <v>115229.57</v>
      </c>
      <c r="AG159" s="42" t="str">
        <f t="shared" si="19"/>
        <v/>
      </c>
      <c r="AH159" s="42" t="str">
        <f t="shared" si="20"/>
        <v/>
      </c>
      <c r="AI159" s="42" t="str">
        <f t="shared" si="21"/>
        <v/>
      </c>
      <c r="AJ159" s="42" t="str">
        <f t="shared" si="22"/>
        <v/>
      </c>
      <c r="AK159" s="42" t="str">
        <f t="shared" si="23"/>
        <v/>
      </c>
      <c r="AO159" s="86">
        <f ca="1"/>
        <v>37937.958333333336</v>
      </c>
      <c r="AP159" s="87">
        <f ca="1"/>
        <v>1530.63</v>
      </c>
      <c r="AQ159" s="87">
        <f ca="1"/>
        <v>1530.85</v>
      </c>
      <c r="AR159" s="88">
        <f ca="1"/>
        <v>37937.958333333336</v>
      </c>
      <c r="AS159" s="87">
        <f ca="1"/>
        <v>324</v>
      </c>
      <c r="AT159" s="87">
        <f ca="1"/>
        <v>405.07</v>
      </c>
    </row>
    <row r="160" spans="13:46" x14ac:dyDescent="0.25">
      <c r="M160" s="42">
        <v>156</v>
      </c>
      <c r="N160" s="3" t="s">
        <v>216</v>
      </c>
      <c r="O160" s="49">
        <f t="shared" si="16"/>
        <v>37937.958333333336</v>
      </c>
      <c r="P160" s="42">
        <v>1530.63</v>
      </c>
      <c r="Q160" s="42">
        <v>324</v>
      </c>
      <c r="R160" s="42">
        <v>1530.85</v>
      </c>
      <c r="S160" s="42">
        <v>405.07</v>
      </c>
      <c r="T160" s="42"/>
      <c r="U160" s="42"/>
      <c r="V160" s="3"/>
      <c r="W160" s="3"/>
      <c r="X160" s="3"/>
      <c r="Y160" s="3"/>
      <c r="Z160" s="3"/>
      <c r="AA160" s="3"/>
      <c r="AB160" s="3"/>
      <c r="AE160" s="42">
        <f t="shared" si="17"/>
        <v>117172</v>
      </c>
      <c r="AF160" s="42">
        <f t="shared" si="18"/>
        <v>115634.64000000001</v>
      </c>
      <c r="AG160" s="42" t="str">
        <f t="shared" si="19"/>
        <v/>
      </c>
      <c r="AH160" s="42" t="str">
        <f t="shared" si="20"/>
        <v/>
      </c>
      <c r="AI160" s="42" t="str">
        <f t="shared" si="21"/>
        <v/>
      </c>
      <c r="AJ160" s="42" t="str">
        <f t="shared" si="22"/>
        <v/>
      </c>
      <c r="AK160" s="42" t="str">
        <f t="shared" si="23"/>
        <v/>
      </c>
      <c r="AO160" s="86">
        <f ca="1"/>
        <v>37938</v>
      </c>
      <c r="AP160" s="87">
        <f ca="1"/>
        <v>1530.63</v>
      </c>
      <c r="AQ160" s="87">
        <f ca="1"/>
        <v>1530.85</v>
      </c>
      <c r="AR160" s="88">
        <f ca="1"/>
        <v>37938</v>
      </c>
      <c r="AS160" s="87">
        <f ca="1"/>
        <v>324</v>
      </c>
      <c r="AT160" s="87">
        <f ca="1"/>
        <v>403.76</v>
      </c>
    </row>
    <row r="161" spans="13:46" x14ac:dyDescent="0.25">
      <c r="M161" s="42">
        <v>157</v>
      </c>
      <c r="N161" s="3" t="s">
        <v>217</v>
      </c>
      <c r="O161" s="49">
        <f t="shared" si="16"/>
        <v>37938</v>
      </c>
      <c r="P161" s="42">
        <v>1530.63</v>
      </c>
      <c r="Q161" s="42">
        <v>324</v>
      </c>
      <c r="R161" s="42">
        <v>1530.85</v>
      </c>
      <c r="S161" s="42">
        <v>403.76</v>
      </c>
      <c r="T161" s="42"/>
      <c r="U161" s="42"/>
      <c r="V161" s="3"/>
      <c r="W161" s="3"/>
      <c r="X161" s="3"/>
      <c r="Y161" s="3"/>
      <c r="Z161" s="3"/>
      <c r="AA161" s="3"/>
      <c r="AB161" s="3"/>
      <c r="AE161" s="42">
        <f t="shared" si="17"/>
        <v>117496</v>
      </c>
      <c r="AF161" s="42">
        <f t="shared" si="18"/>
        <v>116038.40000000001</v>
      </c>
      <c r="AG161" s="42" t="str">
        <f t="shared" si="19"/>
        <v/>
      </c>
      <c r="AH161" s="42" t="str">
        <f t="shared" si="20"/>
        <v/>
      </c>
      <c r="AI161" s="42" t="str">
        <f t="shared" si="21"/>
        <v/>
      </c>
      <c r="AJ161" s="42" t="str">
        <f t="shared" si="22"/>
        <v/>
      </c>
      <c r="AK161" s="42" t="str">
        <f t="shared" si="23"/>
        <v/>
      </c>
      <c r="AO161" s="86">
        <f ca="1"/>
        <v>37938.041666666664</v>
      </c>
      <c r="AP161" s="87">
        <f ca="1"/>
        <v>1530.69</v>
      </c>
      <c r="AQ161" s="87">
        <f ca="1"/>
        <v>1531</v>
      </c>
      <c r="AR161" s="88">
        <f ca="1"/>
        <v>37938.041666666664</v>
      </c>
      <c r="AS161" s="87">
        <f ca="1"/>
        <v>341</v>
      </c>
      <c r="AT161" s="87">
        <f ca="1"/>
        <v>467.18</v>
      </c>
    </row>
    <row r="162" spans="13:46" x14ac:dyDescent="0.25">
      <c r="M162" s="42">
        <v>158</v>
      </c>
      <c r="N162" s="3" t="s">
        <v>218</v>
      </c>
      <c r="O162" s="49">
        <f t="shared" si="16"/>
        <v>37938.041666666664</v>
      </c>
      <c r="P162" s="42">
        <v>1530.69</v>
      </c>
      <c r="Q162" s="42">
        <v>341</v>
      </c>
      <c r="R162" s="42">
        <v>1531</v>
      </c>
      <c r="S162" s="42">
        <v>467.18</v>
      </c>
      <c r="T162" s="42"/>
      <c r="U162" s="42"/>
      <c r="V162" s="3"/>
      <c r="W162" s="3"/>
      <c r="X162" s="3"/>
      <c r="Y162" s="3"/>
      <c r="Z162" s="3"/>
      <c r="AA162" s="3"/>
      <c r="AB162" s="3"/>
      <c r="AE162" s="42">
        <f t="shared" si="17"/>
        <v>117837</v>
      </c>
      <c r="AF162" s="42">
        <f t="shared" si="18"/>
        <v>116505.58</v>
      </c>
      <c r="AG162" s="42" t="str">
        <f t="shared" si="19"/>
        <v/>
      </c>
      <c r="AH162" s="42" t="str">
        <f t="shared" si="20"/>
        <v/>
      </c>
      <c r="AI162" s="42" t="str">
        <f t="shared" si="21"/>
        <v/>
      </c>
      <c r="AJ162" s="42" t="str">
        <f t="shared" si="22"/>
        <v/>
      </c>
      <c r="AK162" s="42" t="str">
        <f t="shared" si="23"/>
        <v/>
      </c>
      <c r="AO162" s="86">
        <f ca="1"/>
        <v>37938.083333333336</v>
      </c>
      <c r="AP162" s="87">
        <f ca="1"/>
        <v>1530.75</v>
      </c>
      <c r="AQ162" s="87">
        <f ca="1"/>
        <v>1531.13</v>
      </c>
      <c r="AR162" s="88">
        <f ca="1"/>
        <v>37938.083333333336</v>
      </c>
      <c r="AS162" s="87">
        <f ca="1"/>
        <v>358</v>
      </c>
      <c r="AT162" s="87">
        <f ca="1"/>
        <v>523.99</v>
      </c>
    </row>
    <row r="163" spans="13:46" x14ac:dyDescent="0.25">
      <c r="M163" s="42">
        <v>159</v>
      </c>
      <c r="N163" s="3" t="s">
        <v>219</v>
      </c>
      <c r="O163" s="49">
        <f t="shared" si="16"/>
        <v>37938.083333333336</v>
      </c>
      <c r="P163" s="42">
        <v>1530.75</v>
      </c>
      <c r="Q163" s="42">
        <v>358</v>
      </c>
      <c r="R163" s="42">
        <v>1531.13</v>
      </c>
      <c r="S163" s="42">
        <v>523.99</v>
      </c>
      <c r="T163" s="42"/>
      <c r="U163" s="42"/>
      <c r="V163" s="3"/>
      <c r="W163" s="3"/>
      <c r="X163" s="3"/>
      <c r="Y163" s="3"/>
      <c r="Z163" s="3"/>
      <c r="AA163" s="3"/>
      <c r="AB163" s="3"/>
      <c r="AE163" s="42">
        <f t="shared" si="17"/>
        <v>118195</v>
      </c>
      <c r="AF163" s="42">
        <f t="shared" si="18"/>
        <v>117029.57</v>
      </c>
      <c r="AG163" s="42" t="str">
        <f t="shared" si="19"/>
        <v/>
      </c>
      <c r="AH163" s="42" t="str">
        <f t="shared" si="20"/>
        <v/>
      </c>
      <c r="AI163" s="42" t="str">
        <f t="shared" si="21"/>
        <v/>
      </c>
      <c r="AJ163" s="42" t="str">
        <f t="shared" si="22"/>
        <v/>
      </c>
      <c r="AK163" s="42" t="str">
        <f t="shared" si="23"/>
        <v/>
      </c>
      <c r="AO163" s="86">
        <f ca="1"/>
        <v>37938.125</v>
      </c>
      <c r="AP163" s="87">
        <f ca="1"/>
        <v>1530.8</v>
      </c>
      <c r="AQ163" s="87">
        <f ca="1"/>
        <v>1531.43</v>
      </c>
      <c r="AR163" s="88">
        <f ca="1"/>
        <v>37938.125</v>
      </c>
      <c r="AS163" s="87">
        <f ca="1"/>
        <v>373</v>
      </c>
      <c r="AT163" s="87">
        <f ca="1"/>
        <v>670.11</v>
      </c>
    </row>
    <row r="164" spans="13:46" x14ac:dyDescent="0.25">
      <c r="M164" s="42">
        <v>160</v>
      </c>
      <c r="N164" s="3" t="s">
        <v>220</v>
      </c>
      <c r="O164" s="49">
        <f t="shared" si="16"/>
        <v>37938.125</v>
      </c>
      <c r="P164" s="42">
        <v>1530.8</v>
      </c>
      <c r="Q164" s="42">
        <v>373</v>
      </c>
      <c r="R164" s="42">
        <v>1531.43</v>
      </c>
      <c r="S164" s="42">
        <v>670.11</v>
      </c>
      <c r="T164" s="42"/>
      <c r="U164" s="42"/>
      <c r="V164" s="3"/>
      <c r="W164" s="3"/>
      <c r="X164" s="3"/>
      <c r="Y164" s="3"/>
      <c r="Z164" s="3"/>
      <c r="AA164" s="3"/>
      <c r="AB164" s="3"/>
      <c r="AE164" s="42">
        <f t="shared" si="17"/>
        <v>118568</v>
      </c>
      <c r="AF164" s="42">
        <f t="shared" si="18"/>
        <v>117699.68000000001</v>
      </c>
      <c r="AG164" s="42" t="str">
        <f t="shared" si="19"/>
        <v/>
      </c>
      <c r="AH164" s="42" t="str">
        <f t="shared" si="20"/>
        <v/>
      </c>
      <c r="AI164" s="42" t="str">
        <f t="shared" si="21"/>
        <v/>
      </c>
      <c r="AJ164" s="42" t="str">
        <f t="shared" si="22"/>
        <v/>
      </c>
      <c r="AK164" s="42" t="str">
        <f t="shared" si="23"/>
        <v/>
      </c>
      <c r="AO164" s="86">
        <f ca="1"/>
        <v>37938.166666666664</v>
      </c>
      <c r="AP164" s="87">
        <f ca="1"/>
        <v>1531.04</v>
      </c>
      <c r="AQ164" s="87">
        <f ca="1"/>
        <v>1531.64</v>
      </c>
      <c r="AR164" s="88">
        <f ca="1"/>
        <v>37938.166666666664</v>
      </c>
      <c r="AS164" s="87">
        <f ca="1"/>
        <v>450</v>
      </c>
      <c r="AT164" s="87">
        <f ca="1"/>
        <v>785.03</v>
      </c>
    </row>
    <row r="165" spans="13:46" x14ac:dyDescent="0.25">
      <c r="M165" s="42">
        <v>161</v>
      </c>
      <c r="N165" s="3" t="s">
        <v>221</v>
      </c>
      <c r="O165" s="49">
        <f t="shared" si="16"/>
        <v>37938.166666666664</v>
      </c>
      <c r="P165" s="42">
        <v>1531.04</v>
      </c>
      <c r="Q165" s="42">
        <v>450</v>
      </c>
      <c r="R165" s="42">
        <v>1531.64</v>
      </c>
      <c r="S165" s="42">
        <v>785.03</v>
      </c>
      <c r="T165" s="42"/>
      <c r="U165" s="42"/>
      <c r="V165" s="3"/>
      <c r="W165" s="3"/>
      <c r="X165" s="3"/>
      <c r="Y165" s="3"/>
      <c r="Z165" s="3"/>
      <c r="AA165" s="3"/>
      <c r="AB165" s="3"/>
      <c r="AE165" s="42">
        <f t="shared" si="17"/>
        <v>119018</v>
      </c>
      <c r="AF165" s="42">
        <f t="shared" si="18"/>
        <v>118484.71</v>
      </c>
      <c r="AG165" s="42" t="str">
        <f t="shared" si="19"/>
        <v/>
      </c>
      <c r="AH165" s="42" t="str">
        <f t="shared" si="20"/>
        <v/>
      </c>
      <c r="AI165" s="42" t="str">
        <f t="shared" si="21"/>
        <v/>
      </c>
      <c r="AJ165" s="42" t="str">
        <f t="shared" si="22"/>
        <v/>
      </c>
      <c r="AK165" s="42" t="str">
        <f t="shared" si="23"/>
        <v/>
      </c>
      <c r="AO165" s="86">
        <f ca="1"/>
        <v>37938.208333333336</v>
      </c>
      <c r="AP165" s="87">
        <f ca="1"/>
        <v>1531.34</v>
      </c>
      <c r="AQ165" s="87">
        <f ca="1"/>
        <v>1531.51</v>
      </c>
      <c r="AR165" s="88">
        <f ca="1"/>
        <v>37938.208333333336</v>
      </c>
      <c r="AS165" s="87">
        <f ca="1"/>
        <v>558</v>
      </c>
      <c r="AT165" s="87">
        <f ca="1"/>
        <v>714.16</v>
      </c>
    </row>
    <row r="166" spans="13:46" x14ac:dyDescent="0.25">
      <c r="M166" s="42">
        <v>162</v>
      </c>
      <c r="N166" s="3" t="s">
        <v>222</v>
      </c>
      <c r="O166" s="49">
        <f t="shared" si="16"/>
        <v>37938.208333333336</v>
      </c>
      <c r="P166" s="42">
        <v>1531.34</v>
      </c>
      <c r="Q166" s="42">
        <v>558</v>
      </c>
      <c r="R166" s="42">
        <v>1531.51</v>
      </c>
      <c r="S166" s="42">
        <v>714.16</v>
      </c>
      <c r="T166" s="42"/>
      <c r="U166" s="42"/>
      <c r="V166" s="3"/>
      <c r="W166" s="3"/>
      <c r="X166" s="3"/>
      <c r="Y166" s="3"/>
      <c r="Z166" s="3"/>
      <c r="AA166" s="3"/>
      <c r="AB166" s="3"/>
      <c r="AE166" s="42">
        <f t="shared" si="17"/>
        <v>119576</v>
      </c>
      <c r="AF166" s="42">
        <f t="shared" si="18"/>
        <v>119198.87000000001</v>
      </c>
      <c r="AG166" s="42" t="str">
        <f t="shared" si="19"/>
        <v/>
      </c>
      <c r="AH166" s="42" t="str">
        <f t="shared" si="20"/>
        <v/>
      </c>
      <c r="AI166" s="42" t="str">
        <f t="shared" si="21"/>
        <v/>
      </c>
      <c r="AJ166" s="42" t="str">
        <f t="shared" si="22"/>
        <v/>
      </c>
      <c r="AK166" s="42" t="str">
        <f t="shared" si="23"/>
        <v/>
      </c>
      <c r="AO166" s="86">
        <f ca="1"/>
        <v>37938.25</v>
      </c>
      <c r="AP166" s="87">
        <f ca="1"/>
        <v>1531.47</v>
      </c>
      <c r="AQ166" s="87">
        <f ca="1"/>
        <v>1531.4</v>
      </c>
      <c r="AR166" s="88">
        <f ca="1"/>
        <v>37938.25</v>
      </c>
      <c r="AS166" s="87">
        <f ca="1"/>
        <v>609</v>
      </c>
      <c r="AT166" s="87">
        <f ca="1"/>
        <v>656.17</v>
      </c>
    </row>
    <row r="167" spans="13:46" x14ac:dyDescent="0.25">
      <c r="M167" s="42">
        <v>163</v>
      </c>
      <c r="N167" s="3" t="s">
        <v>223</v>
      </c>
      <c r="O167" s="49">
        <f t="shared" si="16"/>
        <v>37938.25</v>
      </c>
      <c r="P167" s="42">
        <v>1531.47</v>
      </c>
      <c r="Q167" s="42">
        <v>609</v>
      </c>
      <c r="R167" s="42">
        <v>1531.4</v>
      </c>
      <c r="S167" s="42">
        <v>656.17</v>
      </c>
      <c r="T167" s="42"/>
      <c r="U167" s="42"/>
      <c r="V167" s="3"/>
      <c r="W167" s="3"/>
      <c r="X167" s="3"/>
      <c r="Y167" s="3"/>
      <c r="Z167" s="3"/>
      <c r="AA167" s="3"/>
      <c r="AB167" s="3"/>
      <c r="AE167" s="42">
        <f t="shared" si="17"/>
        <v>120185</v>
      </c>
      <c r="AF167" s="42">
        <f t="shared" si="18"/>
        <v>119855.04000000001</v>
      </c>
      <c r="AG167" s="42" t="str">
        <f t="shared" si="19"/>
        <v/>
      </c>
      <c r="AH167" s="42" t="str">
        <f t="shared" si="20"/>
        <v/>
      </c>
      <c r="AI167" s="42" t="str">
        <f t="shared" si="21"/>
        <v/>
      </c>
      <c r="AJ167" s="42" t="str">
        <f t="shared" si="22"/>
        <v/>
      </c>
      <c r="AK167" s="42" t="str">
        <f t="shared" si="23"/>
        <v/>
      </c>
      <c r="AO167" s="86">
        <f ca="1"/>
        <v>37938.291666666664</v>
      </c>
      <c r="AP167" s="87">
        <f ca="1"/>
        <v>1531.51</v>
      </c>
      <c r="AQ167" s="87">
        <f ca="1"/>
        <v>1531.47</v>
      </c>
      <c r="AR167" s="88">
        <f ca="1"/>
        <v>37938.291666666664</v>
      </c>
      <c r="AS167" s="87">
        <f ca="1"/>
        <v>625</v>
      </c>
      <c r="AT167" s="87">
        <f ca="1"/>
        <v>698.45</v>
      </c>
    </row>
    <row r="168" spans="13:46" x14ac:dyDescent="0.25">
      <c r="M168" s="42">
        <v>164</v>
      </c>
      <c r="N168" s="3" t="s">
        <v>224</v>
      </c>
      <c r="O168" s="49">
        <f t="shared" si="16"/>
        <v>37938.291666666664</v>
      </c>
      <c r="P168" s="42">
        <v>1531.51</v>
      </c>
      <c r="Q168" s="42">
        <v>625</v>
      </c>
      <c r="R168" s="42">
        <v>1531.47</v>
      </c>
      <c r="S168" s="42">
        <v>698.45</v>
      </c>
      <c r="T168" s="42"/>
      <c r="U168" s="42"/>
      <c r="V168" s="3"/>
      <c r="W168" s="3"/>
      <c r="X168" s="3"/>
      <c r="Y168" s="3"/>
      <c r="Z168" s="3"/>
      <c r="AA168" s="3"/>
      <c r="AB168" s="3"/>
      <c r="AE168" s="42">
        <f t="shared" si="17"/>
        <v>120810</v>
      </c>
      <c r="AF168" s="42">
        <f t="shared" si="18"/>
        <v>120553.49</v>
      </c>
      <c r="AG168" s="42" t="str">
        <f t="shared" si="19"/>
        <v/>
      </c>
      <c r="AH168" s="42" t="str">
        <f t="shared" si="20"/>
        <v/>
      </c>
      <c r="AI168" s="42" t="str">
        <f t="shared" si="21"/>
        <v/>
      </c>
      <c r="AJ168" s="42" t="str">
        <f t="shared" si="22"/>
        <v/>
      </c>
      <c r="AK168" s="42" t="str">
        <f t="shared" si="23"/>
        <v/>
      </c>
      <c r="AO168" s="86">
        <f ca="1"/>
        <v>37938.333333333336</v>
      </c>
      <c r="AP168" s="87">
        <f ca="1"/>
        <v>1531.58</v>
      </c>
      <c r="AQ168" s="87">
        <f ca="1"/>
        <v>1531.68</v>
      </c>
      <c r="AR168" s="88">
        <f ca="1"/>
        <v>37938.333333333336</v>
      </c>
      <c r="AS168" s="87">
        <f ca="1"/>
        <v>654</v>
      </c>
      <c r="AT168" s="87">
        <f ca="1"/>
        <v>801.47</v>
      </c>
    </row>
    <row r="169" spans="13:46" x14ac:dyDescent="0.25">
      <c r="M169" s="42">
        <v>165</v>
      </c>
      <c r="N169" s="3" t="s">
        <v>225</v>
      </c>
      <c r="O169" s="49">
        <f t="shared" si="16"/>
        <v>37938.333333333336</v>
      </c>
      <c r="P169" s="42">
        <v>1531.58</v>
      </c>
      <c r="Q169" s="42">
        <v>654</v>
      </c>
      <c r="R169" s="42">
        <v>1531.68</v>
      </c>
      <c r="S169" s="42">
        <v>801.47</v>
      </c>
      <c r="T169" s="42"/>
      <c r="U169" s="42"/>
      <c r="V169" s="3"/>
      <c r="W169" s="3"/>
      <c r="X169" s="3"/>
      <c r="Y169" s="3"/>
      <c r="Z169" s="3"/>
      <c r="AA169" s="3"/>
      <c r="AB169" s="3"/>
      <c r="AE169" s="42">
        <f t="shared" si="17"/>
        <v>121464</v>
      </c>
      <c r="AF169" s="42">
        <f t="shared" si="18"/>
        <v>121354.96</v>
      </c>
      <c r="AG169" s="42" t="str">
        <f t="shared" si="19"/>
        <v/>
      </c>
      <c r="AH169" s="42" t="str">
        <f t="shared" si="20"/>
        <v/>
      </c>
      <c r="AI169" s="42" t="str">
        <f t="shared" si="21"/>
        <v/>
      </c>
      <c r="AJ169" s="42" t="str">
        <f t="shared" si="22"/>
        <v/>
      </c>
      <c r="AK169" s="42" t="str">
        <f t="shared" si="23"/>
        <v/>
      </c>
      <c r="AO169" s="86">
        <f ca="1"/>
        <v>37938.375</v>
      </c>
      <c r="AP169" s="87">
        <f ca="1"/>
        <v>1531.65</v>
      </c>
      <c r="AQ169" s="87">
        <f ca="1"/>
        <v>1531.86</v>
      </c>
      <c r="AR169" s="88">
        <f ca="1"/>
        <v>37938.375</v>
      </c>
      <c r="AS169" s="87">
        <f ca="1"/>
        <v>684</v>
      </c>
      <c r="AT169" s="87">
        <f ca="1"/>
        <v>909.42</v>
      </c>
    </row>
    <row r="170" spans="13:46" x14ac:dyDescent="0.25">
      <c r="M170" s="42">
        <v>166</v>
      </c>
      <c r="N170" s="3" t="s">
        <v>226</v>
      </c>
      <c r="O170" s="49">
        <f t="shared" si="16"/>
        <v>37938.375</v>
      </c>
      <c r="P170" s="42">
        <v>1531.65</v>
      </c>
      <c r="Q170" s="42">
        <v>684</v>
      </c>
      <c r="R170" s="42">
        <v>1531.86</v>
      </c>
      <c r="S170" s="42">
        <v>909.42</v>
      </c>
      <c r="T170" s="42"/>
      <c r="U170" s="42"/>
      <c r="V170" s="3"/>
      <c r="W170" s="3"/>
      <c r="X170" s="3"/>
      <c r="Y170" s="3"/>
      <c r="Z170" s="3"/>
      <c r="AA170" s="3"/>
      <c r="AB170" s="3"/>
      <c r="AE170" s="42">
        <f t="shared" si="17"/>
        <v>122148</v>
      </c>
      <c r="AF170" s="42">
        <f t="shared" si="18"/>
        <v>122264.38</v>
      </c>
      <c r="AG170" s="42" t="str">
        <f t="shared" si="19"/>
        <v/>
      </c>
      <c r="AH170" s="42" t="str">
        <f t="shared" si="20"/>
        <v/>
      </c>
      <c r="AI170" s="42" t="str">
        <f t="shared" si="21"/>
        <v/>
      </c>
      <c r="AJ170" s="42" t="str">
        <f t="shared" si="22"/>
        <v/>
      </c>
      <c r="AK170" s="42" t="str">
        <f t="shared" si="23"/>
        <v/>
      </c>
      <c r="AO170" s="86">
        <f ca="1"/>
        <v>37938.416666666664</v>
      </c>
      <c r="AP170" s="87">
        <f ca="1"/>
        <v>1531.83</v>
      </c>
      <c r="AQ170" s="87">
        <f ca="1"/>
        <v>1531.95</v>
      </c>
      <c r="AR170" s="88">
        <f ca="1"/>
        <v>37938.416666666664</v>
      </c>
      <c r="AS170" s="87">
        <f ca="1"/>
        <v>762</v>
      </c>
      <c r="AT170" s="87">
        <f ca="1"/>
        <v>961.24</v>
      </c>
    </row>
    <row r="171" spans="13:46" x14ac:dyDescent="0.25">
      <c r="M171" s="42">
        <v>167</v>
      </c>
      <c r="N171" s="3" t="s">
        <v>227</v>
      </c>
      <c r="O171" s="49">
        <f t="shared" si="16"/>
        <v>37938.416666666664</v>
      </c>
      <c r="P171" s="42">
        <v>1531.83</v>
      </c>
      <c r="Q171" s="42">
        <v>762</v>
      </c>
      <c r="R171" s="42">
        <v>1531.95</v>
      </c>
      <c r="S171" s="42">
        <v>961.24</v>
      </c>
      <c r="T171" s="42"/>
      <c r="U171" s="42"/>
      <c r="V171" s="3"/>
      <c r="W171" s="3"/>
      <c r="X171" s="3"/>
      <c r="Y171" s="3"/>
      <c r="Z171" s="3"/>
      <c r="AA171" s="3"/>
      <c r="AB171" s="3"/>
      <c r="AE171" s="42">
        <f t="shared" si="17"/>
        <v>122910</v>
      </c>
      <c r="AF171" s="42">
        <f t="shared" si="18"/>
        <v>123225.62000000001</v>
      </c>
      <c r="AG171" s="42" t="str">
        <f t="shared" si="19"/>
        <v/>
      </c>
      <c r="AH171" s="42" t="str">
        <f t="shared" si="20"/>
        <v/>
      </c>
      <c r="AI171" s="42" t="str">
        <f t="shared" si="21"/>
        <v/>
      </c>
      <c r="AJ171" s="42" t="str">
        <f t="shared" si="22"/>
        <v/>
      </c>
      <c r="AK171" s="42" t="str">
        <f t="shared" si="23"/>
        <v/>
      </c>
      <c r="AO171" s="86">
        <f ca="1"/>
        <v>37938.458333333336</v>
      </c>
      <c r="AP171" s="87">
        <f ca="1"/>
        <v>1531.87</v>
      </c>
      <c r="AQ171" s="87">
        <f ca="1"/>
        <v>1531.84</v>
      </c>
      <c r="AR171" s="88">
        <f ca="1"/>
        <v>37938.458333333336</v>
      </c>
      <c r="AS171" s="87">
        <f ca="1"/>
        <v>779</v>
      </c>
      <c r="AT171" s="87">
        <f ca="1"/>
        <v>897.56</v>
      </c>
    </row>
    <row r="172" spans="13:46" x14ac:dyDescent="0.25">
      <c r="M172" s="42">
        <v>168</v>
      </c>
      <c r="N172" s="3" t="s">
        <v>228</v>
      </c>
      <c r="O172" s="49">
        <f t="shared" si="16"/>
        <v>37938.458333333336</v>
      </c>
      <c r="P172" s="42">
        <v>1531.87</v>
      </c>
      <c r="Q172" s="42">
        <v>779</v>
      </c>
      <c r="R172" s="42">
        <v>1531.84</v>
      </c>
      <c r="S172" s="42">
        <v>897.56</v>
      </c>
      <c r="T172" s="42"/>
      <c r="U172" s="42"/>
      <c r="V172" s="3"/>
      <c r="W172" s="3"/>
      <c r="X172" s="3"/>
      <c r="Y172" s="3"/>
      <c r="Z172" s="3"/>
      <c r="AA172" s="3"/>
      <c r="AB172" s="3"/>
      <c r="AE172" s="42">
        <f t="shared" si="17"/>
        <v>123689</v>
      </c>
      <c r="AF172" s="42">
        <f t="shared" si="18"/>
        <v>124123.18000000001</v>
      </c>
      <c r="AG172" s="42" t="str">
        <f t="shared" si="19"/>
        <v/>
      </c>
      <c r="AH172" s="42" t="str">
        <f t="shared" si="20"/>
        <v/>
      </c>
      <c r="AI172" s="42" t="str">
        <f t="shared" si="21"/>
        <v/>
      </c>
      <c r="AJ172" s="42" t="str">
        <f t="shared" si="22"/>
        <v/>
      </c>
      <c r="AK172" s="42" t="str">
        <f t="shared" si="23"/>
        <v/>
      </c>
      <c r="AO172" s="86">
        <f ca="1"/>
        <v>37938.5</v>
      </c>
      <c r="AP172" s="87">
        <f ca="1"/>
        <v>1531.86</v>
      </c>
      <c r="AQ172" s="87">
        <f ca="1"/>
        <v>1531.74</v>
      </c>
      <c r="AR172" s="88">
        <f ca="1"/>
        <v>37938.5</v>
      </c>
      <c r="AS172" s="87">
        <f ca="1"/>
        <v>775</v>
      </c>
      <c r="AT172" s="87">
        <f ca="1"/>
        <v>841.02</v>
      </c>
    </row>
    <row r="173" spans="13:46" x14ac:dyDescent="0.25">
      <c r="M173" s="42">
        <v>169</v>
      </c>
      <c r="N173" s="3" t="s">
        <v>229</v>
      </c>
      <c r="O173" s="49">
        <f t="shared" si="16"/>
        <v>37938.5</v>
      </c>
      <c r="P173" s="42">
        <v>1531.86</v>
      </c>
      <c r="Q173" s="42">
        <v>775</v>
      </c>
      <c r="R173" s="42">
        <v>1531.74</v>
      </c>
      <c r="S173" s="42">
        <v>841.02</v>
      </c>
      <c r="T173" s="42"/>
      <c r="U173" s="42"/>
      <c r="V173" s="3"/>
      <c r="W173" s="3"/>
      <c r="X173" s="3"/>
      <c r="Y173" s="3"/>
      <c r="Z173" s="3"/>
      <c r="AA173" s="3"/>
      <c r="AB173" s="3"/>
      <c r="AE173" s="42">
        <f t="shared" si="17"/>
        <v>124464</v>
      </c>
      <c r="AF173" s="42">
        <f t="shared" si="18"/>
        <v>124964.20000000001</v>
      </c>
      <c r="AG173" s="42" t="str">
        <f t="shared" si="19"/>
        <v/>
      </c>
      <c r="AH173" s="42" t="str">
        <f t="shared" si="20"/>
        <v/>
      </c>
      <c r="AI173" s="42" t="str">
        <f t="shared" si="21"/>
        <v/>
      </c>
      <c r="AJ173" s="42" t="str">
        <f t="shared" si="22"/>
        <v/>
      </c>
      <c r="AK173" s="42" t="str">
        <f t="shared" si="23"/>
        <v/>
      </c>
      <c r="AO173" s="86">
        <f ca="1"/>
        <v>37938.541666666664</v>
      </c>
      <c r="AP173" s="87">
        <f ca="1"/>
        <v>1531.88</v>
      </c>
      <c r="AQ173" s="87">
        <f ca="1"/>
        <v>1531.7</v>
      </c>
      <c r="AR173" s="88">
        <f ca="1"/>
        <v>37938.541666666664</v>
      </c>
      <c r="AS173" s="87">
        <f ca="1"/>
        <v>784</v>
      </c>
      <c r="AT173" s="87">
        <f ca="1"/>
        <v>817.38</v>
      </c>
    </row>
    <row r="174" spans="13:46" x14ac:dyDescent="0.25">
      <c r="M174" s="42">
        <v>170</v>
      </c>
      <c r="N174" s="3" t="s">
        <v>230</v>
      </c>
      <c r="O174" s="49">
        <f t="shared" si="16"/>
        <v>37938.541666666664</v>
      </c>
      <c r="P174" s="42">
        <v>1531.88</v>
      </c>
      <c r="Q174" s="42">
        <v>784</v>
      </c>
      <c r="R174" s="42">
        <v>1531.7</v>
      </c>
      <c r="S174" s="42">
        <v>817.38</v>
      </c>
      <c r="T174" s="42"/>
      <c r="U174" s="42"/>
      <c r="V174" s="3"/>
      <c r="W174" s="3"/>
      <c r="X174" s="3"/>
      <c r="Y174" s="3"/>
      <c r="Z174" s="3"/>
      <c r="AA174" s="3"/>
      <c r="AB174" s="3"/>
      <c r="AE174" s="42">
        <f t="shared" si="17"/>
        <v>125248</v>
      </c>
      <c r="AF174" s="42">
        <f t="shared" si="18"/>
        <v>125781.58000000002</v>
      </c>
      <c r="AG174" s="42" t="str">
        <f t="shared" si="19"/>
        <v/>
      </c>
      <c r="AH174" s="42" t="str">
        <f t="shared" si="20"/>
        <v/>
      </c>
      <c r="AI174" s="42" t="str">
        <f t="shared" si="21"/>
        <v/>
      </c>
      <c r="AJ174" s="42" t="str">
        <f t="shared" si="22"/>
        <v/>
      </c>
      <c r="AK174" s="42" t="str">
        <f t="shared" si="23"/>
        <v/>
      </c>
      <c r="AO174" s="86">
        <f ca="1"/>
        <v>37938.583333333336</v>
      </c>
      <c r="AP174" s="87">
        <f ca="1"/>
        <v>1531.91</v>
      </c>
      <c r="AQ174" s="87">
        <f ca="1"/>
        <v>1531.61</v>
      </c>
      <c r="AR174" s="88">
        <f ca="1"/>
        <v>37938.583333333336</v>
      </c>
      <c r="AS174" s="87">
        <f ca="1"/>
        <v>797</v>
      </c>
      <c r="AT174" s="87">
        <f ca="1"/>
        <v>769.88</v>
      </c>
    </row>
    <row r="175" spans="13:46" x14ac:dyDescent="0.25">
      <c r="M175" s="42">
        <v>171</v>
      </c>
      <c r="N175" s="3" t="s">
        <v>231</v>
      </c>
      <c r="O175" s="49">
        <f t="shared" si="16"/>
        <v>37938.583333333336</v>
      </c>
      <c r="P175" s="42">
        <v>1531.91</v>
      </c>
      <c r="Q175" s="42">
        <v>797</v>
      </c>
      <c r="R175" s="42">
        <v>1531.61</v>
      </c>
      <c r="S175" s="42">
        <v>769.88</v>
      </c>
      <c r="T175" s="42"/>
      <c r="U175" s="42"/>
      <c r="V175" s="3"/>
      <c r="W175" s="3"/>
      <c r="X175" s="3"/>
      <c r="Y175" s="3"/>
      <c r="Z175" s="3"/>
      <c r="AA175" s="3"/>
      <c r="AB175" s="3"/>
      <c r="AE175" s="42">
        <f t="shared" si="17"/>
        <v>126045</v>
      </c>
      <c r="AF175" s="42">
        <f t="shared" si="18"/>
        <v>126551.46000000002</v>
      </c>
      <c r="AG175" s="42" t="str">
        <f t="shared" si="19"/>
        <v/>
      </c>
      <c r="AH175" s="42" t="str">
        <f t="shared" si="20"/>
        <v/>
      </c>
      <c r="AI175" s="42" t="str">
        <f t="shared" si="21"/>
        <v/>
      </c>
      <c r="AJ175" s="42" t="str">
        <f t="shared" si="22"/>
        <v/>
      </c>
      <c r="AK175" s="42" t="str">
        <f t="shared" si="23"/>
        <v/>
      </c>
      <c r="AO175" s="86">
        <f ca="1"/>
        <v>37938.625</v>
      </c>
      <c r="AP175" s="87">
        <f ca="1"/>
        <v>1531.93</v>
      </c>
      <c r="AQ175" s="87">
        <f ca="1"/>
        <v>1531.59</v>
      </c>
      <c r="AR175" s="88">
        <f ca="1"/>
        <v>37938.625</v>
      </c>
      <c r="AS175" s="87">
        <f ca="1"/>
        <v>806</v>
      </c>
      <c r="AT175" s="87">
        <f ca="1"/>
        <v>757.67</v>
      </c>
    </row>
    <row r="176" spans="13:46" x14ac:dyDescent="0.25">
      <c r="M176" s="42">
        <v>172</v>
      </c>
      <c r="N176" s="3" t="s">
        <v>232</v>
      </c>
      <c r="O176" s="49">
        <f t="shared" si="16"/>
        <v>37938.625</v>
      </c>
      <c r="P176" s="42">
        <v>1531.93</v>
      </c>
      <c r="Q176" s="42">
        <v>806</v>
      </c>
      <c r="R176" s="42">
        <v>1531.59</v>
      </c>
      <c r="S176" s="42">
        <v>757.67</v>
      </c>
      <c r="T176" s="42"/>
      <c r="U176" s="42"/>
      <c r="V176" s="3"/>
      <c r="W176" s="3"/>
      <c r="X176" s="3"/>
      <c r="Y176" s="3"/>
      <c r="Z176" s="3"/>
      <c r="AA176" s="3"/>
      <c r="AB176" s="3"/>
      <c r="AE176" s="42">
        <f t="shared" si="17"/>
        <v>126851</v>
      </c>
      <c r="AF176" s="42">
        <f t="shared" si="18"/>
        <v>127309.13000000002</v>
      </c>
      <c r="AG176" s="42" t="str">
        <f t="shared" si="19"/>
        <v/>
      </c>
      <c r="AH176" s="42" t="str">
        <f t="shared" si="20"/>
        <v/>
      </c>
      <c r="AI176" s="42" t="str">
        <f t="shared" si="21"/>
        <v/>
      </c>
      <c r="AJ176" s="42" t="str">
        <f t="shared" si="22"/>
        <v/>
      </c>
      <c r="AK176" s="42" t="str">
        <f t="shared" si="23"/>
        <v/>
      </c>
      <c r="AO176" s="86">
        <f ca="1"/>
        <v>37938.666666666664</v>
      </c>
      <c r="AP176" s="87">
        <f ca="1"/>
        <v>1531.93</v>
      </c>
      <c r="AQ176" s="87">
        <f ca="1"/>
        <v>1531.56</v>
      </c>
      <c r="AR176" s="88">
        <f ca="1"/>
        <v>37938.666666666664</v>
      </c>
      <c r="AS176" s="87">
        <f ca="1"/>
        <v>806</v>
      </c>
      <c r="AT176" s="87">
        <f ca="1"/>
        <v>742.94</v>
      </c>
    </row>
    <row r="177" spans="13:52" x14ac:dyDescent="0.25">
      <c r="M177" s="42">
        <v>173</v>
      </c>
      <c r="N177" s="3" t="s">
        <v>233</v>
      </c>
      <c r="O177" s="49">
        <f t="shared" si="16"/>
        <v>37938.666666666664</v>
      </c>
      <c r="P177" s="42">
        <v>1531.93</v>
      </c>
      <c r="Q177" s="42">
        <v>806</v>
      </c>
      <c r="R177" s="42">
        <v>1531.56</v>
      </c>
      <c r="S177" s="42">
        <v>742.94</v>
      </c>
      <c r="T177" s="42"/>
      <c r="U177" s="42"/>
      <c r="V177" s="3"/>
      <c r="W177" s="3"/>
      <c r="X177" s="3"/>
      <c r="Y177" s="3"/>
      <c r="Z177" s="3"/>
      <c r="AA177" s="3"/>
      <c r="AB177" s="3"/>
      <c r="AE177" s="42">
        <f t="shared" si="17"/>
        <v>127657</v>
      </c>
      <c r="AF177" s="42">
        <f t="shared" si="18"/>
        <v>128052.07000000002</v>
      </c>
      <c r="AG177" s="42" t="str">
        <f t="shared" si="19"/>
        <v/>
      </c>
      <c r="AH177" s="42" t="str">
        <f t="shared" si="20"/>
        <v/>
      </c>
      <c r="AI177" s="42" t="str">
        <f t="shared" si="21"/>
        <v/>
      </c>
      <c r="AJ177" s="42" t="str">
        <f t="shared" si="22"/>
        <v/>
      </c>
      <c r="AK177" s="42" t="str">
        <f t="shared" si="23"/>
        <v/>
      </c>
      <c r="AO177" s="86">
        <f ca="1"/>
        <v>37938.708333333336</v>
      </c>
      <c r="AP177" s="87">
        <f ca="1"/>
        <v>1531.91</v>
      </c>
      <c r="AQ177" s="87">
        <f ca="1"/>
        <v>1531.54</v>
      </c>
      <c r="AR177" s="88">
        <f ca="1"/>
        <v>37938.708333333336</v>
      </c>
      <c r="AS177" s="87">
        <f ca="1"/>
        <v>797</v>
      </c>
      <c r="AT177" s="87">
        <f ca="1"/>
        <v>734.04</v>
      </c>
    </row>
    <row r="178" spans="13:52" x14ac:dyDescent="0.25">
      <c r="M178" s="42">
        <v>174</v>
      </c>
      <c r="N178" s="3" t="s">
        <v>234</v>
      </c>
      <c r="O178" s="49">
        <f t="shared" si="16"/>
        <v>37938.708333333336</v>
      </c>
      <c r="P178" s="42">
        <v>1531.91</v>
      </c>
      <c r="Q178" s="42">
        <v>797</v>
      </c>
      <c r="R178" s="42">
        <v>1531.54</v>
      </c>
      <c r="S178" s="42">
        <v>734.04</v>
      </c>
      <c r="T178" s="42"/>
      <c r="U178" s="42"/>
      <c r="V178" s="3"/>
      <c r="W178" s="3"/>
      <c r="X178" s="3"/>
      <c r="Y178" s="3"/>
      <c r="Z178" s="3"/>
      <c r="AA178" s="3"/>
      <c r="AB178" s="3"/>
      <c r="AE178" s="42">
        <f t="shared" si="17"/>
        <v>128454</v>
      </c>
      <c r="AF178" s="42">
        <f t="shared" si="18"/>
        <v>128786.11000000002</v>
      </c>
      <c r="AG178" s="42" t="str">
        <f t="shared" si="19"/>
        <v/>
      </c>
      <c r="AH178" s="42" t="str">
        <f t="shared" si="20"/>
        <v/>
      </c>
      <c r="AI178" s="42" t="str">
        <f t="shared" si="21"/>
        <v/>
      </c>
      <c r="AJ178" s="42" t="str">
        <f t="shared" si="22"/>
        <v/>
      </c>
      <c r="AK178" s="42" t="str">
        <f t="shared" si="23"/>
        <v/>
      </c>
      <c r="AO178" s="86">
        <f ca="1"/>
        <v>37938.75</v>
      </c>
      <c r="AP178" s="87">
        <f ca="1"/>
        <v>1531.89</v>
      </c>
      <c r="AQ178" s="87">
        <f ca="1"/>
        <v>1531.71</v>
      </c>
      <c r="AR178" s="88">
        <f ca="1"/>
        <v>37938.75</v>
      </c>
      <c r="AS178" s="87">
        <f ca="1"/>
        <v>788</v>
      </c>
      <c r="AT178" s="87">
        <f ca="1"/>
        <v>829.17</v>
      </c>
    </row>
    <row r="179" spans="13:52" x14ac:dyDescent="0.25">
      <c r="M179" s="42">
        <v>175</v>
      </c>
      <c r="N179" s="3" t="s">
        <v>235</v>
      </c>
      <c r="O179" s="49">
        <f t="shared" si="16"/>
        <v>37938.75</v>
      </c>
      <c r="P179" s="42">
        <v>1531.89</v>
      </c>
      <c r="Q179" s="42">
        <v>788</v>
      </c>
      <c r="R179" s="42">
        <v>1531.71</v>
      </c>
      <c r="S179" s="42">
        <v>829.17</v>
      </c>
      <c r="T179" s="42"/>
      <c r="U179" s="42"/>
      <c r="V179" s="3"/>
      <c r="W179" s="3"/>
      <c r="X179" s="3"/>
      <c r="Y179" s="3"/>
      <c r="Z179" s="3"/>
      <c r="AA179" s="3"/>
      <c r="AB179" s="3"/>
      <c r="AE179" s="42">
        <f t="shared" si="17"/>
        <v>129242</v>
      </c>
      <c r="AF179" s="42">
        <f t="shared" si="18"/>
        <v>129615.28000000001</v>
      </c>
      <c r="AG179" s="42" t="str">
        <f t="shared" si="19"/>
        <v/>
      </c>
      <c r="AH179" s="42" t="str">
        <f t="shared" si="20"/>
        <v/>
      </c>
      <c r="AI179" s="42" t="str">
        <f t="shared" si="21"/>
        <v/>
      </c>
      <c r="AJ179" s="42" t="str">
        <f t="shared" si="22"/>
        <v/>
      </c>
      <c r="AK179" s="42" t="str">
        <f t="shared" si="23"/>
        <v/>
      </c>
      <c r="AO179" s="86">
        <f ca="1"/>
        <v>37938.791666666664</v>
      </c>
      <c r="AP179" s="87">
        <f ca="1"/>
        <v>1531.87</v>
      </c>
      <c r="AQ179" s="87">
        <f ca="1"/>
        <v>1531.5</v>
      </c>
      <c r="AR179" s="88">
        <f ca="1"/>
        <v>37938.791666666664</v>
      </c>
      <c r="AS179" s="87">
        <f ca="1"/>
        <v>779</v>
      </c>
      <c r="AT179" s="87">
        <f ca="1"/>
        <v>710.51</v>
      </c>
    </row>
    <row r="180" spans="13:52" x14ac:dyDescent="0.25">
      <c r="M180" s="42">
        <v>176</v>
      </c>
      <c r="N180" s="3" t="s">
        <v>236</v>
      </c>
      <c r="O180" s="49">
        <f t="shared" si="16"/>
        <v>37938.791666666664</v>
      </c>
      <c r="P180" s="42">
        <v>1531.87</v>
      </c>
      <c r="Q180" s="42">
        <v>779</v>
      </c>
      <c r="R180" s="42">
        <v>1531.5</v>
      </c>
      <c r="S180" s="42">
        <v>710.51</v>
      </c>
      <c r="T180" s="42"/>
      <c r="U180" s="42"/>
      <c r="V180" s="3"/>
      <c r="W180" s="3"/>
      <c r="X180" s="3"/>
      <c r="Y180" s="3"/>
      <c r="Z180" s="3"/>
      <c r="AA180" s="3"/>
      <c r="AB180" s="3"/>
      <c r="AE180" s="42">
        <f t="shared" si="17"/>
        <v>130021</v>
      </c>
      <c r="AF180" s="42">
        <f t="shared" si="18"/>
        <v>130325.79000000001</v>
      </c>
      <c r="AG180" s="42" t="str">
        <f t="shared" si="19"/>
        <v/>
      </c>
      <c r="AH180" s="42" t="str">
        <f t="shared" si="20"/>
        <v/>
      </c>
      <c r="AI180" s="42" t="str">
        <f t="shared" si="21"/>
        <v/>
      </c>
      <c r="AJ180" s="42" t="str">
        <f t="shared" si="22"/>
        <v/>
      </c>
      <c r="AK180" s="42" t="str">
        <f t="shared" si="23"/>
        <v/>
      </c>
      <c r="AO180" s="86">
        <f ca="1"/>
        <v>37938.833333333336</v>
      </c>
      <c r="AP180" s="87">
        <f ca="1"/>
        <v>1531.85</v>
      </c>
      <c r="AQ180" s="87">
        <f ca="1"/>
        <v>1531.48</v>
      </c>
      <c r="AR180" s="88">
        <f ca="1"/>
        <v>37938.833333333336</v>
      </c>
      <c r="AS180" s="87">
        <f ca="1"/>
        <v>770</v>
      </c>
      <c r="AT180" s="87">
        <f ca="1"/>
        <v>699.24</v>
      </c>
    </row>
    <row r="181" spans="13:52" x14ac:dyDescent="0.25">
      <c r="M181" s="42">
        <v>177</v>
      </c>
      <c r="N181" s="3" t="s">
        <v>237</v>
      </c>
      <c r="O181" s="49">
        <f t="shared" si="16"/>
        <v>37938.833333333336</v>
      </c>
      <c r="P181" s="42">
        <v>1531.85</v>
      </c>
      <c r="Q181" s="42">
        <v>770</v>
      </c>
      <c r="R181" s="42">
        <v>1531.48</v>
      </c>
      <c r="S181" s="42">
        <v>699.24</v>
      </c>
      <c r="T181" s="42"/>
      <c r="U181" s="42"/>
      <c r="V181" s="3"/>
      <c r="W181" s="3"/>
      <c r="X181" s="3"/>
      <c r="Y181" s="3"/>
      <c r="Z181" s="3"/>
      <c r="AA181" s="3"/>
      <c r="AB181" s="3"/>
      <c r="AE181" s="42">
        <f t="shared" si="17"/>
        <v>130791</v>
      </c>
      <c r="AF181" s="42">
        <f t="shared" si="18"/>
        <v>131025.03000000001</v>
      </c>
      <c r="AG181" s="42" t="str">
        <f t="shared" si="19"/>
        <v/>
      </c>
      <c r="AH181" s="42" t="str">
        <f t="shared" si="20"/>
        <v/>
      </c>
      <c r="AI181" s="42" t="str">
        <f t="shared" si="21"/>
        <v/>
      </c>
      <c r="AJ181" s="42" t="str">
        <f t="shared" si="22"/>
        <v/>
      </c>
      <c r="AK181" s="42" t="str">
        <f t="shared" si="23"/>
        <v/>
      </c>
      <c r="AO181" s="86">
        <f ca="1"/>
        <v>37938.875</v>
      </c>
      <c r="AP181" s="87">
        <f ca="1"/>
        <v>1531.83</v>
      </c>
      <c r="AQ181" s="87">
        <f ca="1"/>
        <v>1531.47</v>
      </c>
      <c r="AR181" s="88">
        <f ca="1"/>
        <v>37938.875</v>
      </c>
      <c r="AS181" s="87">
        <f ca="1"/>
        <v>762</v>
      </c>
      <c r="AT181" s="87">
        <f ca="1"/>
        <v>692.57</v>
      </c>
    </row>
    <row r="182" spans="13:52" x14ac:dyDescent="0.25">
      <c r="M182" s="42">
        <v>178</v>
      </c>
      <c r="N182" s="3" t="s">
        <v>238</v>
      </c>
      <c r="O182" s="49">
        <f t="shared" si="16"/>
        <v>37938.875</v>
      </c>
      <c r="P182" s="42">
        <v>1531.83</v>
      </c>
      <c r="Q182" s="42">
        <v>762</v>
      </c>
      <c r="R182" s="42">
        <v>1531.47</v>
      </c>
      <c r="S182" s="42">
        <v>692.57</v>
      </c>
      <c r="T182" s="42"/>
      <c r="U182" s="42"/>
      <c r="V182" s="3"/>
      <c r="W182" s="3"/>
      <c r="X182" s="3"/>
      <c r="Y182" s="3"/>
      <c r="Z182" s="3"/>
      <c r="AA182" s="3"/>
      <c r="AB182" s="3"/>
      <c r="AE182" s="42">
        <f t="shared" si="17"/>
        <v>131553</v>
      </c>
      <c r="AF182" s="42">
        <f t="shared" si="18"/>
        <v>131717.6</v>
      </c>
      <c r="AG182" s="42" t="str">
        <f t="shared" si="19"/>
        <v/>
      </c>
      <c r="AH182" s="42" t="str">
        <f t="shared" si="20"/>
        <v/>
      </c>
      <c r="AI182" s="42" t="str">
        <f t="shared" si="21"/>
        <v/>
      </c>
      <c r="AJ182" s="42" t="str">
        <f t="shared" si="22"/>
        <v/>
      </c>
      <c r="AK182" s="42" t="str">
        <f t="shared" si="23"/>
        <v/>
      </c>
      <c r="AO182" s="86">
        <f ca="1"/>
        <v>37938.916666666664</v>
      </c>
      <c r="AP182" s="87">
        <f ca="1"/>
        <v>1531.81</v>
      </c>
      <c r="AQ182" s="87">
        <f ca="1"/>
        <v>1531.44</v>
      </c>
      <c r="AR182" s="88">
        <f ca="1"/>
        <v>37938.916666666664</v>
      </c>
      <c r="AS182" s="87">
        <f ca="1"/>
        <v>753</v>
      </c>
      <c r="AT182" s="87">
        <f ca="1"/>
        <v>680.95</v>
      </c>
    </row>
    <row r="183" spans="13:52" x14ac:dyDescent="0.25">
      <c r="M183" s="42">
        <v>179</v>
      </c>
      <c r="N183" s="3" t="s">
        <v>239</v>
      </c>
      <c r="O183" s="49">
        <f t="shared" si="16"/>
        <v>37938.916666666664</v>
      </c>
      <c r="P183" s="42">
        <v>1531.81</v>
      </c>
      <c r="Q183" s="42">
        <v>753</v>
      </c>
      <c r="R183" s="42">
        <v>1531.44</v>
      </c>
      <c r="S183" s="42">
        <v>680.95</v>
      </c>
      <c r="T183" s="42"/>
      <c r="U183" s="42"/>
      <c r="V183" s="3"/>
      <c r="W183" s="3"/>
      <c r="X183" s="3"/>
      <c r="Y183" s="3"/>
      <c r="Z183" s="3"/>
      <c r="AA183" s="3"/>
      <c r="AB183" s="3"/>
      <c r="AE183" s="42">
        <f t="shared" si="17"/>
        <v>132306</v>
      </c>
      <c r="AF183" s="42">
        <f t="shared" si="18"/>
        <v>132398.55000000002</v>
      </c>
      <c r="AG183" s="42" t="str">
        <f t="shared" si="19"/>
        <v/>
      </c>
      <c r="AH183" s="42" t="str">
        <f t="shared" si="20"/>
        <v/>
      </c>
      <c r="AI183" s="42" t="str">
        <f t="shared" si="21"/>
        <v/>
      </c>
      <c r="AJ183" s="42" t="str">
        <f t="shared" si="22"/>
        <v/>
      </c>
      <c r="AK183" s="42" t="str">
        <f t="shared" si="23"/>
        <v/>
      </c>
      <c r="AO183" s="86">
        <f ca="1"/>
        <v>37938.958333333336</v>
      </c>
      <c r="AP183" s="87">
        <f ca="1"/>
        <v>1531.79</v>
      </c>
      <c r="AQ183" s="87">
        <f ca="1"/>
        <v>1531.41</v>
      </c>
      <c r="AR183" s="88">
        <f ca="1"/>
        <v>37938.958333333336</v>
      </c>
      <c r="AS183" s="87">
        <f ca="1"/>
        <v>744</v>
      </c>
      <c r="AT183" s="87">
        <f ca="1"/>
        <v>665.52</v>
      </c>
      <c r="AU183" s="91"/>
      <c r="AZ183" s="91"/>
    </row>
    <row r="184" spans="13:52" x14ac:dyDescent="0.25">
      <c r="M184" s="42">
        <v>180</v>
      </c>
      <c r="N184" s="3" t="s">
        <v>240</v>
      </c>
      <c r="O184" s="49">
        <f t="shared" si="16"/>
        <v>37938.958333333336</v>
      </c>
      <c r="P184" s="42">
        <v>1531.79</v>
      </c>
      <c r="Q184" s="42">
        <v>744</v>
      </c>
      <c r="R184" s="42">
        <v>1531.41</v>
      </c>
      <c r="S184" s="42">
        <v>665.52</v>
      </c>
      <c r="T184" s="42"/>
      <c r="U184" s="42"/>
      <c r="V184" s="3"/>
      <c r="W184" s="3"/>
      <c r="X184" s="3"/>
      <c r="Y184" s="3"/>
      <c r="Z184" s="3"/>
      <c r="AA184" s="3"/>
      <c r="AB184" s="3"/>
      <c r="AE184" s="42">
        <f t="shared" si="17"/>
        <v>133050</v>
      </c>
      <c r="AF184" s="42">
        <f t="shared" si="18"/>
        <v>133064.07</v>
      </c>
      <c r="AG184" s="42" t="str">
        <f t="shared" si="19"/>
        <v/>
      </c>
      <c r="AH184" s="42" t="str">
        <f t="shared" si="20"/>
        <v/>
      </c>
      <c r="AI184" s="42" t="str">
        <f t="shared" si="21"/>
        <v/>
      </c>
      <c r="AJ184" s="42" t="str">
        <f t="shared" si="22"/>
        <v/>
      </c>
      <c r="AK184" s="42" t="str">
        <f t="shared" si="23"/>
        <v/>
      </c>
      <c r="AO184" s="86">
        <f ca="1"/>
        <v>37939</v>
      </c>
      <c r="AP184" s="87">
        <f ca="1"/>
        <v>1531.77</v>
      </c>
      <c r="AQ184" s="87">
        <f ca="1"/>
        <v>1531.38</v>
      </c>
      <c r="AR184" s="88">
        <f ca="1"/>
        <v>37939</v>
      </c>
      <c r="AS184" s="87">
        <f ca="1"/>
        <v>736</v>
      </c>
      <c r="AT184" s="87">
        <f ca="1"/>
        <v>651.53</v>
      </c>
    </row>
    <row r="185" spans="13:52" x14ac:dyDescent="0.25">
      <c r="M185" s="42">
        <v>181</v>
      </c>
      <c r="N185" s="3" t="s">
        <v>241</v>
      </c>
      <c r="O185" s="49">
        <f t="shared" si="16"/>
        <v>37939</v>
      </c>
      <c r="P185" s="42">
        <v>1531.77</v>
      </c>
      <c r="Q185" s="42">
        <v>736</v>
      </c>
      <c r="R185" s="42">
        <v>1531.38</v>
      </c>
      <c r="S185" s="42">
        <v>651.53</v>
      </c>
      <c r="T185" s="42"/>
      <c r="U185" s="42"/>
      <c r="V185" s="3"/>
      <c r="W185" s="3"/>
      <c r="X185" s="3"/>
      <c r="Y185" s="3"/>
      <c r="Z185" s="3"/>
      <c r="AA185" s="3"/>
      <c r="AB185" s="3"/>
      <c r="AE185" s="42">
        <f t="shared" si="17"/>
        <v>133786</v>
      </c>
      <c r="AF185" s="42">
        <f t="shared" si="18"/>
        <v>133715.6</v>
      </c>
      <c r="AG185" s="42" t="str">
        <f t="shared" si="19"/>
        <v/>
      </c>
      <c r="AH185" s="42" t="str">
        <f t="shared" si="20"/>
        <v/>
      </c>
      <c r="AI185" s="42" t="str">
        <f t="shared" si="21"/>
        <v/>
      </c>
      <c r="AJ185" s="42" t="str">
        <f t="shared" si="22"/>
        <v/>
      </c>
      <c r="AK185" s="42" t="str">
        <f t="shared" si="23"/>
        <v/>
      </c>
      <c r="AO185" s="86">
        <f ca="1"/>
        <v>37939.041666666664</v>
      </c>
      <c r="AP185" s="87">
        <f ca="1"/>
        <v>1531.74</v>
      </c>
      <c r="AQ185" s="87">
        <f ca="1"/>
        <v>1531.38</v>
      </c>
      <c r="AR185" s="88">
        <f ca="1"/>
        <v>37939.041666666664</v>
      </c>
      <c r="AS185" s="87">
        <f ca="1"/>
        <v>723</v>
      </c>
      <c r="AT185" s="87">
        <f ca="1"/>
        <v>647.38</v>
      </c>
    </row>
    <row r="186" spans="13:52" x14ac:dyDescent="0.25">
      <c r="M186" s="42">
        <v>182</v>
      </c>
      <c r="N186" s="3" t="s">
        <v>242</v>
      </c>
      <c r="O186" s="49">
        <f t="shared" si="16"/>
        <v>37939.041666666664</v>
      </c>
      <c r="P186" s="42">
        <v>1531.74</v>
      </c>
      <c r="Q186" s="42">
        <v>723</v>
      </c>
      <c r="R186" s="42">
        <v>1531.38</v>
      </c>
      <c r="S186" s="42">
        <v>647.38</v>
      </c>
      <c r="T186" s="42"/>
      <c r="U186" s="42"/>
      <c r="V186" s="3"/>
      <c r="W186" s="3"/>
      <c r="X186" s="3"/>
      <c r="Y186" s="3"/>
      <c r="Z186" s="3"/>
      <c r="AA186" s="3"/>
      <c r="AB186" s="3"/>
      <c r="AE186" s="42">
        <f t="shared" si="17"/>
        <v>134509</v>
      </c>
      <c r="AF186" s="42">
        <f t="shared" si="18"/>
        <v>134362.98000000001</v>
      </c>
      <c r="AG186" s="42" t="str">
        <f t="shared" si="19"/>
        <v/>
      </c>
      <c r="AH186" s="42" t="str">
        <f t="shared" si="20"/>
        <v/>
      </c>
      <c r="AI186" s="42" t="str">
        <f t="shared" si="21"/>
        <v/>
      </c>
      <c r="AJ186" s="42" t="str">
        <f t="shared" si="22"/>
        <v/>
      </c>
      <c r="AK186" s="42" t="str">
        <f t="shared" si="23"/>
        <v/>
      </c>
      <c r="AO186" s="86">
        <f ca="1"/>
        <v>37939.083333333336</v>
      </c>
      <c r="AP186" s="87">
        <f ca="1"/>
        <v>1531.71</v>
      </c>
      <c r="AQ186" s="87">
        <f ca="1"/>
        <v>1531.34</v>
      </c>
      <c r="AR186" s="88">
        <f ca="1"/>
        <v>37939.083333333336</v>
      </c>
      <c r="AS186" s="87">
        <f ca="1"/>
        <v>710</v>
      </c>
      <c r="AT186" s="87">
        <f ca="1"/>
        <v>631.32000000000005</v>
      </c>
    </row>
    <row r="187" spans="13:52" x14ac:dyDescent="0.25">
      <c r="M187" s="42">
        <v>183</v>
      </c>
      <c r="N187" s="3" t="s">
        <v>243</v>
      </c>
      <c r="O187" s="49">
        <f t="shared" si="16"/>
        <v>37939.083333333336</v>
      </c>
      <c r="P187" s="42">
        <v>1531.71</v>
      </c>
      <c r="Q187" s="42">
        <v>710</v>
      </c>
      <c r="R187" s="42">
        <v>1531.34</v>
      </c>
      <c r="S187" s="42">
        <v>631.32000000000005</v>
      </c>
      <c r="T187" s="42"/>
      <c r="U187" s="42"/>
      <c r="V187" s="3"/>
      <c r="W187" s="3"/>
      <c r="X187" s="3"/>
      <c r="Y187" s="3"/>
      <c r="Z187" s="3"/>
      <c r="AA187" s="3"/>
      <c r="AB187" s="3"/>
      <c r="AE187" s="42">
        <f t="shared" si="17"/>
        <v>135219</v>
      </c>
      <c r="AF187" s="42">
        <f t="shared" si="18"/>
        <v>134994.30000000002</v>
      </c>
      <c r="AG187" s="42" t="str">
        <f t="shared" si="19"/>
        <v/>
      </c>
      <c r="AH187" s="42" t="str">
        <f t="shared" si="20"/>
        <v/>
      </c>
      <c r="AI187" s="42" t="str">
        <f t="shared" si="21"/>
        <v/>
      </c>
      <c r="AJ187" s="42" t="str">
        <f t="shared" si="22"/>
        <v/>
      </c>
      <c r="AK187" s="42" t="str">
        <f t="shared" si="23"/>
        <v/>
      </c>
      <c r="AO187" s="86">
        <f ca="1"/>
        <v>37939.125</v>
      </c>
      <c r="AP187" s="87">
        <f ca="1"/>
        <v>1531.69</v>
      </c>
      <c r="AQ187" s="87">
        <f ca="1"/>
        <v>1531.32</v>
      </c>
      <c r="AR187" s="88">
        <f ca="1"/>
        <v>37939.125</v>
      </c>
      <c r="AS187" s="87">
        <f ca="1"/>
        <v>701</v>
      </c>
      <c r="AT187" s="87">
        <f ca="1"/>
        <v>620.61</v>
      </c>
    </row>
    <row r="188" spans="13:52" x14ac:dyDescent="0.25">
      <c r="M188" s="42">
        <v>184</v>
      </c>
      <c r="N188" s="3" t="s">
        <v>244</v>
      </c>
      <c r="O188" s="49">
        <f t="shared" si="16"/>
        <v>37939.125</v>
      </c>
      <c r="P188" s="42">
        <v>1531.69</v>
      </c>
      <c r="Q188" s="42">
        <v>701</v>
      </c>
      <c r="R188" s="42">
        <v>1531.32</v>
      </c>
      <c r="S188" s="42">
        <v>620.61</v>
      </c>
      <c r="T188" s="42"/>
      <c r="U188" s="42"/>
      <c r="V188" s="3"/>
      <c r="W188" s="3"/>
      <c r="X188" s="3"/>
      <c r="Y188" s="3"/>
      <c r="Z188" s="3"/>
      <c r="AA188" s="3"/>
      <c r="AB188" s="3"/>
      <c r="AE188" s="42">
        <f t="shared" si="17"/>
        <v>135920</v>
      </c>
      <c r="AF188" s="42">
        <f t="shared" si="18"/>
        <v>135614.91</v>
      </c>
      <c r="AG188" s="42" t="str">
        <f t="shared" si="19"/>
        <v/>
      </c>
      <c r="AH188" s="42" t="str">
        <f t="shared" si="20"/>
        <v/>
      </c>
      <c r="AI188" s="42" t="str">
        <f t="shared" si="21"/>
        <v/>
      </c>
      <c r="AJ188" s="42" t="str">
        <f t="shared" si="22"/>
        <v/>
      </c>
      <c r="AK188" s="42" t="str">
        <f t="shared" si="23"/>
        <v/>
      </c>
      <c r="AO188" s="86">
        <f ca="1"/>
        <v>37939.166666666664</v>
      </c>
      <c r="AP188" s="87">
        <f ca="1"/>
        <v>1531.66</v>
      </c>
      <c r="AQ188" s="87">
        <f ca="1"/>
        <v>1531.31</v>
      </c>
      <c r="AR188" s="88">
        <f ca="1"/>
        <v>37939.166666666664</v>
      </c>
      <c r="AS188" s="87">
        <f ca="1"/>
        <v>688</v>
      </c>
      <c r="AT188" s="87">
        <f ca="1"/>
        <v>614.54</v>
      </c>
    </row>
    <row r="189" spans="13:52" x14ac:dyDescent="0.25">
      <c r="M189" s="42">
        <v>185</v>
      </c>
      <c r="N189" s="3" t="s">
        <v>245</v>
      </c>
      <c r="O189" s="49">
        <f t="shared" si="16"/>
        <v>37939.166666666664</v>
      </c>
      <c r="P189" s="42">
        <v>1531.66</v>
      </c>
      <c r="Q189" s="42">
        <v>688</v>
      </c>
      <c r="R189" s="42">
        <v>1531.31</v>
      </c>
      <c r="S189" s="42">
        <v>614.54</v>
      </c>
      <c r="T189" s="42"/>
      <c r="U189" s="42"/>
      <c r="V189" s="3"/>
      <c r="W189" s="3"/>
      <c r="X189" s="3"/>
      <c r="Y189" s="3"/>
      <c r="Z189" s="3"/>
      <c r="AA189" s="3"/>
      <c r="AB189" s="3"/>
      <c r="AE189" s="42">
        <f t="shared" si="17"/>
        <v>136608</v>
      </c>
      <c r="AF189" s="42">
        <f t="shared" si="18"/>
        <v>136229.45000000001</v>
      </c>
      <c r="AG189" s="42" t="str">
        <f t="shared" si="19"/>
        <v/>
      </c>
      <c r="AH189" s="42" t="str">
        <f t="shared" si="20"/>
        <v/>
      </c>
      <c r="AI189" s="42" t="str">
        <f t="shared" si="21"/>
        <v/>
      </c>
      <c r="AJ189" s="42" t="str">
        <f t="shared" si="22"/>
        <v/>
      </c>
      <c r="AK189" s="42" t="str">
        <f t="shared" si="23"/>
        <v/>
      </c>
      <c r="AO189" s="86">
        <f ca="1"/>
        <v>37939.208333333336</v>
      </c>
      <c r="AP189" s="87">
        <f ca="1"/>
        <v>1531.63</v>
      </c>
      <c r="AQ189" s="87">
        <f ca="1"/>
        <v>1531.29</v>
      </c>
      <c r="AR189" s="88">
        <f ca="1"/>
        <v>37939.208333333336</v>
      </c>
      <c r="AS189" s="87">
        <f ca="1"/>
        <v>675</v>
      </c>
      <c r="AT189" s="87">
        <f ca="1"/>
        <v>602.54999999999995</v>
      </c>
    </row>
    <row r="190" spans="13:52" x14ac:dyDescent="0.25">
      <c r="M190" s="42">
        <v>186</v>
      </c>
      <c r="N190" s="3" t="s">
        <v>246</v>
      </c>
      <c r="O190" s="49">
        <f t="shared" si="16"/>
        <v>37939.208333333336</v>
      </c>
      <c r="P190" s="42">
        <v>1531.63</v>
      </c>
      <c r="Q190" s="42">
        <v>675</v>
      </c>
      <c r="R190" s="42">
        <v>1531.29</v>
      </c>
      <c r="S190" s="42">
        <v>602.54999999999995</v>
      </c>
      <c r="T190" s="42"/>
      <c r="U190" s="42"/>
      <c r="V190" s="3"/>
      <c r="W190" s="3"/>
      <c r="X190" s="3"/>
      <c r="Y190" s="3"/>
      <c r="Z190" s="3"/>
      <c r="AA190" s="3"/>
      <c r="AB190" s="3"/>
      <c r="AE190" s="42">
        <f t="shared" si="17"/>
        <v>137283</v>
      </c>
      <c r="AF190" s="42">
        <f t="shared" si="18"/>
        <v>136832</v>
      </c>
      <c r="AG190" s="42" t="str">
        <f t="shared" si="19"/>
        <v/>
      </c>
      <c r="AH190" s="42" t="str">
        <f t="shared" si="20"/>
        <v/>
      </c>
      <c r="AI190" s="42" t="str">
        <f t="shared" si="21"/>
        <v/>
      </c>
      <c r="AJ190" s="42" t="str">
        <f t="shared" si="22"/>
        <v/>
      </c>
      <c r="AK190" s="42" t="str">
        <f t="shared" si="23"/>
        <v/>
      </c>
      <c r="AO190" s="86">
        <f ca="1"/>
        <v>37939.25</v>
      </c>
      <c r="AP190" s="87">
        <f ca="1"/>
        <v>1531.63</v>
      </c>
      <c r="AQ190" s="87">
        <f ca="1"/>
        <v>1531.27</v>
      </c>
      <c r="AR190" s="88">
        <f ca="1"/>
        <v>37939.25</v>
      </c>
      <c r="AS190" s="87">
        <f ca="1"/>
        <v>675</v>
      </c>
      <c r="AT190" s="87">
        <f ca="1"/>
        <v>594.03</v>
      </c>
    </row>
    <row r="191" spans="13:52" x14ac:dyDescent="0.25">
      <c r="M191" s="42">
        <v>187</v>
      </c>
      <c r="N191" s="3" t="s">
        <v>247</v>
      </c>
      <c r="O191" s="49">
        <f t="shared" si="16"/>
        <v>37939.25</v>
      </c>
      <c r="P191" s="42">
        <v>1531.63</v>
      </c>
      <c r="Q191" s="42">
        <v>675</v>
      </c>
      <c r="R191" s="42">
        <v>1531.27</v>
      </c>
      <c r="S191" s="42">
        <v>594.03</v>
      </c>
      <c r="T191" s="42"/>
      <c r="U191" s="42"/>
      <c r="V191" s="3"/>
      <c r="W191" s="3"/>
      <c r="X191" s="3"/>
      <c r="Y191" s="3"/>
      <c r="Z191" s="3"/>
      <c r="AA191" s="3"/>
      <c r="AB191" s="3"/>
      <c r="AE191" s="42">
        <f t="shared" si="17"/>
        <v>137958</v>
      </c>
      <c r="AF191" s="42">
        <f t="shared" si="18"/>
        <v>137426.03</v>
      </c>
      <c r="AG191" s="42" t="str">
        <f t="shared" si="19"/>
        <v/>
      </c>
      <c r="AH191" s="42" t="str">
        <f t="shared" si="20"/>
        <v/>
      </c>
      <c r="AI191" s="42" t="str">
        <f t="shared" si="21"/>
        <v/>
      </c>
      <c r="AJ191" s="42" t="str">
        <f t="shared" si="22"/>
        <v/>
      </c>
      <c r="AK191" s="42" t="str">
        <f t="shared" si="23"/>
        <v/>
      </c>
      <c r="AO191" s="86">
        <f ca="1"/>
        <v>37939.291666666664</v>
      </c>
      <c r="AP191" s="87">
        <f ca="1"/>
        <v>1531.62</v>
      </c>
      <c r="AQ191" s="87">
        <f ca="1"/>
        <v>1531.26</v>
      </c>
      <c r="AR191" s="88">
        <f ca="1"/>
        <v>37939.291666666664</v>
      </c>
      <c r="AS191" s="87">
        <f ca="1"/>
        <v>671</v>
      </c>
      <c r="AT191" s="87">
        <f ca="1"/>
        <v>588.41</v>
      </c>
    </row>
    <row r="192" spans="13:52" x14ac:dyDescent="0.25">
      <c r="M192" s="42">
        <v>188</v>
      </c>
      <c r="N192" s="3" t="s">
        <v>248</v>
      </c>
      <c r="O192" s="49">
        <f t="shared" si="16"/>
        <v>37939.291666666664</v>
      </c>
      <c r="P192" s="42">
        <v>1531.62</v>
      </c>
      <c r="Q192" s="42">
        <v>671</v>
      </c>
      <c r="R192" s="42">
        <v>1531.26</v>
      </c>
      <c r="S192" s="42">
        <v>588.41</v>
      </c>
      <c r="T192" s="42"/>
      <c r="U192" s="42"/>
      <c r="V192" s="3"/>
      <c r="W192" s="3"/>
      <c r="X192" s="3"/>
      <c r="Y192" s="3"/>
      <c r="Z192" s="3"/>
      <c r="AA192" s="3"/>
      <c r="AB192" s="3"/>
      <c r="AE192" s="42">
        <f t="shared" si="17"/>
        <v>138629</v>
      </c>
      <c r="AF192" s="42">
        <f t="shared" si="18"/>
        <v>138014.44</v>
      </c>
      <c r="AG192" s="42" t="str">
        <f t="shared" si="19"/>
        <v/>
      </c>
      <c r="AH192" s="42" t="str">
        <f t="shared" si="20"/>
        <v/>
      </c>
      <c r="AI192" s="42" t="str">
        <f t="shared" si="21"/>
        <v/>
      </c>
      <c r="AJ192" s="42" t="str">
        <f t="shared" si="22"/>
        <v/>
      </c>
      <c r="AK192" s="42" t="str">
        <f t="shared" si="23"/>
        <v/>
      </c>
      <c r="AO192" s="86">
        <f ca="1"/>
        <v>37939.333333333336</v>
      </c>
      <c r="AP192" s="87">
        <f ca="1"/>
        <v>1531.6</v>
      </c>
      <c r="AQ192" s="87">
        <f ca="1"/>
        <v>1531.24</v>
      </c>
      <c r="AR192" s="88">
        <f ca="1"/>
        <v>37939.333333333336</v>
      </c>
      <c r="AS192" s="87">
        <f ca="1"/>
        <v>663</v>
      </c>
      <c r="AT192" s="87">
        <f ca="1"/>
        <v>577.76</v>
      </c>
    </row>
    <row r="193" spans="13:46" x14ac:dyDescent="0.25">
      <c r="M193" s="42">
        <v>189</v>
      </c>
      <c r="N193" s="3" t="s">
        <v>249</v>
      </c>
      <c r="O193" s="49">
        <f t="shared" si="16"/>
        <v>37939.333333333336</v>
      </c>
      <c r="P193" s="42">
        <v>1531.6</v>
      </c>
      <c r="Q193" s="42">
        <v>663</v>
      </c>
      <c r="R193" s="42">
        <v>1531.24</v>
      </c>
      <c r="S193" s="42">
        <v>577.76</v>
      </c>
      <c r="T193" s="42"/>
      <c r="U193" s="42"/>
      <c r="V193" s="3"/>
      <c r="W193" s="3"/>
      <c r="X193" s="3"/>
      <c r="Y193" s="3"/>
      <c r="Z193" s="3"/>
      <c r="AA193" s="3"/>
      <c r="AB193" s="3"/>
      <c r="AE193" s="42">
        <f t="shared" si="17"/>
        <v>139292</v>
      </c>
      <c r="AF193" s="42">
        <f t="shared" si="18"/>
        <v>138592.20000000001</v>
      </c>
      <c r="AG193" s="42" t="str">
        <f t="shared" si="19"/>
        <v/>
      </c>
      <c r="AH193" s="42" t="str">
        <f t="shared" si="20"/>
        <v/>
      </c>
      <c r="AI193" s="42" t="str">
        <f t="shared" si="21"/>
        <v/>
      </c>
      <c r="AJ193" s="42" t="str">
        <f t="shared" si="22"/>
        <v/>
      </c>
      <c r="AK193" s="42" t="str">
        <f t="shared" si="23"/>
        <v/>
      </c>
      <c r="AO193" s="86">
        <f ca="1"/>
        <v>37939.375</v>
      </c>
      <c r="AP193" s="87">
        <f ca="1"/>
        <v>1531.59</v>
      </c>
      <c r="AQ193" s="87">
        <f ca="1"/>
        <v>1531.22</v>
      </c>
      <c r="AR193" s="88">
        <f ca="1"/>
        <v>37939.375</v>
      </c>
      <c r="AS193" s="87">
        <f ca="1"/>
        <v>659</v>
      </c>
      <c r="AT193" s="87">
        <f ca="1"/>
        <v>569.79999999999995</v>
      </c>
    </row>
    <row r="194" spans="13:46" x14ac:dyDescent="0.25">
      <c r="M194" s="42">
        <v>190</v>
      </c>
      <c r="N194" s="3" t="s">
        <v>250</v>
      </c>
      <c r="O194" s="49">
        <f t="shared" si="16"/>
        <v>37939.375</v>
      </c>
      <c r="P194" s="42">
        <v>1531.59</v>
      </c>
      <c r="Q194" s="42">
        <v>659</v>
      </c>
      <c r="R194" s="42">
        <v>1531.22</v>
      </c>
      <c r="S194" s="42">
        <v>569.79999999999995</v>
      </c>
      <c r="T194" s="42"/>
      <c r="U194" s="42"/>
      <c r="V194" s="3"/>
      <c r="W194" s="3"/>
      <c r="X194" s="3"/>
      <c r="Y194" s="3"/>
      <c r="Z194" s="3"/>
      <c r="AA194" s="3"/>
      <c r="AB194" s="3"/>
      <c r="AE194" s="42">
        <f t="shared" si="17"/>
        <v>139951</v>
      </c>
      <c r="AF194" s="42">
        <f t="shared" si="18"/>
        <v>139162</v>
      </c>
      <c r="AG194" s="42" t="str">
        <f t="shared" si="19"/>
        <v/>
      </c>
      <c r="AH194" s="42" t="str">
        <f t="shared" si="20"/>
        <v/>
      </c>
      <c r="AI194" s="42" t="str">
        <f t="shared" si="21"/>
        <v/>
      </c>
      <c r="AJ194" s="42" t="str">
        <f t="shared" si="22"/>
        <v/>
      </c>
      <c r="AK194" s="42" t="str">
        <f t="shared" si="23"/>
        <v/>
      </c>
      <c r="AO194" s="86">
        <f ca="1"/>
        <v>37939.416666666664</v>
      </c>
      <c r="AP194" s="87">
        <f ca="1"/>
        <v>1531.57</v>
      </c>
      <c r="AQ194" s="87">
        <f ca="1"/>
        <v>1531.2</v>
      </c>
      <c r="AR194" s="88">
        <f ca="1"/>
        <v>37939.416666666664</v>
      </c>
      <c r="AS194" s="87">
        <f ca="1"/>
        <v>650</v>
      </c>
      <c r="AT194" s="87">
        <f ca="1"/>
        <v>561.83000000000004</v>
      </c>
    </row>
    <row r="195" spans="13:46" x14ac:dyDescent="0.25">
      <c r="M195" s="42">
        <v>191</v>
      </c>
      <c r="N195" s="3" t="s">
        <v>251</v>
      </c>
      <c r="O195" s="49">
        <f t="shared" si="16"/>
        <v>37939.416666666664</v>
      </c>
      <c r="P195" s="42">
        <v>1531.57</v>
      </c>
      <c r="Q195" s="42">
        <v>650</v>
      </c>
      <c r="R195" s="42">
        <v>1531.2</v>
      </c>
      <c r="S195" s="42">
        <v>561.83000000000004</v>
      </c>
      <c r="T195" s="42"/>
      <c r="U195" s="42"/>
      <c r="V195" s="3"/>
      <c r="W195" s="3"/>
      <c r="X195" s="3"/>
      <c r="Y195" s="3"/>
      <c r="Z195" s="3"/>
      <c r="AA195" s="3"/>
      <c r="AB195" s="3"/>
      <c r="AE195" s="42">
        <f t="shared" si="17"/>
        <v>140601</v>
      </c>
      <c r="AF195" s="42">
        <f t="shared" si="18"/>
        <v>139723.82999999999</v>
      </c>
      <c r="AG195" s="42" t="str">
        <f t="shared" si="19"/>
        <v/>
      </c>
      <c r="AH195" s="42" t="str">
        <f t="shared" si="20"/>
        <v/>
      </c>
      <c r="AI195" s="42" t="str">
        <f t="shared" si="21"/>
        <v/>
      </c>
      <c r="AJ195" s="42" t="str">
        <f t="shared" si="22"/>
        <v/>
      </c>
      <c r="AK195" s="42" t="str">
        <f t="shared" si="23"/>
        <v/>
      </c>
      <c r="AO195" s="86">
        <f ca="1"/>
        <v>37939.458333333336</v>
      </c>
      <c r="AP195" s="87">
        <f ca="1"/>
        <v>1531.55</v>
      </c>
      <c r="AQ195" s="87">
        <f ca="1"/>
        <v>1531.19</v>
      </c>
      <c r="AR195" s="88">
        <f ca="1"/>
        <v>37939.458333333336</v>
      </c>
      <c r="AS195" s="87">
        <f ca="1"/>
        <v>642</v>
      </c>
      <c r="AT195" s="87">
        <f ca="1"/>
        <v>553.98</v>
      </c>
    </row>
    <row r="196" spans="13:46" x14ac:dyDescent="0.25">
      <c r="M196" s="42">
        <v>192</v>
      </c>
      <c r="N196" s="3" t="s">
        <v>252</v>
      </c>
      <c r="O196" s="49">
        <f t="shared" si="16"/>
        <v>37939.458333333336</v>
      </c>
      <c r="P196" s="42">
        <v>1531.55</v>
      </c>
      <c r="Q196" s="42">
        <v>642</v>
      </c>
      <c r="R196" s="42">
        <v>1531.19</v>
      </c>
      <c r="S196" s="42">
        <v>553.98</v>
      </c>
      <c r="T196" s="42"/>
      <c r="U196" s="42"/>
      <c r="V196" s="3"/>
      <c r="W196" s="3"/>
      <c r="X196" s="3"/>
      <c r="Y196" s="3"/>
      <c r="Z196" s="3"/>
      <c r="AA196" s="3"/>
      <c r="AB196" s="3"/>
      <c r="AE196" s="42">
        <f t="shared" si="17"/>
        <v>141243</v>
      </c>
      <c r="AF196" s="42">
        <f t="shared" si="18"/>
        <v>140277.81</v>
      </c>
      <c r="AG196" s="42" t="str">
        <f t="shared" si="19"/>
        <v/>
      </c>
      <c r="AH196" s="42" t="str">
        <f t="shared" si="20"/>
        <v/>
      </c>
      <c r="AI196" s="42" t="str">
        <f t="shared" si="21"/>
        <v/>
      </c>
      <c r="AJ196" s="42" t="str">
        <f t="shared" si="22"/>
        <v/>
      </c>
      <c r="AK196" s="42" t="str">
        <f t="shared" si="23"/>
        <v/>
      </c>
      <c r="AO196" s="86">
        <f ca="1"/>
        <v>37939.5</v>
      </c>
      <c r="AP196" s="87">
        <f ca="1"/>
        <v>1531.52</v>
      </c>
      <c r="AQ196" s="87">
        <f ca="1"/>
        <v>1531.17</v>
      </c>
      <c r="AR196" s="88">
        <f ca="1"/>
        <v>37939.5</v>
      </c>
      <c r="AS196" s="87">
        <f ca="1"/>
        <v>630</v>
      </c>
      <c r="AT196" s="87">
        <f ca="1"/>
        <v>547.29</v>
      </c>
    </row>
    <row r="197" spans="13:46" x14ac:dyDescent="0.25">
      <c r="M197" s="42">
        <v>193</v>
      </c>
      <c r="N197" s="3" t="s">
        <v>253</v>
      </c>
      <c r="O197" s="49">
        <f t="shared" si="16"/>
        <v>37939.5</v>
      </c>
      <c r="P197" s="42">
        <v>1531.52</v>
      </c>
      <c r="Q197" s="42">
        <v>630</v>
      </c>
      <c r="R197" s="42">
        <v>1531.17</v>
      </c>
      <c r="S197" s="42">
        <v>547.29</v>
      </c>
      <c r="T197" s="42"/>
      <c r="U197" s="42"/>
      <c r="V197" s="3"/>
      <c r="W197" s="3"/>
      <c r="X197" s="3"/>
      <c r="Y197" s="3"/>
      <c r="Z197" s="3"/>
      <c r="AA197" s="3"/>
      <c r="AB197" s="3"/>
      <c r="AE197" s="42">
        <f t="shared" si="17"/>
        <v>141873</v>
      </c>
      <c r="AF197" s="42">
        <f t="shared" si="18"/>
        <v>140825.1</v>
      </c>
      <c r="AG197" s="42" t="str">
        <f t="shared" si="19"/>
        <v/>
      </c>
      <c r="AH197" s="42" t="str">
        <f t="shared" si="20"/>
        <v/>
      </c>
      <c r="AI197" s="42" t="str">
        <f t="shared" si="21"/>
        <v/>
      </c>
      <c r="AJ197" s="42" t="str">
        <f t="shared" si="22"/>
        <v/>
      </c>
      <c r="AK197" s="42" t="str">
        <f t="shared" si="23"/>
        <v/>
      </c>
      <c r="AO197" s="86">
        <f ca="1"/>
        <v>37939.541666666664</v>
      </c>
      <c r="AP197" s="87">
        <f ca="1"/>
        <v>1531.5</v>
      </c>
      <c r="AQ197" s="87">
        <f ca="1"/>
        <v>1531.14</v>
      </c>
      <c r="AR197" s="88">
        <f ca="1"/>
        <v>37939.541666666664</v>
      </c>
      <c r="AS197" s="87">
        <f ca="1"/>
        <v>621</v>
      </c>
      <c r="AT197" s="87">
        <f ca="1"/>
        <v>534.86</v>
      </c>
    </row>
    <row r="198" spans="13:46" x14ac:dyDescent="0.25">
      <c r="M198" s="42">
        <v>194</v>
      </c>
      <c r="N198" s="3" t="s">
        <v>254</v>
      </c>
      <c r="O198" s="49">
        <f t="shared" ref="O198:O261" si="24">IF(ISTEXT(N198),IF(MID(N198,11,2)="24",1+DATEVALUE(LEFT(N198,10))+TIMEVALUE(CONCATENATE(MID(N198,11,2),":",MID(N198,13,2))),DATEVALUE(LEFT(N198,10))+TIMEVALUE(CONCATENATE(MID(N198,11,2),":",MID(N198,13,2)))),"")</f>
        <v>37939.541666666664</v>
      </c>
      <c r="P198" s="42">
        <v>1531.5</v>
      </c>
      <c r="Q198" s="42">
        <v>621</v>
      </c>
      <c r="R198" s="42">
        <v>1531.14</v>
      </c>
      <c r="S198" s="42">
        <v>534.86</v>
      </c>
      <c r="T198" s="42"/>
      <c r="U198" s="42"/>
      <c r="V198" s="3"/>
      <c r="W198" s="3"/>
      <c r="X198" s="3"/>
      <c r="Y198" s="3"/>
      <c r="Z198" s="3"/>
      <c r="AA198" s="3"/>
      <c r="AB198" s="3"/>
      <c r="AE198" s="42">
        <f t="shared" si="17"/>
        <v>142494</v>
      </c>
      <c r="AF198" s="42">
        <f t="shared" si="18"/>
        <v>141359.96</v>
      </c>
      <c r="AG198" s="42" t="str">
        <f t="shared" si="19"/>
        <v/>
      </c>
      <c r="AH198" s="42" t="str">
        <f t="shared" si="20"/>
        <v/>
      </c>
      <c r="AI198" s="42" t="str">
        <f t="shared" si="21"/>
        <v/>
      </c>
      <c r="AJ198" s="42" t="str">
        <f t="shared" si="22"/>
        <v/>
      </c>
      <c r="AK198" s="42" t="str">
        <f t="shared" si="23"/>
        <v/>
      </c>
      <c r="AO198" s="86">
        <f ca="1"/>
        <v>37939.583333333336</v>
      </c>
      <c r="AP198" s="87">
        <f ca="1"/>
        <v>1531.47</v>
      </c>
      <c r="AQ198" s="87">
        <f ca="1"/>
        <v>1531.14</v>
      </c>
      <c r="AR198" s="88">
        <f ca="1"/>
        <v>37939.583333333336</v>
      </c>
      <c r="AS198" s="87">
        <f ca="1"/>
        <v>609</v>
      </c>
      <c r="AT198" s="87">
        <f ca="1"/>
        <v>533.85</v>
      </c>
    </row>
    <row r="199" spans="13:46" x14ac:dyDescent="0.25">
      <c r="M199" s="42">
        <v>195</v>
      </c>
      <c r="N199" s="3" t="s">
        <v>255</v>
      </c>
      <c r="O199" s="49">
        <f t="shared" si="24"/>
        <v>37939.583333333336</v>
      </c>
      <c r="P199" s="42">
        <v>1531.47</v>
      </c>
      <c r="Q199" s="42">
        <v>609</v>
      </c>
      <c r="R199" s="42">
        <v>1531.14</v>
      </c>
      <c r="S199" s="42">
        <v>533.85</v>
      </c>
      <c r="T199" s="42"/>
      <c r="U199" s="42"/>
      <c r="V199" s="3"/>
      <c r="W199" s="3"/>
      <c r="X199" s="3"/>
      <c r="Y199" s="3"/>
      <c r="Z199" s="3"/>
      <c r="AA199" s="3"/>
      <c r="AB199" s="3"/>
      <c r="AE199" s="42">
        <f t="shared" ref="AE199:AE262" si="25">IF(ISNUMBER(Q199),AE198+Q199,"")</f>
        <v>143103</v>
      </c>
      <c r="AF199" s="42">
        <f t="shared" ref="AF199:AF262" si="26">IF(ISNUMBER(S199),AF198+S199,"")</f>
        <v>141893.81</v>
      </c>
      <c r="AG199" s="42" t="str">
        <f t="shared" ref="AG199:AG262" si="27">IF(ISNUMBER(U199),AG198+U199,"")</f>
        <v/>
      </c>
      <c r="AH199" s="42" t="str">
        <f t="shared" ref="AH199:AH262" si="28">IF(ISNUMBER(W199),AH198+W199,"")</f>
        <v/>
      </c>
      <c r="AI199" s="42" t="str">
        <f t="shared" ref="AI199:AI262" si="29">IF(ISNUMBER(Y199),AI198+Y199,"")</f>
        <v/>
      </c>
      <c r="AJ199" s="42" t="str">
        <f t="shared" ref="AJ199:AJ262" si="30">IF(ISNUMBER(AA199),AJ198+AA199,"")</f>
        <v/>
      </c>
      <c r="AK199" s="42" t="str">
        <f t="shared" ref="AK199:AK262" si="31">IF(ISNUMBER(AC199),AK198+AC199,"")</f>
        <v/>
      </c>
      <c r="AO199" s="86">
        <f ca="1"/>
        <v>37939.625</v>
      </c>
      <c r="AP199" s="87">
        <f ca="1"/>
        <v>1531.45</v>
      </c>
      <c r="AQ199" s="87">
        <f ca="1"/>
        <v>1531.13</v>
      </c>
      <c r="AR199" s="88">
        <f ca="1"/>
        <v>37939.625</v>
      </c>
      <c r="AS199" s="87">
        <f ca="1"/>
        <v>601</v>
      </c>
      <c r="AT199" s="87">
        <f ca="1"/>
        <v>530.16</v>
      </c>
    </row>
    <row r="200" spans="13:46" x14ac:dyDescent="0.25">
      <c r="M200" s="42">
        <v>196</v>
      </c>
      <c r="N200" s="3" t="s">
        <v>256</v>
      </c>
      <c r="O200" s="49">
        <f t="shared" si="24"/>
        <v>37939.625</v>
      </c>
      <c r="P200" s="42">
        <v>1531.45</v>
      </c>
      <c r="Q200" s="42">
        <v>601</v>
      </c>
      <c r="R200" s="42">
        <v>1531.13</v>
      </c>
      <c r="S200" s="42">
        <v>530.16</v>
      </c>
      <c r="T200" s="42"/>
      <c r="U200" s="42"/>
      <c r="V200" s="3"/>
      <c r="W200" s="3"/>
      <c r="X200" s="3"/>
      <c r="Y200" s="3"/>
      <c r="Z200" s="3"/>
      <c r="AA200" s="3"/>
      <c r="AB200" s="3"/>
      <c r="AE200" s="42">
        <f t="shared" si="25"/>
        <v>143704</v>
      </c>
      <c r="AF200" s="42">
        <f t="shared" si="26"/>
        <v>142423.97</v>
      </c>
      <c r="AG200" s="42" t="str">
        <f t="shared" si="27"/>
        <v/>
      </c>
      <c r="AH200" s="42" t="str">
        <f t="shared" si="28"/>
        <v/>
      </c>
      <c r="AI200" s="42" t="str">
        <f t="shared" si="29"/>
        <v/>
      </c>
      <c r="AJ200" s="42" t="str">
        <f t="shared" si="30"/>
        <v/>
      </c>
      <c r="AK200" s="42" t="str">
        <f t="shared" si="31"/>
        <v/>
      </c>
      <c r="AO200" s="86">
        <f ca="1"/>
        <v>37939.666666666664</v>
      </c>
      <c r="AP200" s="87">
        <f ca="1"/>
        <v>1531.43</v>
      </c>
      <c r="AQ200" s="87">
        <f ca="1"/>
        <v>1531.13</v>
      </c>
      <c r="AR200" s="88">
        <f ca="1"/>
        <v>37939.666666666664</v>
      </c>
      <c r="AS200" s="87">
        <f ca="1"/>
        <v>593</v>
      </c>
      <c r="AT200" s="87">
        <f ca="1"/>
        <v>529.74</v>
      </c>
    </row>
    <row r="201" spans="13:46" x14ac:dyDescent="0.25">
      <c r="M201" s="42">
        <v>197</v>
      </c>
      <c r="N201" s="3" t="s">
        <v>257</v>
      </c>
      <c r="O201" s="49">
        <f t="shared" si="24"/>
        <v>37939.666666666664</v>
      </c>
      <c r="P201" s="42">
        <v>1531.43</v>
      </c>
      <c r="Q201" s="42">
        <v>593</v>
      </c>
      <c r="R201" s="42">
        <v>1531.13</v>
      </c>
      <c r="S201" s="42">
        <v>529.74</v>
      </c>
      <c r="T201" s="42"/>
      <c r="U201" s="42"/>
      <c r="V201" s="3"/>
      <c r="W201" s="3"/>
      <c r="X201" s="3"/>
      <c r="Y201" s="3"/>
      <c r="Z201" s="3"/>
      <c r="AA201" s="3"/>
      <c r="AB201" s="3"/>
      <c r="AE201" s="42">
        <f t="shared" si="25"/>
        <v>144297</v>
      </c>
      <c r="AF201" s="42">
        <f t="shared" si="26"/>
        <v>142953.71</v>
      </c>
      <c r="AG201" s="42" t="str">
        <f t="shared" si="27"/>
        <v/>
      </c>
      <c r="AH201" s="42" t="str">
        <f t="shared" si="28"/>
        <v/>
      </c>
      <c r="AI201" s="42" t="str">
        <f t="shared" si="29"/>
        <v/>
      </c>
      <c r="AJ201" s="42" t="str">
        <f t="shared" si="30"/>
        <v/>
      </c>
      <c r="AK201" s="42" t="str">
        <f t="shared" si="31"/>
        <v/>
      </c>
      <c r="AO201" s="86">
        <f ca="1"/>
        <v>37939.708333333336</v>
      </c>
      <c r="AP201" s="87">
        <f ca="1"/>
        <v>1531.4</v>
      </c>
      <c r="AQ201" s="87">
        <f ca="1"/>
        <v>1531.13</v>
      </c>
      <c r="AR201" s="88">
        <f ca="1"/>
        <v>37939.708333333336</v>
      </c>
      <c r="AS201" s="87">
        <f ca="1"/>
        <v>582</v>
      </c>
      <c r="AT201" s="87">
        <f ca="1"/>
        <v>525.84</v>
      </c>
    </row>
    <row r="202" spans="13:46" x14ac:dyDescent="0.25">
      <c r="M202" s="42">
        <v>198</v>
      </c>
      <c r="N202" s="3" t="s">
        <v>258</v>
      </c>
      <c r="O202" s="49">
        <f t="shared" si="24"/>
        <v>37939.708333333336</v>
      </c>
      <c r="P202" s="42">
        <v>1531.4</v>
      </c>
      <c r="Q202" s="42">
        <v>582</v>
      </c>
      <c r="R202" s="42">
        <v>1531.13</v>
      </c>
      <c r="S202" s="42">
        <v>525.84</v>
      </c>
      <c r="T202" s="42"/>
      <c r="U202" s="42"/>
      <c r="V202" s="3"/>
      <c r="W202" s="3"/>
      <c r="X202" s="3"/>
      <c r="Y202" s="3"/>
      <c r="Z202" s="3"/>
      <c r="AA202" s="3"/>
      <c r="AB202" s="3"/>
      <c r="AE202" s="42">
        <f t="shared" si="25"/>
        <v>144879</v>
      </c>
      <c r="AF202" s="42">
        <f t="shared" si="26"/>
        <v>143479.54999999999</v>
      </c>
      <c r="AG202" s="42" t="str">
        <f t="shared" si="27"/>
        <v/>
      </c>
      <c r="AH202" s="42" t="str">
        <f t="shared" si="28"/>
        <v/>
      </c>
      <c r="AI202" s="42" t="str">
        <f t="shared" si="29"/>
        <v/>
      </c>
      <c r="AJ202" s="42" t="str">
        <f t="shared" si="30"/>
        <v/>
      </c>
      <c r="AK202" s="42" t="str">
        <f t="shared" si="31"/>
        <v/>
      </c>
      <c r="AO202" s="86">
        <f ca="1"/>
        <v>37939.75</v>
      </c>
      <c r="AP202" s="87">
        <f ca="1"/>
        <v>1531.38</v>
      </c>
      <c r="AQ202" s="87">
        <f ca="1"/>
        <v>1531.11</v>
      </c>
      <c r="AR202" s="88">
        <f ca="1"/>
        <v>37939.75</v>
      </c>
      <c r="AS202" s="87">
        <f ca="1"/>
        <v>574</v>
      </c>
      <c r="AT202" s="87">
        <f ca="1"/>
        <v>518.89</v>
      </c>
    </row>
    <row r="203" spans="13:46" x14ac:dyDescent="0.25">
      <c r="M203" s="42">
        <v>199</v>
      </c>
      <c r="N203" s="3" t="s">
        <v>259</v>
      </c>
      <c r="O203" s="49">
        <f t="shared" si="24"/>
        <v>37939.75</v>
      </c>
      <c r="P203" s="42">
        <v>1531.38</v>
      </c>
      <c r="Q203" s="42">
        <v>574</v>
      </c>
      <c r="R203" s="42">
        <v>1531.11</v>
      </c>
      <c r="S203" s="42">
        <v>518.89</v>
      </c>
      <c r="T203" s="42"/>
      <c r="U203" s="42"/>
      <c r="V203" s="3"/>
      <c r="W203" s="3"/>
      <c r="X203" s="3"/>
      <c r="Y203" s="3"/>
      <c r="Z203" s="3"/>
      <c r="AA203" s="3"/>
      <c r="AB203" s="3"/>
      <c r="AE203" s="42">
        <f t="shared" si="25"/>
        <v>145453</v>
      </c>
      <c r="AF203" s="42">
        <f t="shared" si="26"/>
        <v>143998.44</v>
      </c>
      <c r="AG203" s="42" t="str">
        <f t="shared" si="27"/>
        <v/>
      </c>
      <c r="AH203" s="42" t="str">
        <f t="shared" si="28"/>
        <v/>
      </c>
      <c r="AI203" s="42" t="str">
        <f t="shared" si="29"/>
        <v/>
      </c>
      <c r="AJ203" s="42" t="str">
        <f t="shared" si="30"/>
        <v/>
      </c>
      <c r="AK203" s="42" t="str">
        <f t="shared" si="31"/>
        <v/>
      </c>
      <c r="AO203" s="86">
        <f ca="1"/>
        <v>37939.791666666664</v>
      </c>
      <c r="AP203" s="87">
        <f ca="1"/>
        <v>1531.36</v>
      </c>
      <c r="AQ203" s="87">
        <f ca="1"/>
        <v>1531.1</v>
      </c>
      <c r="AR203" s="88">
        <f ca="1"/>
        <v>37939.791666666664</v>
      </c>
      <c r="AS203" s="87">
        <f ca="1"/>
        <v>566</v>
      </c>
      <c r="AT203" s="87">
        <f ca="1"/>
        <v>512.99</v>
      </c>
    </row>
    <row r="204" spans="13:46" x14ac:dyDescent="0.25">
      <c r="M204" s="42">
        <v>200</v>
      </c>
      <c r="N204" s="3" t="s">
        <v>260</v>
      </c>
      <c r="O204" s="49">
        <f t="shared" si="24"/>
        <v>37939.791666666664</v>
      </c>
      <c r="P204" s="42">
        <v>1531.36</v>
      </c>
      <c r="Q204" s="42">
        <v>566</v>
      </c>
      <c r="R204" s="42">
        <v>1531.1</v>
      </c>
      <c r="S204" s="42">
        <v>512.99</v>
      </c>
      <c r="T204" s="42"/>
      <c r="U204" s="42"/>
      <c r="V204" s="3"/>
      <c r="W204" s="3"/>
      <c r="X204" s="3"/>
      <c r="Y204" s="3"/>
      <c r="Z204" s="3"/>
      <c r="AA204" s="3"/>
      <c r="AB204" s="3"/>
      <c r="AE204" s="42">
        <f t="shared" si="25"/>
        <v>146019</v>
      </c>
      <c r="AF204" s="42">
        <f t="shared" si="26"/>
        <v>144511.43</v>
      </c>
      <c r="AG204" s="42" t="str">
        <f t="shared" si="27"/>
        <v/>
      </c>
      <c r="AH204" s="42" t="str">
        <f t="shared" si="28"/>
        <v/>
      </c>
      <c r="AI204" s="42" t="str">
        <f t="shared" si="29"/>
        <v/>
      </c>
      <c r="AJ204" s="42" t="str">
        <f t="shared" si="30"/>
        <v/>
      </c>
      <c r="AK204" s="42" t="str">
        <f t="shared" si="31"/>
        <v/>
      </c>
      <c r="AO204" s="86">
        <f ca="1"/>
        <v>37939.833333333336</v>
      </c>
      <c r="AP204" s="87">
        <f ca="1"/>
        <v>1531.34</v>
      </c>
      <c r="AQ204" s="87">
        <f ca="1"/>
        <v>1531.09</v>
      </c>
      <c r="AR204" s="88">
        <f ca="1"/>
        <v>37939.833333333336</v>
      </c>
      <c r="AS204" s="87">
        <f ca="1"/>
        <v>558</v>
      </c>
      <c r="AT204" s="87">
        <f ca="1"/>
        <v>509.19</v>
      </c>
    </row>
    <row r="205" spans="13:46" x14ac:dyDescent="0.25">
      <c r="M205" s="42">
        <v>201</v>
      </c>
      <c r="N205" s="3" t="s">
        <v>261</v>
      </c>
      <c r="O205" s="49">
        <f t="shared" si="24"/>
        <v>37939.833333333336</v>
      </c>
      <c r="P205" s="42">
        <v>1531.34</v>
      </c>
      <c r="Q205" s="42">
        <v>558</v>
      </c>
      <c r="R205" s="42">
        <v>1531.09</v>
      </c>
      <c r="S205" s="42">
        <v>509.19</v>
      </c>
      <c r="T205" s="42"/>
      <c r="U205" s="42"/>
      <c r="V205" s="3"/>
      <c r="W205" s="3"/>
      <c r="X205" s="3"/>
      <c r="Y205" s="3"/>
      <c r="Z205" s="3"/>
      <c r="AA205" s="3"/>
      <c r="AB205" s="3"/>
      <c r="AE205" s="42">
        <f t="shared" si="25"/>
        <v>146577</v>
      </c>
      <c r="AF205" s="42">
        <f t="shared" si="26"/>
        <v>145020.62</v>
      </c>
      <c r="AG205" s="42" t="str">
        <f t="shared" si="27"/>
        <v/>
      </c>
      <c r="AH205" s="42" t="str">
        <f t="shared" si="28"/>
        <v/>
      </c>
      <c r="AI205" s="42" t="str">
        <f t="shared" si="29"/>
        <v/>
      </c>
      <c r="AJ205" s="42" t="str">
        <f t="shared" si="30"/>
        <v/>
      </c>
      <c r="AK205" s="42" t="str">
        <f t="shared" si="31"/>
        <v/>
      </c>
      <c r="AO205" s="86">
        <f ca="1"/>
        <v>37939.875</v>
      </c>
      <c r="AP205" s="87">
        <f ca="1"/>
        <v>1531.32</v>
      </c>
      <c r="AQ205" s="87">
        <f ca="1"/>
        <v>1531.08</v>
      </c>
      <c r="AR205" s="88">
        <f ca="1"/>
        <v>37939.875</v>
      </c>
      <c r="AS205" s="87">
        <f ca="1"/>
        <v>551</v>
      </c>
      <c r="AT205" s="87">
        <f ca="1"/>
        <v>504.57</v>
      </c>
    </row>
    <row r="206" spans="13:46" x14ac:dyDescent="0.25">
      <c r="M206" s="42">
        <v>202</v>
      </c>
      <c r="N206" s="3" t="s">
        <v>262</v>
      </c>
      <c r="O206" s="49">
        <f t="shared" si="24"/>
        <v>37939.875</v>
      </c>
      <c r="P206" s="42">
        <v>1531.32</v>
      </c>
      <c r="Q206" s="42">
        <v>551</v>
      </c>
      <c r="R206" s="42">
        <v>1531.08</v>
      </c>
      <c r="S206" s="42">
        <v>504.57</v>
      </c>
      <c r="T206" s="42"/>
      <c r="U206" s="42"/>
      <c r="V206" s="3"/>
      <c r="W206" s="3"/>
      <c r="X206" s="3"/>
      <c r="Y206" s="3"/>
      <c r="Z206" s="3"/>
      <c r="AA206" s="3"/>
      <c r="AB206" s="3"/>
      <c r="AE206" s="42">
        <f t="shared" si="25"/>
        <v>147128</v>
      </c>
      <c r="AF206" s="42">
        <f t="shared" si="26"/>
        <v>145525.19</v>
      </c>
      <c r="AG206" s="42" t="str">
        <f t="shared" si="27"/>
        <v/>
      </c>
      <c r="AH206" s="42" t="str">
        <f t="shared" si="28"/>
        <v/>
      </c>
      <c r="AI206" s="42" t="str">
        <f t="shared" si="29"/>
        <v/>
      </c>
      <c r="AJ206" s="42" t="str">
        <f t="shared" si="30"/>
        <v/>
      </c>
      <c r="AK206" s="42" t="str">
        <f t="shared" si="31"/>
        <v/>
      </c>
      <c r="AO206" s="86">
        <f ca="1"/>
        <v>37939.916666666664</v>
      </c>
      <c r="AP206" s="87">
        <f ca="1"/>
        <v>1531.31</v>
      </c>
      <c r="AQ206" s="87">
        <f ca="1"/>
        <v>1531.07</v>
      </c>
      <c r="AR206" s="88">
        <f ca="1"/>
        <v>37939.916666666664</v>
      </c>
      <c r="AS206" s="87">
        <f ca="1"/>
        <v>547</v>
      </c>
      <c r="AT206" s="87">
        <f ca="1"/>
        <v>500.11</v>
      </c>
    </row>
    <row r="207" spans="13:46" x14ac:dyDescent="0.25">
      <c r="M207" s="42">
        <v>203</v>
      </c>
      <c r="N207" s="3" t="s">
        <v>263</v>
      </c>
      <c r="O207" s="49">
        <f t="shared" si="24"/>
        <v>37939.916666666664</v>
      </c>
      <c r="P207" s="42">
        <v>1531.31</v>
      </c>
      <c r="Q207" s="42">
        <v>547</v>
      </c>
      <c r="R207" s="42">
        <v>1531.07</v>
      </c>
      <c r="S207" s="42">
        <v>500.11</v>
      </c>
      <c r="T207" s="42"/>
      <c r="U207" s="42"/>
      <c r="V207" s="3"/>
      <c r="W207" s="3"/>
      <c r="X207" s="3"/>
      <c r="Y207" s="3"/>
      <c r="Z207" s="3"/>
      <c r="AA207" s="3"/>
      <c r="AB207" s="3"/>
      <c r="AE207" s="42">
        <f t="shared" si="25"/>
        <v>147675</v>
      </c>
      <c r="AF207" s="42">
        <f t="shared" si="26"/>
        <v>146025.29999999999</v>
      </c>
      <c r="AG207" s="42" t="str">
        <f t="shared" si="27"/>
        <v/>
      </c>
      <c r="AH207" s="42" t="str">
        <f t="shared" si="28"/>
        <v/>
      </c>
      <c r="AI207" s="42" t="str">
        <f t="shared" si="29"/>
        <v/>
      </c>
      <c r="AJ207" s="42" t="str">
        <f t="shared" si="30"/>
        <v/>
      </c>
      <c r="AK207" s="42" t="str">
        <f t="shared" si="31"/>
        <v/>
      </c>
      <c r="AO207" s="86">
        <f ca="1"/>
        <v>37939.958333333336</v>
      </c>
      <c r="AP207" s="87">
        <f ca="1"/>
        <v>1531.29</v>
      </c>
      <c r="AQ207" s="87">
        <f ca="1"/>
        <v>1531.06</v>
      </c>
      <c r="AR207" s="88">
        <f ca="1"/>
        <v>37939.958333333336</v>
      </c>
      <c r="AS207" s="87">
        <f ca="1"/>
        <v>539</v>
      </c>
      <c r="AT207" s="87">
        <f ca="1"/>
        <v>496.28</v>
      </c>
    </row>
    <row r="208" spans="13:46" x14ac:dyDescent="0.25">
      <c r="M208" s="42">
        <v>204</v>
      </c>
      <c r="N208" s="3" t="s">
        <v>264</v>
      </c>
      <c r="O208" s="49">
        <f t="shared" si="24"/>
        <v>37939.958333333336</v>
      </c>
      <c r="P208" s="42">
        <v>1531.29</v>
      </c>
      <c r="Q208" s="42">
        <v>539</v>
      </c>
      <c r="R208" s="42">
        <v>1531.06</v>
      </c>
      <c r="S208" s="42">
        <v>496.28</v>
      </c>
      <c r="T208" s="42"/>
      <c r="U208" s="42"/>
      <c r="V208" s="3"/>
      <c r="W208" s="3"/>
      <c r="X208" s="3"/>
      <c r="Y208" s="3"/>
      <c r="Z208" s="3"/>
      <c r="AA208" s="3"/>
      <c r="AB208" s="3"/>
      <c r="AE208" s="42">
        <f t="shared" si="25"/>
        <v>148214</v>
      </c>
      <c r="AF208" s="42">
        <f t="shared" si="26"/>
        <v>146521.57999999999</v>
      </c>
      <c r="AG208" s="42" t="str">
        <f t="shared" si="27"/>
        <v/>
      </c>
      <c r="AH208" s="42" t="str">
        <f t="shared" si="28"/>
        <v/>
      </c>
      <c r="AI208" s="42" t="str">
        <f t="shared" si="29"/>
        <v/>
      </c>
      <c r="AJ208" s="42" t="str">
        <f t="shared" si="30"/>
        <v/>
      </c>
      <c r="AK208" s="42" t="str">
        <f t="shared" si="31"/>
        <v/>
      </c>
      <c r="AO208" s="86">
        <f ca="1"/>
        <v>37940</v>
      </c>
      <c r="AP208" s="87">
        <f ca="1"/>
        <v>1531.27</v>
      </c>
      <c r="AQ208" s="87">
        <f ca="1"/>
        <v>1531.05</v>
      </c>
      <c r="AR208" s="88">
        <f ca="1"/>
        <v>37940</v>
      </c>
      <c r="AS208" s="87">
        <f ca="1"/>
        <v>532</v>
      </c>
      <c r="AT208" s="87">
        <f ca="1"/>
        <v>492.15</v>
      </c>
    </row>
    <row r="209" spans="13:46" x14ac:dyDescent="0.25">
      <c r="M209" s="42">
        <v>205</v>
      </c>
      <c r="N209" s="3" t="s">
        <v>265</v>
      </c>
      <c r="O209" s="49">
        <f t="shared" si="24"/>
        <v>37940</v>
      </c>
      <c r="P209" s="42">
        <v>1531.27</v>
      </c>
      <c r="Q209" s="42">
        <v>532</v>
      </c>
      <c r="R209" s="42">
        <v>1531.05</v>
      </c>
      <c r="S209" s="42">
        <v>492.15</v>
      </c>
      <c r="T209" s="42"/>
      <c r="U209" s="42"/>
      <c r="V209" s="3"/>
      <c r="W209" s="3"/>
      <c r="X209" s="3"/>
      <c r="Y209" s="3"/>
      <c r="Z209" s="3"/>
      <c r="AA209" s="3"/>
      <c r="AB209" s="3"/>
      <c r="AE209" s="42">
        <f t="shared" si="25"/>
        <v>148746</v>
      </c>
      <c r="AF209" s="42">
        <f t="shared" si="26"/>
        <v>147013.72999999998</v>
      </c>
      <c r="AG209" s="42" t="str">
        <f t="shared" si="27"/>
        <v/>
      </c>
      <c r="AH209" s="42" t="str">
        <f t="shared" si="28"/>
        <v/>
      </c>
      <c r="AI209" s="42" t="str">
        <f t="shared" si="29"/>
        <v/>
      </c>
      <c r="AJ209" s="42" t="str">
        <f t="shared" si="30"/>
        <v/>
      </c>
      <c r="AK209" s="42" t="str">
        <f t="shared" si="31"/>
        <v/>
      </c>
      <c r="AO209" s="86">
        <f ca="1"/>
        <v>37940.041666666664</v>
      </c>
      <c r="AP209" s="87">
        <f ca="1"/>
        <v>1531.25</v>
      </c>
      <c r="AQ209" s="87">
        <f ca="1"/>
        <v>1531.04</v>
      </c>
      <c r="AR209" s="88">
        <f ca="1"/>
        <v>37940.041666666664</v>
      </c>
      <c r="AS209" s="87">
        <f ca="1"/>
        <v>525</v>
      </c>
      <c r="AT209" s="87">
        <f ca="1"/>
        <v>487.14</v>
      </c>
    </row>
    <row r="210" spans="13:46" x14ac:dyDescent="0.25">
      <c r="M210" s="42">
        <v>206</v>
      </c>
      <c r="N210" s="3" t="s">
        <v>266</v>
      </c>
      <c r="O210" s="49">
        <f t="shared" si="24"/>
        <v>37940.041666666664</v>
      </c>
      <c r="P210" s="42">
        <v>1531.25</v>
      </c>
      <c r="Q210" s="42">
        <v>525</v>
      </c>
      <c r="R210" s="42">
        <v>1531.04</v>
      </c>
      <c r="S210" s="42">
        <v>487.14</v>
      </c>
      <c r="T210" s="42"/>
      <c r="U210" s="42"/>
      <c r="V210" s="3"/>
      <c r="W210" s="3"/>
      <c r="X210" s="3"/>
      <c r="Y210" s="3"/>
      <c r="Z210" s="3"/>
      <c r="AA210" s="3"/>
      <c r="AB210" s="3"/>
      <c r="AE210" s="42">
        <f t="shared" si="25"/>
        <v>149271</v>
      </c>
      <c r="AF210" s="42">
        <f t="shared" si="26"/>
        <v>147500.87</v>
      </c>
      <c r="AG210" s="42" t="str">
        <f t="shared" si="27"/>
        <v/>
      </c>
      <c r="AH210" s="42" t="str">
        <f t="shared" si="28"/>
        <v/>
      </c>
      <c r="AI210" s="42" t="str">
        <f t="shared" si="29"/>
        <v/>
      </c>
      <c r="AJ210" s="42" t="str">
        <f t="shared" si="30"/>
        <v/>
      </c>
      <c r="AK210" s="42" t="str">
        <f t="shared" si="31"/>
        <v/>
      </c>
      <c r="AO210" s="86">
        <f ca="1"/>
        <v>37940.083333333336</v>
      </c>
      <c r="AP210" s="87">
        <f ca="1"/>
        <v>1531.23</v>
      </c>
      <c r="AQ210" s="87">
        <f ca="1"/>
        <v>1531.03</v>
      </c>
      <c r="AR210" s="88">
        <f ca="1"/>
        <v>37940.083333333336</v>
      </c>
      <c r="AS210" s="87">
        <f ca="1"/>
        <v>517</v>
      </c>
      <c r="AT210" s="87">
        <f ca="1"/>
        <v>483.16</v>
      </c>
    </row>
    <row r="211" spans="13:46" x14ac:dyDescent="0.25">
      <c r="M211" s="42">
        <v>207</v>
      </c>
      <c r="N211" s="3" t="s">
        <v>267</v>
      </c>
      <c r="O211" s="49">
        <f t="shared" si="24"/>
        <v>37940.083333333336</v>
      </c>
      <c r="P211" s="42">
        <v>1531.23</v>
      </c>
      <c r="Q211" s="42">
        <v>517</v>
      </c>
      <c r="R211" s="42">
        <v>1531.03</v>
      </c>
      <c r="S211" s="42">
        <v>483.16</v>
      </c>
      <c r="T211" s="42"/>
      <c r="U211" s="42"/>
      <c r="V211" s="3"/>
      <c r="W211" s="3"/>
      <c r="X211" s="3"/>
      <c r="Y211" s="3"/>
      <c r="Z211" s="3"/>
      <c r="AA211" s="3"/>
      <c r="AB211" s="3"/>
      <c r="AE211" s="42">
        <f t="shared" si="25"/>
        <v>149788</v>
      </c>
      <c r="AF211" s="42">
        <f t="shared" si="26"/>
        <v>147984.03</v>
      </c>
      <c r="AG211" s="42" t="str">
        <f t="shared" si="27"/>
        <v/>
      </c>
      <c r="AH211" s="42" t="str">
        <f t="shared" si="28"/>
        <v/>
      </c>
      <c r="AI211" s="42" t="str">
        <f t="shared" si="29"/>
        <v/>
      </c>
      <c r="AJ211" s="42" t="str">
        <f t="shared" si="30"/>
        <v/>
      </c>
      <c r="AK211" s="42" t="str">
        <f t="shared" si="31"/>
        <v/>
      </c>
      <c r="AO211" s="86">
        <f ca="1"/>
        <v>37940.125</v>
      </c>
      <c r="AP211" s="87">
        <f ca="1"/>
        <v>1531.22</v>
      </c>
      <c r="AQ211" s="87">
        <f ca="1"/>
        <v>1531.02</v>
      </c>
      <c r="AR211" s="88">
        <f ca="1"/>
        <v>37940.125</v>
      </c>
      <c r="AS211" s="87">
        <f ca="1"/>
        <v>514</v>
      </c>
      <c r="AT211" s="87">
        <f ca="1"/>
        <v>478.09</v>
      </c>
    </row>
    <row r="212" spans="13:46" x14ac:dyDescent="0.25">
      <c r="M212" s="42">
        <v>208</v>
      </c>
      <c r="N212" s="3" t="s">
        <v>268</v>
      </c>
      <c r="O212" s="49">
        <f t="shared" si="24"/>
        <v>37940.125</v>
      </c>
      <c r="P212" s="42">
        <v>1531.22</v>
      </c>
      <c r="Q212" s="42">
        <v>514</v>
      </c>
      <c r="R212" s="42">
        <v>1531.02</v>
      </c>
      <c r="S212" s="42">
        <v>478.09</v>
      </c>
      <c r="T212" s="42"/>
      <c r="U212" s="42"/>
      <c r="V212" s="3"/>
      <c r="W212" s="3"/>
      <c r="X212" s="3"/>
      <c r="Y212" s="3"/>
      <c r="Z212" s="3"/>
      <c r="AA212" s="3"/>
      <c r="AB212" s="3"/>
      <c r="AE212" s="42">
        <f t="shared" si="25"/>
        <v>150302</v>
      </c>
      <c r="AF212" s="42">
        <f t="shared" si="26"/>
        <v>148462.12</v>
      </c>
      <c r="AG212" s="42" t="str">
        <f t="shared" si="27"/>
        <v/>
      </c>
      <c r="AH212" s="42" t="str">
        <f t="shared" si="28"/>
        <v/>
      </c>
      <c r="AI212" s="42" t="str">
        <f t="shared" si="29"/>
        <v/>
      </c>
      <c r="AJ212" s="42" t="str">
        <f t="shared" si="30"/>
        <v/>
      </c>
      <c r="AK212" s="42" t="str">
        <f t="shared" si="31"/>
        <v/>
      </c>
      <c r="AO212" s="86">
        <f ca="1"/>
        <v>37940.166666666664</v>
      </c>
      <c r="AP212" s="87">
        <f ca="1"/>
        <v>1531.21</v>
      </c>
      <c r="AQ212" s="87">
        <f ca="1"/>
        <v>1531.01</v>
      </c>
      <c r="AR212" s="88">
        <f ca="1"/>
        <v>37940.166666666664</v>
      </c>
      <c r="AS212" s="87">
        <f ca="1"/>
        <v>510</v>
      </c>
      <c r="AT212" s="87">
        <f ca="1"/>
        <v>473.6</v>
      </c>
    </row>
    <row r="213" spans="13:46" x14ac:dyDescent="0.25">
      <c r="M213" s="42">
        <v>209</v>
      </c>
      <c r="N213" s="3" t="s">
        <v>269</v>
      </c>
      <c r="O213" s="49">
        <f t="shared" si="24"/>
        <v>37940.166666666664</v>
      </c>
      <c r="P213" s="42">
        <v>1531.21</v>
      </c>
      <c r="Q213" s="42">
        <v>510</v>
      </c>
      <c r="R213" s="42">
        <v>1531.01</v>
      </c>
      <c r="S213" s="42">
        <v>473.6</v>
      </c>
      <c r="T213" s="42"/>
      <c r="U213" s="42"/>
      <c r="V213" s="3"/>
      <c r="W213" s="3"/>
      <c r="X213" s="3"/>
      <c r="Y213" s="3"/>
      <c r="Z213" s="3"/>
      <c r="AA213" s="3"/>
      <c r="AB213" s="3"/>
      <c r="AE213" s="42">
        <f t="shared" si="25"/>
        <v>150812</v>
      </c>
      <c r="AF213" s="42">
        <f t="shared" si="26"/>
        <v>148935.72</v>
      </c>
      <c r="AG213" s="42" t="str">
        <f t="shared" si="27"/>
        <v/>
      </c>
      <c r="AH213" s="42" t="str">
        <f t="shared" si="28"/>
        <v/>
      </c>
      <c r="AI213" s="42" t="str">
        <f t="shared" si="29"/>
        <v/>
      </c>
      <c r="AJ213" s="42" t="str">
        <f t="shared" si="30"/>
        <v/>
      </c>
      <c r="AK213" s="42" t="str">
        <f t="shared" si="31"/>
        <v/>
      </c>
      <c r="AO213" s="86">
        <f ca="1"/>
        <v>37940.208333333336</v>
      </c>
      <c r="AP213" s="87">
        <f ca="1"/>
        <v>1531.19</v>
      </c>
      <c r="AQ213" s="87">
        <f ca="1"/>
        <v>1531</v>
      </c>
      <c r="AR213" s="88">
        <f ca="1"/>
        <v>37940.208333333336</v>
      </c>
      <c r="AS213" s="87">
        <f ca="1"/>
        <v>503</v>
      </c>
      <c r="AT213" s="87">
        <f ca="1"/>
        <v>468.94</v>
      </c>
    </row>
    <row r="214" spans="13:46" x14ac:dyDescent="0.25">
      <c r="M214" s="42">
        <v>210</v>
      </c>
      <c r="N214" s="3" t="s">
        <v>270</v>
      </c>
      <c r="O214" s="49">
        <f t="shared" si="24"/>
        <v>37940.208333333336</v>
      </c>
      <c r="P214" s="42">
        <v>1531.19</v>
      </c>
      <c r="Q214" s="42">
        <v>503</v>
      </c>
      <c r="R214" s="42">
        <v>1531</v>
      </c>
      <c r="S214" s="42">
        <v>468.94</v>
      </c>
      <c r="T214" s="42"/>
      <c r="U214" s="42"/>
      <c r="V214" s="3"/>
      <c r="W214" s="3"/>
      <c r="X214" s="3"/>
      <c r="Y214" s="3"/>
      <c r="Z214" s="3"/>
      <c r="AA214" s="3"/>
      <c r="AB214" s="3"/>
      <c r="AE214" s="42">
        <f t="shared" si="25"/>
        <v>151315</v>
      </c>
      <c r="AF214" s="42">
        <f t="shared" si="26"/>
        <v>149404.66</v>
      </c>
      <c r="AG214" s="42" t="str">
        <f t="shared" si="27"/>
        <v/>
      </c>
      <c r="AH214" s="42" t="str">
        <f t="shared" si="28"/>
        <v/>
      </c>
      <c r="AI214" s="42" t="str">
        <f t="shared" si="29"/>
        <v/>
      </c>
      <c r="AJ214" s="42" t="str">
        <f t="shared" si="30"/>
        <v/>
      </c>
      <c r="AK214" s="42" t="str">
        <f t="shared" si="31"/>
        <v/>
      </c>
      <c r="AO214" s="86">
        <f ca="1"/>
        <v>37940.25</v>
      </c>
      <c r="AP214" s="87">
        <f ca="1"/>
        <v>1531.18</v>
      </c>
      <c r="AQ214" s="87">
        <f ca="1"/>
        <v>1530.99</v>
      </c>
      <c r="AR214" s="88">
        <f ca="1"/>
        <v>37940.25</v>
      </c>
      <c r="AS214" s="87">
        <f ca="1"/>
        <v>499</v>
      </c>
      <c r="AT214" s="87">
        <f ca="1"/>
        <v>464.11</v>
      </c>
    </row>
    <row r="215" spans="13:46" x14ac:dyDescent="0.25">
      <c r="M215" s="42">
        <v>211</v>
      </c>
      <c r="N215" s="3" t="s">
        <v>271</v>
      </c>
      <c r="O215" s="49">
        <f t="shared" si="24"/>
        <v>37940.25</v>
      </c>
      <c r="P215" s="42">
        <v>1531.18</v>
      </c>
      <c r="Q215" s="42">
        <v>499</v>
      </c>
      <c r="R215" s="42">
        <v>1530.99</v>
      </c>
      <c r="S215" s="42">
        <v>464.11</v>
      </c>
      <c r="T215" s="42"/>
      <c r="U215" s="42"/>
      <c r="V215" s="3"/>
      <c r="W215" s="3"/>
      <c r="X215" s="3"/>
      <c r="Y215" s="3"/>
      <c r="Z215" s="3"/>
      <c r="AA215" s="3"/>
      <c r="AB215" s="3"/>
      <c r="AE215" s="42">
        <f t="shared" si="25"/>
        <v>151814</v>
      </c>
      <c r="AF215" s="42">
        <f t="shared" si="26"/>
        <v>149868.76999999999</v>
      </c>
      <c r="AG215" s="42" t="str">
        <f t="shared" si="27"/>
        <v/>
      </c>
      <c r="AH215" s="42" t="str">
        <f t="shared" si="28"/>
        <v/>
      </c>
      <c r="AI215" s="42" t="str">
        <f t="shared" si="29"/>
        <v/>
      </c>
      <c r="AJ215" s="42" t="str">
        <f t="shared" si="30"/>
        <v/>
      </c>
      <c r="AK215" s="42" t="str">
        <f t="shared" si="31"/>
        <v/>
      </c>
      <c r="AO215" s="86">
        <f ca="1"/>
        <v>37940.291666666664</v>
      </c>
      <c r="AP215" s="87">
        <f ca="1"/>
        <v>1531.16</v>
      </c>
      <c r="AQ215" s="87">
        <f ca="1"/>
        <v>1530.98</v>
      </c>
      <c r="AR215" s="88">
        <f ca="1"/>
        <v>37940.291666666664</v>
      </c>
      <c r="AS215" s="87">
        <f ca="1"/>
        <v>492</v>
      </c>
      <c r="AT215" s="87">
        <f ca="1"/>
        <v>458.81</v>
      </c>
    </row>
    <row r="216" spans="13:46" x14ac:dyDescent="0.25">
      <c r="M216" s="42">
        <v>212</v>
      </c>
      <c r="N216" s="3" t="s">
        <v>272</v>
      </c>
      <c r="O216" s="49">
        <f t="shared" si="24"/>
        <v>37940.291666666664</v>
      </c>
      <c r="P216" s="42">
        <v>1531.16</v>
      </c>
      <c r="Q216" s="42">
        <v>492</v>
      </c>
      <c r="R216" s="42">
        <v>1530.98</v>
      </c>
      <c r="S216" s="42">
        <v>458.81</v>
      </c>
      <c r="T216" s="42"/>
      <c r="U216" s="42"/>
      <c r="V216" s="3"/>
      <c r="W216" s="3"/>
      <c r="X216" s="3"/>
      <c r="Y216" s="3"/>
      <c r="Z216" s="3"/>
      <c r="AA216" s="3"/>
      <c r="AB216" s="3"/>
      <c r="AE216" s="42">
        <f t="shared" si="25"/>
        <v>152306</v>
      </c>
      <c r="AF216" s="42">
        <f t="shared" si="26"/>
        <v>150327.57999999999</v>
      </c>
      <c r="AG216" s="42" t="str">
        <f t="shared" si="27"/>
        <v/>
      </c>
      <c r="AH216" s="42" t="str">
        <f t="shared" si="28"/>
        <v/>
      </c>
      <c r="AI216" s="42" t="str">
        <f t="shared" si="29"/>
        <v/>
      </c>
      <c r="AJ216" s="42" t="str">
        <f t="shared" si="30"/>
        <v/>
      </c>
      <c r="AK216" s="42" t="str">
        <f t="shared" si="31"/>
        <v/>
      </c>
      <c r="AO216" s="86">
        <f ca="1"/>
        <v>37940.333333333336</v>
      </c>
      <c r="AP216" s="87">
        <f ca="1"/>
        <v>1531.15</v>
      </c>
      <c r="AQ216" s="87">
        <f ca="1"/>
        <v>1530.96</v>
      </c>
      <c r="AR216" s="88">
        <f ca="1"/>
        <v>37940.333333333336</v>
      </c>
      <c r="AS216" s="87">
        <f ca="1"/>
        <v>488</v>
      </c>
      <c r="AT216" s="87">
        <f ca="1"/>
        <v>453.25</v>
      </c>
    </row>
    <row r="217" spans="13:46" x14ac:dyDescent="0.25">
      <c r="M217" s="42">
        <v>213</v>
      </c>
      <c r="N217" s="3" t="s">
        <v>273</v>
      </c>
      <c r="O217" s="49">
        <f t="shared" si="24"/>
        <v>37940.333333333336</v>
      </c>
      <c r="P217" s="42">
        <v>1531.15</v>
      </c>
      <c r="Q217" s="42">
        <v>488</v>
      </c>
      <c r="R217" s="42">
        <v>1530.96</v>
      </c>
      <c r="S217" s="42">
        <v>453.25</v>
      </c>
      <c r="T217" s="42"/>
      <c r="U217" s="42"/>
      <c r="V217" s="3"/>
      <c r="W217" s="3"/>
      <c r="X217" s="3"/>
      <c r="Y217" s="3"/>
      <c r="Z217" s="3"/>
      <c r="AA217" s="3"/>
      <c r="AB217" s="3"/>
      <c r="AE217" s="42">
        <f t="shared" si="25"/>
        <v>152794</v>
      </c>
      <c r="AF217" s="42">
        <f t="shared" si="26"/>
        <v>150780.82999999999</v>
      </c>
      <c r="AG217" s="42" t="str">
        <f t="shared" si="27"/>
        <v/>
      </c>
      <c r="AH217" s="42" t="str">
        <f t="shared" si="28"/>
        <v/>
      </c>
      <c r="AI217" s="42" t="str">
        <f t="shared" si="29"/>
        <v/>
      </c>
      <c r="AJ217" s="42" t="str">
        <f t="shared" si="30"/>
        <v/>
      </c>
      <c r="AK217" s="42" t="str">
        <f t="shared" si="31"/>
        <v/>
      </c>
      <c r="AO217" s="86">
        <f ca="1"/>
        <v>37940.375</v>
      </c>
      <c r="AP217" s="87">
        <f ca="1"/>
        <v>1531.14</v>
      </c>
      <c r="AQ217" s="87">
        <f ca="1"/>
        <v>1530.95</v>
      </c>
      <c r="AR217" s="88">
        <f ca="1"/>
        <v>37940.375</v>
      </c>
      <c r="AS217" s="87">
        <f ca="1"/>
        <v>485</v>
      </c>
      <c r="AT217" s="87">
        <f ca="1"/>
        <v>447.83</v>
      </c>
    </row>
    <row r="218" spans="13:46" x14ac:dyDescent="0.25">
      <c r="M218" s="42">
        <v>214</v>
      </c>
      <c r="N218" s="3" t="s">
        <v>274</v>
      </c>
      <c r="O218" s="49">
        <f t="shared" si="24"/>
        <v>37940.375</v>
      </c>
      <c r="P218" s="42">
        <v>1531.14</v>
      </c>
      <c r="Q218" s="42">
        <v>485</v>
      </c>
      <c r="R218" s="42">
        <v>1530.95</v>
      </c>
      <c r="S218" s="42">
        <v>447.83</v>
      </c>
      <c r="T218" s="42"/>
      <c r="U218" s="42"/>
      <c r="V218" s="3"/>
      <c r="W218" s="3"/>
      <c r="X218" s="3"/>
      <c r="Y218" s="3"/>
      <c r="Z218" s="3"/>
      <c r="AA218" s="3"/>
      <c r="AB218" s="3"/>
      <c r="AE218" s="42">
        <f t="shared" si="25"/>
        <v>153279</v>
      </c>
      <c r="AF218" s="42">
        <f t="shared" si="26"/>
        <v>151228.65999999997</v>
      </c>
      <c r="AG218" s="42" t="str">
        <f t="shared" si="27"/>
        <v/>
      </c>
      <c r="AH218" s="42" t="str">
        <f t="shared" si="28"/>
        <v/>
      </c>
      <c r="AI218" s="42" t="str">
        <f t="shared" si="29"/>
        <v/>
      </c>
      <c r="AJ218" s="42" t="str">
        <f t="shared" si="30"/>
        <v/>
      </c>
      <c r="AK218" s="42" t="str">
        <f t="shared" si="31"/>
        <v/>
      </c>
      <c r="AO218" s="86">
        <f ca="1"/>
        <v>37940.416666666664</v>
      </c>
      <c r="AP218" s="87">
        <f ca="1"/>
        <v>1531.12</v>
      </c>
      <c r="AQ218" s="87">
        <f ca="1"/>
        <v>1530.94</v>
      </c>
      <c r="AR218" s="88">
        <f ca="1"/>
        <v>37940.416666666664</v>
      </c>
      <c r="AS218" s="87">
        <f ca="1"/>
        <v>478</v>
      </c>
      <c r="AT218" s="87">
        <f ca="1"/>
        <v>442.1</v>
      </c>
    </row>
    <row r="219" spans="13:46" x14ac:dyDescent="0.25">
      <c r="M219" s="42">
        <v>215</v>
      </c>
      <c r="N219" s="3" t="s">
        <v>275</v>
      </c>
      <c r="O219" s="49">
        <f t="shared" si="24"/>
        <v>37940.416666666664</v>
      </c>
      <c r="P219" s="42">
        <v>1531.12</v>
      </c>
      <c r="Q219" s="42">
        <v>478</v>
      </c>
      <c r="R219" s="42">
        <v>1530.94</v>
      </c>
      <c r="S219" s="42">
        <v>442.1</v>
      </c>
      <c r="T219" s="42"/>
      <c r="U219" s="42"/>
      <c r="V219" s="3"/>
      <c r="W219" s="3"/>
      <c r="X219" s="3"/>
      <c r="Y219" s="3"/>
      <c r="Z219" s="3"/>
      <c r="AA219" s="3"/>
      <c r="AB219" s="3"/>
      <c r="AE219" s="42">
        <f t="shared" si="25"/>
        <v>153757</v>
      </c>
      <c r="AF219" s="42">
        <f t="shared" si="26"/>
        <v>151670.75999999998</v>
      </c>
      <c r="AG219" s="42" t="str">
        <f t="shared" si="27"/>
        <v/>
      </c>
      <c r="AH219" s="42" t="str">
        <f t="shared" si="28"/>
        <v/>
      </c>
      <c r="AI219" s="42" t="str">
        <f t="shared" si="29"/>
        <v/>
      </c>
      <c r="AJ219" s="42" t="str">
        <f t="shared" si="30"/>
        <v/>
      </c>
      <c r="AK219" s="42" t="str">
        <f t="shared" si="31"/>
        <v/>
      </c>
      <c r="AO219" s="86">
        <f ca="1"/>
        <v>37940.458333333336</v>
      </c>
      <c r="AP219" s="87">
        <f ca="1"/>
        <v>1531.11</v>
      </c>
      <c r="AQ219" s="87">
        <f ca="1"/>
        <v>1530.93</v>
      </c>
      <c r="AR219" s="88">
        <f ca="1"/>
        <v>37940.458333333336</v>
      </c>
      <c r="AS219" s="87">
        <f ca="1"/>
        <v>474</v>
      </c>
      <c r="AT219" s="87">
        <f ca="1"/>
        <v>437.61</v>
      </c>
    </row>
    <row r="220" spans="13:46" x14ac:dyDescent="0.25">
      <c r="M220" s="42">
        <v>216</v>
      </c>
      <c r="N220" s="3" t="s">
        <v>276</v>
      </c>
      <c r="O220" s="49">
        <f t="shared" si="24"/>
        <v>37940.458333333336</v>
      </c>
      <c r="P220" s="42">
        <v>1531.11</v>
      </c>
      <c r="Q220" s="42">
        <v>474</v>
      </c>
      <c r="R220" s="42">
        <v>1530.93</v>
      </c>
      <c r="S220" s="42">
        <v>437.61</v>
      </c>
      <c r="T220" s="42"/>
      <c r="U220" s="42"/>
      <c r="V220" s="3"/>
      <c r="W220" s="3"/>
      <c r="X220" s="3"/>
      <c r="Y220" s="3"/>
      <c r="Z220" s="3"/>
      <c r="AA220" s="3"/>
      <c r="AB220" s="3"/>
      <c r="AE220" s="42">
        <f t="shared" si="25"/>
        <v>154231</v>
      </c>
      <c r="AF220" s="42">
        <f t="shared" si="26"/>
        <v>152108.36999999997</v>
      </c>
      <c r="AG220" s="42" t="str">
        <f t="shared" si="27"/>
        <v/>
      </c>
      <c r="AH220" s="42" t="str">
        <f t="shared" si="28"/>
        <v/>
      </c>
      <c r="AI220" s="42" t="str">
        <f t="shared" si="29"/>
        <v/>
      </c>
      <c r="AJ220" s="42" t="str">
        <f t="shared" si="30"/>
        <v/>
      </c>
      <c r="AK220" s="42" t="str">
        <f t="shared" si="31"/>
        <v/>
      </c>
      <c r="AO220" s="86">
        <f ca="1"/>
        <v>37940.5</v>
      </c>
      <c r="AP220" s="87">
        <f ca="1"/>
        <v>1531.1</v>
      </c>
      <c r="AQ220" s="87">
        <f ca="1"/>
        <v>1530.92</v>
      </c>
      <c r="AR220" s="88">
        <f ca="1"/>
        <v>37940.5</v>
      </c>
      <c r="AS220" s="87">
        <f ca="1"/>
        <v>470</v>
      </c>
      <c r="AT220" s="87">
        <f ca="1"/>
        <v>432.47</v>
      </c>
    </row>
    <row r="221" spans="13:46" x14ac:dyDescent="0.25">
      <c r="M221" s="42">
        <v>217</v>
      </c>
      <c r="N221" s="3" t="s">
        <v>277</v>
      </c>
      <c r="O221" s="49">
        <f t="shared" si="24"/>
        <v>37940.5</v>
      </c>
      <c r="P221" s="42">
        <v>1531.1</v>
      </c>
      <c r="Q221" s="42">
        <v>470</v>
      </c>
      <c r="R221" s="42">
        <v>1530.92</v>
      </c>
      <c r="S221" s="42">
        <v>432.47</v>
      </c>
      <c r="T221" s="42"/>
      <c r="U221" s="42"/>
      <c r="V221" s="3"/>
      <c r="W221" s="3"/>
      <c r="X221" s="3"/>
      <c r="Y221" s="3"/>
      <c r="Z221" s="3"/>
      <c r="AA221" s="3"/>
      <c r="AB221" s="3"/>
      <c r="AE221" s="42">
        <f t="shared" si="25"/>
        <v>154701</v>
      </c>
      <c r="AF221" s="42">
        <f t="shared" si="26"/>
        <v>152540.83999999997</v>
      </c>
      <c r="AG221" s="42" t="str">
        <f t="shared" si="27"/>
        <v/>
      </c>
      <c r="AH221" s="42" t="str">
        <f t="shared" si="28"/>
        <v/>
      </c>
      <c r="AI221" s="42" t="str">
        <f t="shared" si="29"/>
        <v/>
      </c>
      <c r="AJ221" s="42" t="str">
        <f t="shared" si="30"/>
        <v/>
      </c>
      <c r="AK221" s="42" t="str">
        <f t="shared" si="31"/>
        <v/>
      </c>
      <c r="AO221" s="86">
        <f ca="1"/>
        <v>37940.541666666664</v>
      </c>
      <c r="AP221" s="87">
        <f ca="1"/>
        <v>1531.09</v>
      </c>
      <c r="AQ221" s="87">
        <f ca="1"/>
        <v>1530.9</v>
      </c>
      <c r="AR221" s="88">
        <f ca="1"/>
        <v>37940.541666666664</v>
      </c>
      <c r="AS221" s="87">
        <f ca="1"/>
        <v>467</v>
      </c>
      <c r="AT221" s="87">
        <f ca="1"/>
        <v>427.56</v>
      </c>
    </row>
    <row r="222" spans="13:46" x14ac:dyDescent="0.25">
      <c r="M222" s="42">
        <v>218</v>
      </c>
      <c r="N222" s="3" t="s">
        <v>278</v>
      </c>
      <c r="O222" s="49">
        <f t="shared" si="24"/>
        <v>37940.541666666664</v>
      </c>
      <c r="P222" s="42">
        <v>1531.09</v>
      </c>
      <c r="Q222" s="42">
        <v>467</v>
      </c>
      <c r="R222" s="42">
        <v>1530.9</v>
      </c>
      <c r="S222" s="42">
        <v>427.56</v>
      </c>
      <c r="T222" s="42"/>
      <c r="U222" s="42"/>
      <c r="V222" s="3"/>
      <c r="W222" s="3"/>
      <c r="X222" s="3"/>
      <c r="Y222" s="3"/>
      <c r="Z222" s="3"/>
      <c r="AA222" s="3"/>
      <c r="AB222" s="3"/>
      <c r="AE222" s="42">
        <f t="shared" si="25"/>
        <v>155168</v>
      </c>
      <c r="AF222" s="42">
        <f t="shared" si="26"/>
        <v>152968.39999999997</v>
      </c>
      <c r="AG222" s="42" t="str">
        <f t="shared" si="27"/>
        <v/>
      </c>
      <c r="AH222" s="42" t="str">
        <f t="shared" si="28"/>
        <v/>
      </c>
      <c r="AI222" s="42" t="str">
        <f t="shared" si="29"/>
        <v/>
      </c>
      <c r="AJ222" s="42" t="str">
        <f t="shared" si="30"/>
        <v/>
      </c>
      <c r="AK222" s="42" t="str">
        <f t="shared" si="31"/>
        <v/>
      </c>
      <c r="AO222" s="86">
        <f ca="1"/>
        <v>37940.583333333336</v>
      </c>
      <c r="AP222" s="87">
        <f ca="1"/>
        <v>1531.08</v>
      </c>
      <c r="AQ222" s="87">
        <f ca="1"/>
        <v>1530.89</v>
      </c>
      <c r="AR222" s="88">
        <f ca="1"/>
        <v>37940.583333333336</v>
      </c>
      <c r="AS222" s="87">
        <f ca="1"/>
        <v>463</v>
      </c>
      <c r="AT222" s="87">
        <f ca="1"/>
        <v>422.41</v>
      </c>
    </row>
    <row r="223" spans="13:46" x14ac:dyDescent="0.25">
      <c r="M223" s="42">
        <v>219</v>
      </c>
      <c r="N223" s="3" t="s">
        <v>279</v>
      </c>
      <c r="O223" s="49">
        <f t="shared" si="24"/>
        <v>37940.583333333336</v>
      </c>
      <c r="P223" s="42">
        <v>1531.08</v>
      </c>
      <c r="Q223" s="42">
        <v>463</v>
      </c>
      <c r="R223" s="42">
        <v>1530.89</v>
      </c>
      <c r="S223" s="42">
        <v>422.41</v>
      </c>
      <c r="T223" s="42"/>
      <c r="U223" s="42"/>
      <c r="V223" s="3"/>
      <c r="W223" s="3"/>
      <c r="X223" s="3"/>
      <c r="Y223" s="3"/>
      <c r="Z223" s="3"/>
      <c r="AA223" s="3"/>
      <c r="AB223" s="3"/>
      <c r="AE223" s="42">
        <f t="shared" si="25"/>
        <v>155631</v>
      </c>
      <c r="AF223" s="42">
        <f t="shared" si="26"/>
        <v>153390.80999999997</v>
      </c>
      <c r="AG223" s="42" t="str">
        <f t="shared" si="27"/>
        <v/>
      </c>
      <c r="AH223" s="42" t="str">
        <f t="shared" si="28"/>
        <v/>
      </c>
      <c r="AI223" s="42" t="str">
        <f t="shared" si="29"/>
        <v/>
      </c>
      <c r="AJ223" s="42" t="str">
        <f t="shared" si="30"/>
        <v/>
      </c>
      <c r="AK223" s="42" t="str">
        <f t="shared" si="31"/>
        <v/>
      </c>
      <c r="AO223" s="86">
        <f ca="1"/>
        <v>37940.625</v>
      </c>
      <c r="AP223" s="87">
        <f ca="1"/>
        <v>1531.07</v>
      </c>
      <c r="AQ223" s="87">
        <f ca="1"/>
        <v>1530.91</v>
      </c>
      <c r="AR223" s="88">
        <f ca="1"/>
        <v>37940.625</v>
      </c>
      <c r="AS223" s="87">
        <f ca="1"/>
        <v>460</v>
      </c>
      <c r="AT223" s="87">
        <f ca="1"/>
        <v>429.82</v>
      </c>
    </row>
    <row r="224" spans="13:46" x14ac:dyDescent="0.25">
      <c r="M224" s="42">
        <v>220</v>
      </c>
      <c r="N224" s="3" t="s">
        <v>280</v>
      </c>
      <c r="O224" s="49">
        <f t="shared" si="24"/>
        <v>37940.625</v>
      </c>
      <c r="P224" s="42">
        <v>1531.07</v>
      </c>
      <c r="Q224" s="42">
        <v>460</v>
      </c>
      <c r="R224" s="42">
        <v>1530.91</v>
      </c>
      <c r="S224" s="42">
        <v>429.82</v>
      </c>
      <c r="T224" s="42"/>
      <c r="U224" s="42"/>
      <c r="V224" s="3"/>
      <c r="W224" s="3"/>
      <c r="X224" s="3"/>
      <c r="Y224" s="3"/>
      <c r="Z224" s="3"/>
      <c r="AA224" s="3"/>
      <c r="AB224" s="3"/>
      <c r="AE224" s="42">
        <f t="shared" si="25"/>
        <v>156091</v>
      </c>
      <c r="AF224" s="42">
        <f t="shared" si="26"/>
        <v>153820.62999999998</v>
      </c>
      <c r="AG224" s="42" t="str">
        <f t="shared" si="27"/>
        <v/>
      </c>
      <c r="AH224" s="42" t="str">
        <f t="shared" si="28"/>
        <v/>
      </c>
      <c r="AI224" s="42" t="str">
        <f t="shared" si="29"/>
        <v/>
      </c>
      <c r="AJ224" s="42" t="str">
        <f t="shared" si="30"/>
        <v/>
      </c>
      <c r="AK224" s="42" t="str">
        <f t="shared" si="31"/>
        <v/>
      </c>
      <c r="AO224" s="86">
        <f ca="1"/>
        <v>37940.666666666664</v>
      </c>
      <c r="AP224" s="87">
        <f ca="1"/>
        <v>1531.07</v>
      </c>
      <c r="AQ224" s="87">
        <f ca="1"/>
        <v>1530.94</v>
      </c>
      <c r="AR224" s="88">
        <f ca="1"/>
        <v>37940.666666666664</v>
      </c>
      <c r="AS224" s="87">
        <f ca="1"/>
        <v>460</v>
      </c>
      <c r="AT224" s="87">
        <f ca="1"/>
        <v>441.16</v>
      </c>
    </row>
    <row r="225" spans="13:46" x14ac:dyDescent="0.25">
      <c r="M225" s="42">
        <v>221</v>
      </c>
      <c r="N225" s="3" t="s">
        <v>281</v>
      </c>
      <c r="O225" s="49">
        <f t="shared" si="24"/>
        <v>37940.666666666664</v>
      </c>
      <c r="P225" s="42">
        <v>1531.07</v>
      </c>
      <c r="Q225" s="42">
        <v>460</v>
      </c>
      <c r="R225" s="42">
        <v>1530.94</v>
      </c>
      <c r="S225" s="42">
        <v>441.16</v>
      </c>
      <c r="T225" s="42"/>
      <c r="U225" s="42"/>
      <c r="V225" s="3"/>
      <c r="W225" s="3"/>
      <c r="X225" s="3"/>
      <c r="Y225" s="3"/>
      <c r="Z225" s="3"/>
      <c r="AA225" s="3"/>
      <c r="AB225" s="3"/>
      <c r="AE225" s="42">
        <f t="shared" si="25"/>
        <v>156551</v>
      </c>
      <c r="AF225" s="42">
        <f t="shared" si="26"/>
        <v>154261.78999999998</v>
      </c>
      <c r="AG225" s="42" t="str">
        <f t="shared" si="27"/>
        <v/>
      </c>
      <c r="AH225" s="42" t="str">
        <f t="shared" si="28"/>
        <v/>
      </c>
      <c r="AI225" s="42" t="str">
        <f t="shared" si="29"/>
        <v/>
      </c>
      <c r="AJ225" s="42" t="str">
        <f t="shared" si="30"/>
        <v/>
      </c>
      <c r="AK225" s="42" t="str">
        <f t="shared" si="31"/>
        <v/>
      </c>
      <c r="AO225" s="86">
        <f ca="1"/>
        <v>37940.708333333336</v>
      </c>
      <c r="AP225" s="87">
        <f ca="1"/>
        <v>1531.07</v>
      </c>
      <c r="AQ225" s="87">
        <f ca="1"/>
        <v>1530.96</v>
      </c>
      <c r="AR225" s="88">
        <f ca="1"/>
        <v>37940.708333333336</v>
      </c>
      <c r="AS225" s="87">
        <f ca="1"/>
        <v>460</v>
      </c>
      <c r="AT225" s="87">
        <f ca="1"/>
        <v>453.01</v>
      </c>
    </row>
    <row r="226" spans="13:46" x14ac:dyDescent="0.25">
      <c r="M226" s="42">
        <v>222</v>
      </c>
      <c r="N226" s="3" t="s">
        <v>282</v>
      </c>
      <c r="O226" s="49">
        <f t="shared" si="24"/>
        <v>37940.708333333336</v>
      </c>
      <c r="P226" s="42">
        <v>1531.07</v>
      </c>
      <c r="Q226" s="42">
        <v>460</v>
      </c>
      <c r="R226" s="42">
        <v>1530.96</v>
      </c>
      <c r="S226" s="42">
        <v>453.01</v>
      </c>
      <c r="T226" s="42"/>
      <c r="U226" s="42"/>
      <c r="V226" s="3"/>
      <c r="W226" s="3"/>
      <c r="X226" s="3"/>
      <c r="Y226" s="3"/>
      <c r="Z226" s="3"/>
      <c r="AA226" s="3"/>
      <c r="AB226" s="3"/>
      <c r="AE226" s="42">
        <f t="shared" si="25"/>
        <v>157011</v>
      </c>
      <c r="AF226" s="42">
        <f t="shared" si="26"/>
        <v>154714.79999999999</v>
      </c>
      <c r="AG226" s="42" t="str">
        <f t="shared" si="27"/>
        <v/>
      </c>
      <c r="AH226" s="42" t="str">
        <f t="shared" si="28"/>
        <v/>
      </c>
      <c r="AI226" s="42" t="str">
        <f t="shared" si="29"/>
        <v/>
      </c>
      <c r="AJ226" s="42" t="str">
        <f t="shared" si="30"/>
        <v/>
      </c>
      <c r="AK226" s="42" t="str">
        <f t="shared" si="31"/>
        <v/>
      </c>
      <c r="AO226" s="86">
        <f ca="1"/>
        <v>37940.75</v>
      </c>
      <c r="AP226" s="87">
        <f ca="1"/>
        <v>1531.07</v>
      </c>
      <c r="AQ226" s="87">
        <f ca="1"/>
        <v>1530.98</v>
      </c>
      <c r="AR226" s="88">
        <f ca="1"/>
        <v>37940.75</v>
      </c>
      <c r="AS226" s="87">
        <f ca="1"/>
        <v>460</v>
      </c>
      <c r="AT226" s="87">
        <f ca="1"/>
        <v>459.16</v>
      </c>
    </row>
    <row r="227" spans="13:46" x14ac:dyDescent="0.25">
      <c r="M227" s="42">
        <v>223</v>
      </c>
      <c r="N227" s="3" t="s">
        <v>283</v>
      </c>
      <c r="O227" s="49">
        <f t="shared" si="24"/>
        <v>37940.75</v>
      </c>
      <c r="P227" s="42">
        <v>1531.07</v>
      </c>
      <c r="Q227" s="42">
        <v>460</v>
      </c>
      <c r="R227" s="42">
        <v>1530.98</v>
      </c>
      <c r="S227" s="42">
        <v>459.16</v>
      </c>
      <c r="T227" s="42"/>
      <c r="U227" s="42"/>
      <c r="V227" s="3"/>
      <c r="W227" s="3"/>
      <c r="X227" s="3"/>
      <c r="Y227" s="3"/>
      <c r="Z227" s="3"/>
      <c r="AA227" s="3"/>
      <c r="AB227" s="3"/>
      <c r="AE227" s="42">
        <f t="shared" si="25"/>
        <v>157471</v>
      </c>
      <c r="AF227" s="42">
        <f t="shared" si="26"/>
        <v>155173.96</v>
      </c>
      <c r="AG227" s="42" t="str">
        <f t="shared" si="27"/>
        <v/>
      </c>
      <c r="AH227" s="42" t="str">
        <f t="shared" si="28"/>
        <v/>
      </c>
      <c r="AI227" s="42" t="str">
        <f t="shared" si="29"/>
        <v/>
      </c>
      <c r="AJ227" s="42" t="str">
        <f t="shared" si="30"/>
        <v/>
      </c>
      <c r="AK227" s="42" t="str">
        <f t="shared" si="31"/>
        <v/>
      </c>
      <c r="AO227" s="86">
        <f ca="1"/>
        <v>37940.791666666664</v>
      </c>
      <c r="AP227" s="87">
        <f ca="1"/>
        <v>1531.07</v>
      </c>
      <c r="AQ227" s="87">
        <f ca="1"/>
        <v>1530.97</v>
      </c>
      <c r="AR227" s="88">
        <f ca="1"/>
        <v>37940.791666666664</v>
      </c>
      <c r="AS227" s="87">
        <f ca="1"/>
        <v>460</v>
      </c>
      <c r="AT227" s="87">
        <f ca="1"/>
        <v>456.25</v>
      </c>
    </row>
    <row r="228" spans="13:46" x14ac:dyDescent="0.25">
      <c r="M228" s="42">
        <v>224</v>
      </c>
      <c r="N228" s="3" t="s">
        <v>284</v>
      </c>
      <c r="O228" s="49">
        <f t="shared" si="24"/>
        <v>37940.791666666664</v>
      </c>
      <c r="P228" s="42">
        <v>1531.07</v>
      </c>
      <c r="Q228" s="42">
        <v>460</v>
      </c>
      <c r="R228" s="42">
        <v>1530.97</v>
      </c>
      <c r="S228" s="42">
        <v>456.25</v>
      </c>
      <c r="T228" s="42"/>
      <c r="U228" s="42"/>
      <c r="V228" s="3"/>
      <c r="W228" s="3"/>
      <c r="X228" s="3"/>
      <c r="Y228" s="3"/>
      <c r="Z228" s="3"/>
      <c r="AA228" s="3"/>
      <c r="AB228" s="3"/>
      <c r="AE228" s="42">
        <f t="shared" si="25"/>
        <v>157931</v>
      </c>
      <c r="AF228" s="42">
        <f t="shared" si="26"/>
        <v>155630.21</v>
      </c>
      <c r="AG228" s="42" t="str">
        <f t="shared" si="27"/>
        <v/>
      </c>
      <c r="AH228" s="42" t="str">
        <f t="shared" si="28"/>
        <v/>
      </c>
      <c r="AI228" s="42" t="str">
        <f t="shared" si="29"/>
        <v/>
      </c>
      <c r="AJ228" s="42" t="str">
        <f t="shared" si="30"/>
        <v/>
      </c>
      <c r="AK228" s="42" t="str">
        <f t="shared" si="31"/>
        <v/>
      </c>
      <c r="AO228" s="86">
        <f ca="1"/>
        <v>37940.833333333336</v>
      </c>
      <c r="AP228" s="87">
        <f ca="1"/>
        <v>1531.07</v>
      </c>
      <c r="AQ228" s="87">
        <f ca="1"/>
        <v>1530.97</v>
      </c>
      <c r="AR228" s="88">
        <f ca="1"/>
        <v>37940.833333333336</v>
      </c>
      <c r="AS228" s="87">
        <f ca="1"/>
        <v>460</v>
      </c>
      <c r="AT228" s="87">
        <f ca="1"/>
        <v>456.92</v>
      </c>
    </row>
    <row r="229" spans="13:46" x14ac:dyDescent="0.25">
      <c r="M229" s="42">
        <v>225</v>
      </c>
      <c r="N229" s="3" t="s">
        <v>285</v>
      </c>
      <c r="O229" s="49">
        <f t="shared" si="24"/>
        <v>37940.833333333336</v>
      </c>
      <c r="P229" s="42">
        <v>1531.07</v>
      </c>
      <c r="Q229" s="42">
        <v>460</v>
      </c>
      <c r="R229" s="42">
        <v>1530.97</v>
      </c>
      <c r="S229" s="42">
        <v>456.92</v>
      </c>
      <c r="T229" s="42"/>
      <c r="U229" s="42"/>
      <c r="V229" s="3"/>
      <c r="W229" s="3"/>
      <c r="X229" s="3"/>
      <c r="Y229" s="3"/>
      <c r="Z229" s="3"/>
      <c r="AA229" s="3"/>
      <c r="AB229" s="3"/>
      <c r="AE229" s="42">
        <f t="shared" si="25"/>
        <v>158391</v>
      </c>
      <c r="AF229" s="42">
        <f t="shared" si="26"/>
        <v>156087.13</v>
      </c>
      <c r="AG229" s="42" t="str">
        <f t="shared" si="27"/>
        <v/>
      </c>
      <c r="AH229" s="42" t="str">
        <f t="shared" si="28"/>
        <v/>
      </c>
      <c r="AI229" s="42" t="str">
        <f t="shared" si="29"/>
        <v/>
      </c>
      <c r="AJ229" s="42" t="str">
        <f t="shared" si="30"/>
        <v/>
      </c>
      <c r="AK229" s="42" t="str">
        <f t="shared" si="31"/>
        <v/>
      </c>
      <c r="AO229" s="86">
        <f ca="1"/>
        <v>37940.875</v>
      </c>
      <c r="AP229" s="87">
        <f ca="1"/>
        <v>1531.06</v>
      </c>
      <c r="AQ229" s="87">
        <f ca="1"/>
        <v>1530.97</v>
      </c>
      <c r="AR229" s="88">
        <f ca="1"/>
        <v>37940.875</v>
      </c>
      <c r="AS229" s="87">
        <f ca="1"/>
        <v>456</v>
      </c>
      <c r="AT229" s="87">
        <f ca="1"/>
        <v>455.74</v>
      </c>
    </row>
    <row r="230" spans="13:46" x14ac:dyDescent="0.25">
      <c r="M230" s="42">
        <v>226</v>
      </c>
      <c r="N230" s="3" t="s">
        <v>286</v>
      </c>
      <c r="O230" s="49">
        <f t="shared" si="24"/>
        <v>37940.875</v>
      </c>
      <c r="P230" s="42">
        <v>1531.06</v>
      </c>
      <c r="Q230" s="42">
        <v>456</v>
      </c>
      <c r="R230" s="42">
        <v>1530.97</v>
      </c>
      <c r="S230" s="42">
        <v>455.74</v>
      </c>
      <c r="T230" s="42"/>
      <c r="U230" s="42"/>
      <c r="V230" s="3"/>
      <c r="W230" s="3"/>
      <c r="X230" s="3"/>
      <c r="Y230" s="3"/>
      <c r="Z230" s="3"/>
      <c r="AA230" s="3"/>
      <c r="AB230" s="3"/>
      <c r="AE230" s="42">
        <f t="shared" si="25"/>
        <v>158847</v>
      </c>
      <c r="AF230" s="42">
        <f t="shared" si="26"/>
        <v>156542.87</v>
      </c>
      <c r="AG230" s="42" t="str">
        <f t="shared" si="27"/>
        <v/>
      </c>
      <c r="AH230" s="42" t="str">
        <f t="shared" si="28"/>
        <v/>
      </c>
      <c r="AI230" s="42" t="str">
        <f t="shared" si="29"/>
        <v/>
      </c>
      <c r="AJ230" s="42" t="str">
        <f t="shared" si="30"/>
        <v/>
      </c>
      <c r="AK230" s="42" t="str">
        <f t="shared" si="31"/>
        <v/>
      </c>
      <c r="AO230" s="86">
        <f ca="1"/>
        <v>37940.916666666664</v>
      </c>
      <c r="AP230" s="87">
        <f ca="1"/>
        <v>1531.06</v>
      </c>
      <c r="AQ230" s="87">
        <f ca="1"/>
        <v>1530.97</v>
      </c>
      <c r="AR230" s="88">
        <f ca="1"/>
        <v>37940.916666666664</v>
      </c>
      <c r="AS230" s="87">
        <f ca="1"/>
        <v>456</v>
      </c>
      <c r="AT230" s="87">
        <f ca="1"/>
        <v>453.74</v>
      </c>
    </row>
    <row r="231" spans="13:46" x14ac:dyDescent="0.25">
      <c r="M231" s="42">
        <v>227</v>
      </c>
      <c r="N231" s="3" t="s">
        <v>287</v>
      </c>
      <c r="O231" s="49">
        <f t="shared" si="24"/>
        <v>37940.916666666664</v>
      </c>
      <c r="P231" s="42">
        <v>1531.06</v>
      </c>
      <c r="Q231" s="42">
        <v>456</v>
      </c>
      <c r="R231" s="42">
        <v>1530.97</v>
      </c>
      <c r="S231" s="42">
        <v>453.74</v>
      </c>
      <c r="T231" s="42"/>
      <c r="U231" s="42"/>
      <c r="V231" s="3"/>
      <c r="W231" s="3"/>
      <c r="X231" s="3"/>
      <c r="Y231" s="3"/>
      <c r="Z231" s="3"/>
      <c r="AA231" s="3"/>
      <c r="AB231" s="3"/>
      <c r="AE231" s="42">
        <f t="shared" si="25"/>
        <v>159303</v>
      </c>
      <c r="AF231" s="42">
        <f t="shared" si="26"/>
        <v>156996.60999999999</v>
      </c>
      <c r="AG231" s="42" t="str">
        <f t="shared" si="27"/>
        <v/>
      </c>
      <c r="AH231" s="42" t="str">
        <f t="shared" si="28"/>
        <v/>
      </c>
      <c r="AI231" s="42" t="str">
        <f t="shared" si="29"/>
        <v/>
      </c>
      <c r="AJ231" s="42" t="str">
        <f t="shared" si="30"/>
        <v/>
      </c>
      <c r="AK231" s="42" t="str">
        <f t="shared" si="31"/>
        <v/>
      </c>
      <c r="AO231" s="86">
        <f ca="1"/>
        <v>37940.958333333336</v>
      </c>
      <c r="AP231" s="87">
        <f ca="1"/>
        <v>1531.06</v>
      </c>
      <c r="AQ231" s="87">
        <f ca="1"/>
        <v>1530.95</v>
      </c>
      <c r="AR231" s="88">
        <f ca="1"/>
        <v>37940.958333333336</v>
      </c>
      <c r="AS231" s="87">
        <f ca="1"/>
        <v>456</v>
      </c>
      <c r="AT231" s="87">
        <f ca="1"/>
        <v>448.48</v>
      </c>
    </row>
    <row r="232" spans="13:46" x14ac:dyDescent="0.25">
      <c r="M232" s="42">
        <v>228</v>
      </c>
      <c r="N232" s="3" t="s">
        <v>288</v>
      </c>
      <c r="O232" s="49">
        <f t="shared" si="24"/>
        <v>37940.958333333336</v>
      </c>
      <c r="P232" s="42">
        <v>1531.06</v>
      </c>
      <c r="Q232" s="42">
        <v>456</v>
      </c>
      <c r="R232" s="42">
        <v>1530.95</v>
      </c>
      <c r="S232" s="42">
        <v>448.48</v>
      </c>
      <c r="T232" s="42"/>
      <c r="U232" s="42"/>
      <c r="V232" s="3"/>
      <c r="W232" s="3"/>
      <c r="X232" s="3"/>
      <c r="Y232" s="3"/>
      <c r="Z232" s="3"/>
      <c r="AA232" s="3"/>
      <c r="AB232" s="3"/>
      <c r="AE232" s="42">
        <f t="shared" si="25"/>
        <v>159759</v>
      </c>
      <c r="AF232" s="42">
        <f t="shared" si="26"/>
        <v>157445.09</v>
      </c>
      <c r="AG232" s="42" t="str">
        <f t="shared" si="27"/>
        <v/>
      </c>
      <c r="AH232" s="42" t="str">
        <f t="shared" si="28"/>
        <v/>
      </c>
      <c r="AI232" s="42" t="str">
        <f t="shared" si="29"/>
        <v/>
      </c>
      <c r="AJ232" s="42" t="str">
        <f t="shared" si="30"/>
        <v/>
      </c>
      <c r="AK232" s="42" t="str">
        <f t="shared" si="31"/>
        <v/>
      </c>
      <c r="AO232" s="86">
        <f ca="1"/>
        <v>37941</v>
      </c>
      <c r="AP232" s="87">
        <f ca="1"/>
        <v>1531.05</v>
      </c>
      <c r="AQ232" s="87">
        <f ca="1"/>
        <v>1530.95</v>
      </c>
      <c r="AR232" s="88">
        <f ca="1"/>
        <v>37941</v>
      </c>
      <c r="AS232" s="87">
        <f ca="1"/>
        <v>453</v>
      </c>
      <c r="AT232" s="87">
        <f ca="1"/>
        <v>445.74</v>
      </c>
    </row>
    <row r="233" spans="13:46" x14ac:dyDescent="0.25">
      <c r="M233" s="42">
        <v>229</v>
      </c>
      <c r="N233" s="3" t="s">
        <v>289</v>
      </c>
      <c r="O233" s="49">
        <f t="shared" si="24"/>
        <v>37941</v>
      </c>
      <c r="P233" s="42">
        <v>1531.05</v>
      </c>
      <c r="Q233" s="42">
        <v>453</v>
      </c>
      <c r="R233" s="42">
        <v>1530.95</v>
      </c>
      <c r="S233" s="42">
        <v>445.74</v>
      </c>
      <c r="T233" s="42"/>
      <c r="U233" s="42"/>
      <c r="V233" s="3"/>
      <c r="W233" s="3"/>
      <c r="X233" s="3"/>
      <c r="Y233" s="3"/>
      <c r="Z233" s="3"/>
      <c r="AA233" s="3"/>
      <c r="AB233" s="3"/>
      <c r="AE233" s="42">
        <f t="shared" si="25"/>
        <v>160212</v>
      </c>
      <c r="AF233" s="42">
        <f t="shared" si="26"/>
        <v>157890.82999999999</v>
      </c>
      <c r="AG233" s="42" t="str">
        <f t="shared" si="27"/>
        <v/>
      </c>
      <c r="AH233" s="42" t="str">
        <f t="shared" si="28"/>
        <v/>
      </c>
      <c r="AI233" s="42" t="str">
        <f t="shared" si="29"/>
        <v/>
      </c>
      <c r="AJ233" s="42" t="str">
        <f t="shared" si="30"/>
        <v/>
      </c>
      <c r="AK233" s="42" t="str">
        <f t="shared" si="31"/>
        <v/>
      </c>
      <c r="AO233" s="86">
        <f ca="1"/>
        <v>37941.041666666664</v>
      </c>
      <c r="AP233" s="87">
        <f ca="1"/>
        <v>1531.05</v>
      </c>
      <c r="AQ233" s="87">
        <f ca="1"/>
        <v>1530.96</v>
      </c>
      <c r="AR233" s="88">
        <f ca="1"/>
        <v>37941.041666666664</v>
      </c>
      <c r="AS233" s="87">
        <f ca="1"/>
        <v>453</v>
      </c>
      <c r="AT233" s="87">
        <f ca="1"/>
        <v>451.29</v>
      </c>
    </row>
    <row r="234" spans="13:46" x14ac:dyDescent="0.25">
      <c r="M234" s="42">
        <v>230</v>
      </c>
      <c r="N234" s="3" t="s">
        <v>290</v>
      </c>
      <c r="O234" s="49">
        <f t="shared" si="24"/>
        <v>37941.041666666664</v>
      </c>
      <c r="P234" s="42">
        <v>1531.05</v>
      </c>
      <c r="Q234" s="42">
        <v>453</v>
      </c>
      <c r="R234" s="42">
        <v>1530.96</v>
      </c>
      <c r="S234" s="42">
        <v>451.29</v>
      </c>
      <c r="T234" s="42"/>
      <c r="U234" s="42"/>
      <c r="V234" s="3"/>
      <c r="W234" s="3"/>
      <c r="X234" s="3"/>
      <c r="Y234" s="3"/>
      <c r="Z234" s="3"/>
      <c r="AA234" s="3"/>
      <c r="AB234" s="3"/>
      <c r="AE234" s="42">
        <f t="shared" si="25"/>
        <v>160665</v>
      </c>
      <c r="AF234" s="42">
        <f t="shared" si="26"/>
        <v>158342.12</v>
      </c>
      <c r="AG234" s="42" t="str">
        <f t="shared" si="27"/>
        <v/>
      </c>
      <c r="AH234" s="42" t="str">
        <f t="shared" si="28"/>
        <v/>
      </c>
      <c r="AI234" s="42" t="str">
        <f t="shared" si="29"/>
        <v/>
      </c>
      <c r="AJ234" s="42" t="str">
        <f t="shared" si="30"/>
        <v/>
      </c>
      <c r="AK234" s="42" t="str">
        <f t="shared" si="31"/>
        <v/>
      </c>
      <c r="AO234" s="86">
        <f ca="1"/>
        <v>37941.083333333336</v>
      </c>
      <c r="AP234" s="87">
        <f ca="1"/>
        <v>1531.05</v>
      </c>
      <c r="AQ234" s="87">
        <f ca="1"/>
        <v>1530.95</v>
      </c>
      <c r="AR234" s="88">
        <f ca="1"/>
        <v>37941.083333333336</v>
      </c>
      <c r="AS234" s="87">
        <f ca="1"/>
        <v>453</v>
      </c>
      <c r="AT234" s="87">
        <f ca="1"/>
        <v>449.3</v>
      </c>
    </row>
    <row r="235" spans="13:46" x14ac:dyDescent="0.25">
      <c r="M235" s="42">
        <v>231</v>
      </c>
      <c r="N235" s="3" t="s">
        <v>291</v>
      </c>
      <c r="O235" s="49">
        <f t="shared" si="24"/>
        <v>37941.083333333336</v>
      </c>
      <c r="P235" s="42">
        <v>1531.05</v>
      </c>
      <c r="Q235" s="42">
        <v>453</v>
      </c>
      <c r="R235" s="42">
        <v>1530.95</v>
      </c>
      <c r="S235" s="42">
        <v>449.3</v>
      </c>
      <c r="T235" s="42"/>
      <c r="U235" s="42"/>
      <c r="V235" s="3"/>
      <c r="W235" s="3"/>
      <c r="X235" s="3"/>
      <c r="Y235" s="3"/>
      <c r="Z235" s="3"/>
      <c r="AA235" s="3"/>
      <c r="AB235" s="3"/>
      <c r="AE235" s="42">
        <f t="shared" si="25"/>
        <v>161118</v>
      </c>
      <c r="AF235" s="42">
        <f t="shared" si="26"/>
        <v>158791.41999999998</v>
      </c>
      <c r="AG235" s="42" t="str">
        <f t="shared" si="27"/>
        <v/>
      </c>
      <c r="AH235" s="42" t="str">
        <f t="shared" si="28"/>
        <v/>
      </c>
      <c r="AI235" s="42" t="str">
        <f t="shared" si="29"/>
        <v/>
      </c>
      <c r="AJ235" s="42" t="str">
        <f t="shared" si="30"/>
        <v/>
      </c>
      <c r="AK235" s="42" t="str">
        <f t="shared" si="31"/>
        <v/>
      </c>
      <c r="AO235" s="86">
        <f ca="1"/>
        <v>37941.125</v>
      </c>
      <c r="AP235" s="87">
        <f ca="1"/>
        <v>1531.05</v>
      </c>
      <c r="AQ235" s="87">
        <f ca="1"/>
        <v>1530.94</v>
      </c>
      <c r="AR235" s="88">
        <f ca="1"/>
        <v>37941.125</v>
      </c>
      <c r="AS235" s="87">
        <f ca="1"/>
        <v>453</v>
      </c>
      <c r="AT235" s="87">
        <f ca="1"/>
        <v>444.06</v>
      </c>
    </row>
    <row r="236" spans="13:46" x14ac:dyDescent="0.25">
      <c r="M236" s="42">
        <v>232</v>
      </c>
      <c r="N236" s="3" t="s">
        <v>292</v>
      </c>
      <c r="O236" s="49">
        <f t="shared" si="24"/>
        <v>37941.125</v>
      </c>
      <c r="P236" s="42">
        <v>1531.05</v>
      </c>
      <c r="Q236" s="42">
        <v>453</v>
      </c>
      <c r="R236" s="42">
        <v>1530.94</v>
      </c>
      <c r="S236" s="42">
        <v>444.06</v>
      </c>
      <c r="T236" s="42"/>
      <c r="U236" s="42"/>
      <c r="V236" s="3"/>
      <c r="W236" s="3"/>
      <c r="X236" s="3"/>
      <c r="Y236" s="3"/>
      <c r="Z236" s="3"/>
      <c r="AA236" s="3"/>
      <c r="AB236" s="3"/>
      <c r="AE236" s="42">
        <f t="shared" si="25"/>
        <v>161571</v>
      </c>
      <c r="AF236" s="42">
        <f t="shared" si="26"/>
        <v>159235.47999999998</v>
      </c>
      <c r="AG236" s="42" t="str">
        <f t="shared" si="27"/>
        <v/>
      </c>
      <c r="AH236" s="42" t="str">
        <f t="shared" si="28"/>
        <v/>
      </c>
      <c r="AI236" s="42" t="str">
        <f t="shared" si="29"/>
        <v/>
      </c>
      <c r="AJ236" s="42" t="str">
        <f t="shared" si="30"/>
        <v/>
      </c>
      <c r="AK236" s="42" t="str">
        <f t="shared" si="31"/>
        <v/>
      </c>
      <c r="AO236" s="86">
        <f ca="1"/>
        <v>37941.166666666664</v>
      </c>
      <c r="AP236" s="87">
        <f ca="1"/>
        <v>1531.05</v>
      </c>
      <c r="AQ236" s="87">
        <f ca="1"/>
        <v>1530.94</v>
      </c>
      <c r="AR236" s="88">
        <f ca="1"/>
        <v>37941.166666666664</v>
      </c>
      <c r="AS236" s="87">
        <f ca="1"/>
        <v>453</v>
      </c>
      <c r="AT236" s="87">
        <f ca="1"/>
        <v>441.79</v>
      </c>
    </row>
    <row r="237" spans="13:46" x14ac:dyDescent="0.25">
      <c r="M237" s="42">
        <v>233</v>
      </c>
      <c r="N237" s="3" t="s">
        <v>293</v>
      </c>
      <c r="O237" s="49">
        <f t="shared" si="24"/>
        <v>37941.166666666664</v>
      </c>
      <c r="P237" s="42">
        <v>1531.05</v>
      </c>
      <c r="Q237" s="42">
        <v>453</v>
      </c>
      <c r="R237" s="42">
        <v>1530.94</v>
      </c>
      <c r="S237" s="42">
        <v>441.79</v>
      </c>
      <c r="T237" s="42"/>
      <c r="U237" s="42"/>
      <c r="V237" s="3"/>
      <c r="W237" s="3"/>
      <c r="X237" s="3"/>
      <c r="Y237" s="3"/>
      <c r="Z237" s="3"/>
      <c r="AA237" s="3"/>
      <c r="AB237" s="3"/>
      <c r="AE237" s="42">
        <f t="shared" si="25"/>
        <v>162024</v>
      </c>
      <c r="AF237" s="42">
        <f t="shared" si="26"/>
        <v>159677.26999999999</v>
      </c>
      <c r="AG237" s="42" t="str">
        <f t="shared" si="27"/>
        <v/>
      </c>
      <c r="AH237" s="42" t="str">
        <f t="shared" si="28"/>
        <v/>
      </c>
      <c r="AI237" s="42" t="str">
        <f t="shared" si="29"/>
        <v/>
      </c>
      <c r="AJ237" s="42" t="str">
        <f t="shared" si="30"/>
        <v/>
      </c>
      <c r="AK237" s="42" t="str">
        <f t="shared" si="31"/>
        <v/>
      </c>
      <c r="AO237" s="86">
        <f ca="1"/>
        <v>37941.208333333336</v>
      </c>
      <c r="AP237" s="87">
        <f ca="1"/>
        <v>1531.05</v>
      </c>
      <c r="AQ237" s="87">
        <f ca="1"/>
        <v>1530.94</v>
      </c>
      <c r="AR237" s="88">
        <f ca="1"/>
        <v>37941.208333333336</v>
      </c>
      <c r="AS237" s="87">
        <f ca="1"/>
        <v>453</v>
      </c>
      <c r="AT237" s="87">
        <f ca="1"/>
        <v>442.84</v>
      </c>
    </row>
    <row r="238" spans="13:46" x14ac:dyDescent="0.25">
      <c r="M238" s="42">
        <v>234</v>
      </c>
      <c r="N238" s="3" t="s">
        <v>294</v>
      </c>
      <c r="O238" s="49">
        <f t="shared" si="24"/>
        <v>37941.208333333336</v>
      </c>
      <c r="P238" s="42">
        <v>1531.05</v>
      </c>
      <c r="Q238" s="42">
        <v>453</v>
      </c>
      <c r="R238" s="42">
        <v>1530.94</v>
      </c>
      <c r="S238" s="42">
        <v>442.84</v>
      </c>
      <c r="T238" s="42"/>
      <c r="U238" s="42"/>
      <c r="V238" s="3"/>
      <c r="W238" s="3"/>
      <c r="X238" s="3"/>
      <c r="Y238" s="3"/>
      <c r="Z238" s="3"/>
      <c r="AA238" s="3"/>
      <c r="AB238" s="3"/>
      <c r="AE238" s="42">
        <f t="shared" si="25"/>
        <v>162477</v>
      </c>
      <c r="AF238" s="42">
        <f t="shared" si="26"/>
        <v>160120.10999999999</v>
      </c>
      <c r="AG238" s="42" t="str">
        <f t="shared" si="27"/>
        <v/>
      </c>
      <c r="AH238" s="42" t="str">
        <f t="shared" si="28"/>
        <v/>
      </c>
      <c r="AI238" s="42" t="str">
        <f t="shared" si="29"/>
        <v/>
      </c>
      <c r="AJ238" s="42" t="str">
        <f t="shared" si="30"/>
        <v/>
      </c>
      <c r="AK238" s="42" t="str">
        <f t="shared" si="31"/>
        <v/>
      </c>
      <c r="AO238" s="86">
        <f ca="1"/>
        <v>37941.25</v>
      </c>
      <c r="AP238" s="87">
        <f ca="1"/>
        <v>1531.05</v>
      </c>
      <c r="AQ238" s="87">
        <f ca="1"/>
        <v>1530.94</v>
      </c>
      <c r="AR238" s="88">
        <f ca="1"/>
        <v>37941.25</v>
      </c>
      <c r="AS238" s="87">
        <f ca="1"/>
        <v>453</v>
      </c>
      <c r="AT238" s="87">
        <f ca="1"/>
        <v>444.2</v>
      </c>
    </row>
    <row r="239" spans="13:46" x14ac:dyDescent="0.25">
      <c r="M239" s="42">
        <v>235</v>
      </c>
      <c r="N239" s="3" t="s">
        <v>295</v>
      </c>
      <c r="O239" s="49">
        <f t="shared" si="24"/>
        <v>37941.25</v>
      </c>
      <c r="P239" s="42">
        <v>1531.05</v>
      </c>
      <c r="Q239" s="42">
        <v>453</v>
      </c>
      <c r="R239" s="42">
        <v>1530.94</v>
      </c>
      <c r="S239" s="42">
        <v>444.2</v>
      </c>
      <c r="T239" s="42"/>
      <c r="U239" s="42"/>
      <c r="V239" s="3"/>
      <c r="W239" s="3"/>
      <c r="X239" s="3"/>
      <c r="Y239" s="3"/>
      <c r="Z239" s="3"/>
      <c r="AA239" s="3"/>
      <c r="AB239" s="3"/>
      <c r="AE239" s="42">
        <f t="shared" si="25"/>
        <v>162930</v>
      </c>
      <c r="AF239" s="42">
        <f t="shared" si="26"/>
        <v>160564.31</v>
      </c>
      <c r="AG239" s="42" t="str">
        <f t="shared" si="27"/>
        <v/>
      </c>
      <c r="AH239" s="42" t="str">
        <f t="shared" si="28"/>
        <v/>
      </c>
      <c r="AI239" s="42" t="str">
        <f t="shared" si="29"/>
        <v/>
      </c>
      <c r="AJ239" s="42" t="str">
        <f t="shared" si="30"/>
        <v/>
      </c>
      <c r="AK239" s="42" t="str">
        <f t="shared" si="31"/>
        <v/>
      </c>
      <c r="AO239" s="86">
        <f ca="1"/>
        <v>37941.291666666664</v>
      </c>
      <c r="AP239" s="87">
        <f ca="1"/>
        <v>1531.05</v>
      </c>
      <c r="AQ239" s="87">
        <f ca="1"/>
        <v>1530.95</v>
      </c>
      <c r="AR239" s="88">
        <f ca="1"/>
        <v>37941.291666666664</v>
      </c>
      <c r="AS239" s="87">
        <f ca="1"/>
        <v>453</v>
      </c>
      <c r="AT239" s="87">
        <f ca="1"/>
        <v>445.6</v>
      </c>
    </row>
    <row r="240" spans="13:46" x14ac:dyDescent="0.25">
      <c r="M240" s="42">
        <v>236</v>
      </c>
      <c r="N240" s="3" t="s">
        <v>296</v>
      </c>
      <c r="O240" s="49">
        <f t="shared" si="24"/>
        <v>37941.291666666664</v>
      </c>
      <c r="P240" s="42">
        <v>1531.05</v>
      </c>
      <c r="Q240" s="42">
        <v>453</v>
      </c>
      <c r="R240" s="42">
        <v>1530.95</v>
      </c>
      <c r="S240" s="42">
        <v>445.6</v>
      </c>
      <c r="T240" s="42"/>
      <c r="U240" s="42"/>
      <c r="V240" s="3"/>
      <c r="W240" s="3"/>
      <c r="X240" s="3"/>
      <c r="Y240" s="3"/>
      <c r="Z240" s="3"/>
      <c r="AA240" s="3"/>
      <c r="AB240" s="3"/>
      <c r="AE240" s="42">
        <f t="shared" si="25"/>
        <v>163383</v>
      </c>
      <c r="AF240" s="42">
        <f t="shared" si="26"/>
        <v>161009.91</v>
      </c>
      <c r="AG240" s="42" t="str">
        <f t="shared" si="27"/>
        <v/>
      </c>
      <c r="AH240" s="42" t="str">
        <f t="shared" si="28"/>
        <v/>
      </c>
      <c r="AI240" s="42" t="str">
        <f t="shared" si="29"/>
        <v/>
      </c>
      <c r="AJ240" s="42" t="str">
        <f t="shared" si="30"/>
        <v/>
      </c>
      <c r="AK240" s="42" t="str">
        <f t="shared" si="31"/>
        <v/>
      </c>
      <c r="AO240" s="86">
        <f ca="1"/>
        <v>37941.333333333336</v>
      </c>
      <c r="AP240" s="87">
        <f ca="1"/>
        <v>1531.05</v>
      </c>
      <c r="AQ240" s="87">
        <f ca="1"/>
        <v>1530.95</v>
      </c>
      <c r="AR240" s="88">
        <f ca="1"/>
        <v>37941.333333333336</v>
      </c>
      <c r="AS240" s="87">
        <f ca="1"/>
        <v>453</v>
      </c>
      <c r="AT240" s="87">
        <f ca="1"/>
        <v>446.81</v>
      </c>
    </row>
    <row r="241" spans="13:46" x14ac:dyDescent="0.25">
      <c r="M241" s="42">
        <v>237</v>
      </c>
      <c r="N241" s="3" t="s">
        <v>297</v>
      </c>
      <c r="O241" s="49">
        <f t="shared" si="24"/>
        <v>37941.333333333336</v>
      </c>
      <c r="P241" s="42">
        <v>1531.05</v>
      </c>
      <c r="Q241" s="42">
        <v>453</v>
      </c>
      <c r="R241" s="42">
        <v>1530.95</v>
      </c>
      <c r="S241" s="42">
        <v>446.81</v>
      </c>
      <c r="T241" s="42"/>
      <c r="U241" s="42"/>
      <c r="V241" s="3"/>
      <c r="W241" s="3"/>
      <c r="X241" s="3"/>
      <c r="Y241" s="3"/>
      <c r="Z241" s="3"/>
      <c r="AA241" s="3"/>
      <c r="AB241" s="3"/>
      <c r="AE241" s="42">
        <f t="shared" si="25"/>
        <v>163836</v>
      </c>
      <c r="AF241" s="42">
        <f t="shared" si="26"/>
        <v>161456.72</v>
      </c>
      <c r="AG241" s="42" t="str">
        <f t="shared" si="27"/>
        <v/>
      </c>
      <c r="AH241" s="42" t="str">
        <f t="shared" si="28"/>
        <v/>
      </c>
      <c r="AI241" s="42" t="str">
        <f t="shared" si="29"/>
        <v/>
      </c>
      <c r="AJ241" s="42" t="str">
        <f t="shared" si="30"/>
        <v/>
      </c>
      <c r="AK241" s="42" t="str">
        <f t="shared" si="31"/>
        <v/>
      </c>
      <c r="AO241" s="86">
        <f ca="1"/>
        <v>37941.375</v>
      </c>
      <c r="AP241" s="87">
        <f ca="1"/>
        <v>1531.04</v>
      </c>
      <c r="AQ241" s="87">
        <f ca="1"/>
        <v>1530.94</v>
      </c>
      <c r="AR241" s="88">
        <f ca="1"/>
        <v>37941.375</v>
      </c>
      <c r="AS241" s="87">
        <f ca="1"/>
        <v>450</v>
      </c>
      <c r="AT241" s="87">
        <f ca="1"/>
        <v>442.84</v>
      </c>
    </row>
    <row r="242" spans="13:46" x14ac:dyDescent="0.25">
      <c r="M242" s="42">
        <v>238</v>
      </c>
      <c r="N242" s="3" t="s">
        <v>298</v>
      </c>
      <c r="O242" s="49">
        <f t="shared" si="24"/>
        <v>37941.375</v>
      </c>
      <c r="P242" s="42">
        <v>1531.04</v>
      </c>
      <c r="Q242" s="42">
        <v>450</v>
      </c>
      <c r="R242" s="42">
        <v>1530.94</v>
      </c>
      <c r="S242" s="42">
        <v>442.84</v>
      </c>
      <c r="T242" s="42"/>
      <c r="U242" s="42"/>
      <c r="V242" s="3"/>
      <c r="W242" s="3"/>
      <c r="X242" s="3"/>
      <c r="Y242" s="3"/>
      <c r="Z242" s="3"/>
      <c r="AA242" s="3"/>
      <c r="AB242" s="3"/>
      <c r="AE242" s="42">
        <f t="shared" si="25"/>
        <v>164286</v>
      </c>
      <c r="AF242" s="42">
        <f t="shared" si="26"/>
        <v>161899.56</v>
      </c>
      <c r="AG242" s="42" t="str">
        <f t="shared" si="27"/>
        <v/>
      </c>
      <c r="AH242" s="42" t="str">
        <f t="shared" si="28"/>
        <v/>
      </c>
      <c r="AI242" s="42" t="str">
        <f t="shared" si="29"/>
        <v/>
      </c>
      <c r="AJ242" s="42" t="str">
        <f t="shared" si="30"/>
        <v/>
      </c>
      <c r="AK242" s="42" t="str">
        <f t="shared" si="31"/>
        <v/>
      </c>
      <c r="AO242" s="86">
        <f ca="1"/>
        <v>37941.416666666664</v>
      </c>
      <c r="AP242" s="87">
        <f ca="1"/>
        <v>1531.03</v>
      </c>
      <c r="AQ242" s="87">
        <f ca="1"/>
        <v>1530.94</v>
      </c>
      <c r="AR242" s="88">
        <f ca="1"/>
        <v>37941.416666666664</v>
      </c>
      <c r="AS242" s="87">
        <f ca="1"/>
        <v>446</v>
      </c>
      <c r="AT242" s="87">
        <f ca="1"/>
        <v>441.65</v>
      </c>
    </row>
    <row r="243" spans="13:46" x14ac:dyDescent="0.25">
      <c r="M243" s="42">
        <v>239</v>
      </c>
      <c r="N243" s="3" t="s">
        <v>299</v>
      </c>
      <c r="O243" s="49">
        <f t="shared" si="24"/>
        <v>37941.416666666664</v>
      </c>
      <c r="P243" s="42">
        <v>1531.03</v>
      </c>
      <c r="Q243" s="42">
        <v>446</v>
      </c>
      <c r="R243" s="42">
        <v>1530.94</v>
      </c>
      <c r="S243" s="42">
        <v>441.65</v>
      </c>
      <c r="T243" s="42"/>
      <c r="U243" s="42"/>
      <c r="V243" s="3"/>
      <c r="W243" s="3"/>
      <c r="X243" s="3"/>
      <c r="Y243" s="3"/>
      <c r="Z243" s="3"/>
      <c r="AA243" s="3"/>
      <c r="AB243" s="3"/>
      <c r="AE243" s="42">
        <f t="shared" si="25"/>
        <v>164732</v>
      </c>
      <c r="AF243" s="42">
        <f t="shared" si="26"/>
        <v>162341.21</v>
      </c>
      <c r="AG243" s="42" t="str">
        <f t="shared" si="27"/>
        <v/>
      </c>
      <c r="AH243" s="42" t="str">
        <f t="shared" si="28"/>
        <v/>
      </c>
      <c r="AI243" s="42" t="str">
        <f t="shared" si="29"/>
        <v/>
      </c>
      <c r="AJ243" s="42" t="str">
        <f t="shared" si="30"/>
        <v/>
      </c>
      <c r="AK243" s="42" t="str">
        <f t="shared" si="31"/>
        <v/>
      </c>
      <c r="AO243" s="86">
        <f ca="1"/>
        <v>37941.458333333336</v>
      </c>
      <c r="AP243" s="87">
        <f ca="1"/>
        <v>1531.02</v>
      </c>
      <c r="AQ243" s="87">
        <f ca="1"/>
        <v>1530.93</v>
      </c>
      <c r="AR243" s="88">
        <f ca="1"/>
        <v>37941.458333333336</v>
      </c>
      <c r="AS243" s="87">
        <f ca="1"/>
        <v>443</v>
      </c>
      <c r="AT243" s="87">
        <f ca="1"/>
        <v>438.81</v>
      </c>
    </row>
    <row r="244" spans="13:46" x14ac:dyDescent="0.25">
      <c r="M244" s="42">
        <v>240</v>
      </c>
      <c r="N244" s="3" t="s">
        <v>300</v>
      </c>
      <c r="O244" s="49">
        <f t="shared" si="24"/>
        <v>37941.458333333336</v>
      </c>
      <c r="P244" s="42">
        <v>1531.02</v>
      </c>
      <c r="Q244" s="42">
        <v>443</v>
      </c>
      <c r="R244" s="42">
        <v>1530.93</v>
      </c>
      <c r="S244" s="42">
        <v>438.81</v>
      </c>
      <c r="T244" s="42"/>
      <c r="U244" s="42"/>
      <c r="V244" s="3"/>
      <c r="W244" s="3"/>
      <c r="X244" s="3"/>
      <c r="Y244" s="3"/>
      <c r="Z244" s="3"/>
      <c r="AA244" s="3"/>
      <c r="AB244" s="3"/>
      <c r="AE244" s="42">
        <f t="shared" si="25"/>
        <v>165175</v>
      </c>
      <c r="AF244" s="42">
        <f t="shared" si="26"/>
        <v>162780.01999999999</v>
      </c>
      <c r="AG244" s="42" t="str">
        <f t="shared" si="27"/>
        <v/>
      </c>
      <c r="AH244" s="42" t="str">
        <f t="shared" si="28"/>
        <v/>
      </c>
      <c r="AI244" s="42" t="str">
        <f t="shared" si="29"/>
        <v/>
      </c>
      <c r="AJ244" s="42" t="str">
        <f t="shared" si="30"/>
        <v/>
      </c>
      <c r="AK244" s="42" t="str">
        <f t="shared" si="31"/>
        <v/>
      </c>
      <c r="AO244" s="86">
        <f ca="1"/>
        <v>37941.5</v>
      </c>
      <c r="AP244" s="87">
        <f ca="1"/>
        <v>1531.01</v>
      </c>
      <c r="AQ244" s="87">
        <f ca="1"/>
        <v>1530.92</v>
      </c>
      <c r="AR244" s="88">
        <f ca="1"/>
        <v>37941.5</v>
      </c>
      <c r="AS244" s="87">
        <f ca="1"/>
        <v>439</v>
      </c>
      <c r="AT244" s="87">
        <f ca="1"/>
        <v>436.24</v>
      </c>
    </row>
    <row r="245" spans="13:46" x14ac:dyDescent="0.25">
      <c r="M245" s="42">
        <v>241</v>
      </c>
      <c r="N245" s="3" t="s">
        <v>301</v>
      </c>
      <c r="O245" s="49">
        <f t="shared" si="24"/>
        <v>37941.5</v>
      </c>
      <c r="P245" s="42">
        <v>1531.01</v>
      </c>
      <c r="Q245" s="42">
        <v>439</v>
      </c>
      <c r="R245" s="42">
        <v>1530.92</v>
      </c>
      <c r="S245" s="42">
        <v>436.24</v>
      </c>
      <c r="T245" s="42"/>
      <c r="U245" s="42"/>
      <c r="V245" s="3"/>
      <c r="W245" s="3"/>
      <c r="X245" s="3"/>
      <c r="Y245" s="3"/>
      <c r="Z245" s="3"/>
      <c r="AA245" s="3"/>
      <c r="AB245" s="3"/>
      <c r="AE245" s="42">
        <f t="shared" si="25"/>
        <v>165614</v>
      </c>
      <c r="AF245" s="42">
        <f t="shared" si="26"/>
        <v>163216.25999999998</v>
      </c>
      <c r="AG245" s="42" t="str">
        <f t="shared" si="27"/>
        <v/>
      </c>
      <c r="AH245" s="42" t="str">
        <f t="shared" si="28"/>
        <v/>
      </c>
      <c r="AI245" s="42" t="str">
        <f t="shared" si="29"/>
        <v/>
      </c>
      <c r="AJ245" s="42" t="str">
        <f t="shared" si="30"/>
        <v/>
      </c>
      <c r="AK245" s="42" t="str">
        <f t="shared" si="31"/>
        <v/>
      </c>
      <c r="AO245" s="86">
        <f ca="1"/>
        <v>37941.541666666664</v>
      </c>
      <c r="AP245" s="87">
        <f ca="1"/>
        <v>1531</v>
      </c>
      <c r="AQ245" s="87">
        <f ca="1"/>
        <v>1530.92</v>
      </c>
      <c r="AR245" s="88">
        <f ca="1"/>
        <v>37941.541666666664</v>
      </c>
      <c r="AS245" s="87">
        <f ca="1"/>
        <v>436</v>
      </c>
      <c r="AT245" s="87">
        <f ca="1"/>
        <v>432.16</v>
      </c>
    </row>
    <row r="246" spans="13:46" x14ac:dyDescent="0.25">
      <c r="M246" s="42">
        <v>242</v>
      </c>
      <c r="N246" s="3" t="s">
        <v>302</v>
      </c>
      <c r="O246" s="49">
        <f t="shared" si="24"/>
        <v>37941.541666666664</v>
      </c>
      <c r="P246" s="42">
        <v>1531</v>
      </c>
      <c r="Q246" s="42">
        <v>436</v>
      </c>
      <c r="R246" s="42">
        <v>1530.92</v>
      </c>
      <c r="S246" s="42">
        <v>432.16</v>
      </c>
      <c r="T246" s="42"/>
      <c r="U246" s="42"/>
      <c r="V246" s="3"/>
      <c r="W246" s="3"/>
      <c r="X246" s="3"/>
      <c r="Y246" s="3"/>
      <c r="Z246" s="3"/>
      <c r="AA246" s="3"/>
      <c r="AB246" s="3"/>
      <c r="AE246" s="42">
        <f t="shared" si="25"/>
        <v>166050</v>
      </c>
      <c r="AF246" s="42">
        <f t="shared" si="26"/>
        <v>163648.41999999998</v>
      </c>
      <c r="AG246" s="42" t="str">
        <f t="shared" si="27"/>
        <v/>
      </c>
      <c r="AH246" s="42" t="str">
        <f t="shared" si="28"/>
        <v/>
      </c>
      <c r="AI246" s="42" t="str">
        <f t="shared" si="29"/>
        <v/>
      </c>
      <c r="AJ246" s="42" t="str">
        <f t="shared" si="30"/>
        <v/>
      </c>
      <c r="AK246" s="42" t="str">
        <f t="shared" si="31"/>
        <v/>
      </c>
      <c r="AO246" s="86">
        <f ca="1"/>
        <v>37941.583333333336</v>
      </c>
      <c r="AP246" s="87">
        <f ca="1"/>
        <v>1530.99</v>
      </c>
      <c r="AQ246" s="87">
        <f ca="1"/>
        <v>1530.91</v>
      </c>
      <c r="AR246" s="88">
        <f ca="1"/>
        <v>37941.583333333336</v>
      </c>
      <c r="AS246" s="87">
        <f ca="1"/>
        <v>432</v>
      </c>
      <c r="AT246" s="87">
        <f ca="1"/>
        <v>430.39</v>
      </c>
    </row>
    <row r="247" spans="13:46" x14ac:dyDescent="0.25">
      <c r="M247" s="42">
        <v>243</v>
      </c>
      <c r="N247" s="3" t="s">
        <v>303</v>
      </c>
      <c r="O247" s="49">
        <f t="shared" si="24"/>
        <v>37941.583333333336</v>
      </c>
      <c r="P247" s="42">
        <v>1530.99</v>
      </c>
      <c r="Q247" s="42">
        <v>432</v>
      </c>
      <c r="R247" s="42">
        <v>1530.91</v>
      </c>
      <c r="S247" s="42">
        <v>430.39</v>
      </c>
      <c r="T247" s="42"/>
      <c r="U247" s="42"/>
      <c r="V247" s="3"/>
      <c r="W247" s="3"/>
      <c r="X247" s="3"/>
      <c r="Y247" s="3"/>
      <c r="Z247" s="3"/>
      <c r="AA247" s="3"/>
      <c r="AB247" s="3"/>
      <c r="AE247" s="42">
        <f t="shared" si="25"/>
        <v>166482</v>
      </c>
      <c r="AF247" s="42">
        <f t="shared" si="26"/>
        <v>164078.81</v>
      </c>
      <c r="AG247" s="42" t="str">
        <f t="shared" si="27"/>
        <v/>
      </c>
      <c r="AH247" s="42" t="str">
        <f t="shared" si="28"/>
        <v/>
      </c>
      <c r="AI247" s="42" t="str">
        <f t="shared" si="29"/>
        <v/>
      </c>
      <c r="AJ247" s="42" t="str">
        <f t="shared" si="30"/>
        <v/>
      </c>
      <c r="AK247" s="42" t="str">
        <f t="shared" si="31"/>
        <v/>
      </c>
      <c r="AO247" s="86">
        <f ca="1"/>
        <v>37941.625</v>
      </c>
      <c r="AP247" s="87">
        <f ca="1"/>
        <v>1530.99</v>
      </c>
      <c r="AQ247" s="87">
        <f ca="1"/>
        <v>1530.91</v>
      </c>
      <c r="AR247" s="88">
        <f ca="1"/>
        <v>37941.625</v>
      </c>
      <c r="AS247" s="87">
        <f ca="1"/>
        <v>432</v>
      </c>
      <c r="AT247" s="87">
        <f ca="1"/>
        <v>429.44</v>
      </c>
    </row>
    <row r="248" spans="13:46" x14ac:dyDescent="0.25">
      <c r="M248" s="42">
        <v>244</v>
      </c>
      <c r="N248" s="3" t="s">
        <v>304</v>
      </c>
      <c r="O248" s="49">
        <f t="shared" si="24"/>
        <v>37941.625</v>
      </c>
      <c r="P248" s="42">
        <v>1530.99</v>
      </c>
      <c r="Q248" s="42">
        <v>432</v>
      </c>
      <c r="R248" s="42">
        <v>1530.91</v>
      </c>
      <c r="S248" s="42">
        <v>429.44</v>
      </c>
      <c r="T248" s="42"/>
      <c r="U248" s="42"/>
      <c r="V248" s="3"/>
      <c r="W248" s="3"/>
      <c r="X248" s="3"/>
      <c r="Y248" s="3"/>
      <c r="Z248" s="3"/>
      <c r="AA248" s="3"/>
      <c r="AB248" s="3"/>
      <c r="AE248" s="42">
        <f t="shared" si="25"/>
        <v>166914</v>
      </c>
      <c r="AF248" s="42">
        <f t="shared" si="26"/>
        <v>164508.25</v>
      </c>
      <c r="AG248" s="42" t="str">
        <f t="shared" si="27"/>
        <v/>
      </c>
      <c r="AH248" s="42" t="str">
        <f t="shared" si="28"/>
        <v/>
      </c>
      <c r="AI248" s="42" t="str">
        <f t="shared" si="29"/>
        <v/>
      </c>
      <c r="AJ248" s="42" t="str">
        <f t="shared" si="30"/>
        <v/>
      </c>
      <c r="AK248" s="42" t="str">
        <f t="shared" si="31"/>
        <v/>
      </c>
      <c r="AO248" s="86">
        <f ca="1"/>
        <v>37941.666666666664</v>
      </c>
      <c r="AP248" s="87">
        <f ca="1"/>
        <v>1530.97</v>
      </c>
      <c r="AQ248" s="87">
        <f ca="1"/>
        <v>1530.91</v>
      </c>
      <c r="AR248" s="88">
        <f ca="1"/>
        <v>37941.666666666664</v>
      </c>
      <c r="AS248" s="87">
        <f ca="1"/>
        <v>426</v>
      </c>
      <c r="AT248" s="87">
        <f ca="1"/>
        <v>427.93</v>
      </c>
    </row>
    <row r="249" spans="13:46" x14ac:dyDescent="0.25">
      <c r="M249" s="42">
        <v>245</v>
      </c>
      <c r="N249" s="3" t="s">
        <v>305</v>
      </c>
      <c r="O249" s="49">
        <f t="shared" si="24"/>
        <v>37941.666666666664</v>
      </c>
      <c r="P249" s="42">
        <v>1530.97</v>
      </c>
      <c r="Q249" s="42">
        <v>426</v>
      </c>
      <c r="R249" s="42">
        <v>1530.91</v>
      </c>
      <c r="S249" s="42">
        <v>427.93</v>
      </c>
      <c r="T249" s="42"/>
      <c r="U249" s="42"/>
      <c r="V249" s="3"/>
      <c r="W249" s="3"/>
      <c r="X249" s="3"/>
      <c r="Y249" s="3"/>
      <c r="Z249" s="3"/>
      <c r="AA249" s="3"/>
      <c r="AB249" s="3"/>
      <c r="AE249" s="42">
        <f t="shared" si="25"/>
        <v>167340</v>
      </c>
      <c r="AF249" s="42">
        <f t="shared" si="26"/>
        <v>164936.18</v>
      </c>
      <c r="AG249" s="42" t="str">
        <f t="shared" si="27"/>
        <v/>
      </c>
      <c r="AH249" s="42" t="str">
        <f t="shared" si="28"/>
        <v/>
      </c>
      <c r="AI249" s="42" t="str">
        <f t="shared" si="29"/>
        <v/>
      </c>
      <c r="AJ249" s="42" t="str">
        <f t="shared" si="30"/>
        <v/>
      </c>
      <c r="AK249" s="42" t="str">
        <f t="shared" si="31"/>
        <v/>
      </c>
      <c r="AO249" s="86">
        <f ca="1"/>
        <v>37941.708333333336</v>
      </c>
      <c r="AP249" s="87">
        <f ca="1"/>
        <v>1530.97</v>
      </c>
      <c r="AQ249" s="87">
        <f ca="1"/>
        <v>1530.9</v>
      </c>
      <c r="AR249" s="88">
        <f ca="1"/>
        <v>37941.708333333336</v>
      </c>
      <c r="AS249" s="87">
        <f ca="1"/>
        <v>426</v>
      </c>
      <c r="AT249" s="87">
        <f ca="1"/>
        <v>426.05</v>
      </c>
    </row>
    <row r="250" spans="13:46" x14ac:dyDescent="0.25">
      <c r="M250" s="42">
        <v>246</v>
      </c>
      <c r="N250" s="3" t="s">
        <v>306</v>
      </c>
      <c r="O250" s="49">
        <f t="shared" si="24"/>
        <v>37941.708333333336</v>
      </c>
      <c r="P250" s="42">
        <v>1530.97</v>
      </c>
      <c r="Q250" s="42">
        <v>426</v>
      </c>
      <c r="R250" s="42">
        <v>1530.9</v>
      </c>
      <c r="S250" s="42">
        <v>426.05</v>
      </c>
      <c r="T250" s="42"/>
      <c r="U250" s="42"/>
      <c r="V250" s="3"/>
      <c r="W250" s="3"/>
      <c r="X250" s="3"/>
      <c r="Y250" s="3"/>
      <c r="Z250" s="3"/>
      <c r="AA250" s="3"/>
      <c r="AB250" s="3"/>
      <c r="AE250" s="42">
        <f t="shared" si="25"/>
        <v>167766</v>
      </c>
      <c r="AF250" s="42">
        <f t="shared" si="26"/>
        <v>165362.22999999998</v>
      </c>
      <c r="AG250" s="42" t="str">
        <f t="shared" si="27"/>
        <v/>
      </c>
      <c r="AH250" s="42" t="str">
        <f t="shared" si="28"/>
        <v/>
      </c>
      <c r="AI250" s="42" t="str">
        <f t="shared" si="29"/>
        <v/>
      </c>
      <c r="AJ250" s="42" t="str">
        <f t="shared" si="30"/>
        <v/>
      </c>
      <c r="AK250" s="42" t="str">
        <f t="shared" si="31"/>
        <v/>
      </c>
      <c r="AO250" s="86">
        <f ca="1"/>
        <v>37941.75</v>
      </c>
      <c r="AP250" s="87">
        <f ca="1"/>
        <v>1530.96</v>
      </c>
      <c r="AQ250" s="87">
        <f ca="1"/>
        <v>1530.9</v>
      </c>
      <c r="AR250" s="88">
        <f ca="1"/>
        <v>37941.75</v>
      </c>
      <c r="AS250" s="87">
        <f ca="1"/>
        <v>422</v>
      </c>
      <c r="AT250" s="87">
        <f ca="1"/>
        <v>423.66</v>
      </c>
    </row>
    <row r="251" spans="13:46" x14ac:dyDescent="0.25">
      <c r="M251" s="42">
        <v>247</v>
      </c>
      <c r="N251" s="3" t="s">
        <v>307</v>
      </c>
      <c r="O251" s="49">
        <f t="shared" si="24"/>
        <v>37941.75</v>
      </c>
      <c r="P251" s="42">
        <v>1530.96</v>
      </c>
      <c r="Q251" s="42">
        <v>422</v>
      </c>
      <c r="R251" s="42">
        <v>1530.9</v>
      </c>
      <c r="S251" s="42">
        <v>423.66</v>
      </c>
      <c r="T251" s="42"/>
      <c r="U251" s="42"/>
      <c r="V251" s="3"/>
      <c r="W251" s="3"/>
      <c r="X251" s="3"/>
      <c r="Y251" s="3"/>
      <c r="Z251" s="3"/>
      <c r="AA251" s="3"/>
      <c r="AB251" s="3"/>
      <c r="AE251" s="42">
        <f t="shared" si="25"/>
        <v>168188</v>
      </c>
      <c r="AF251" s="42">
        <f t="shared" si="26"/>
        <v>165785.88999999998</v>
      </c>
      <c r="AG251" s="42" t="str">
        <f t="shared" si="27"/>
        <v/>
      </c>
      <c r="AH251" s="42" t="str">
        <f t="shared" si="28"/>
        <v/>
      </c>
      <c r="AI251" s="42" t="str">
        <f t="shared" si="29"/>
        <v/>
      </c>
      <c r="AJ251" s="42" t="str">
        <f t="shared" si="30"/>
        <v/>
      </c>
      <c r="AK251" s="42" t="str">
        <f t="shared" si="31"/>
        <v/>
      </c>
      <c r="AO251" s="86">
        <f ca="1"/>
        <v>37941.791666666664</v>
      </c>
      <c r="AP251" s="87">
        <f ca="1"/>
        <v>1530.95</v>
      </c>
      <c r="AQ251" s="87">
        <f ca="1"/>
        <v>1530.89</v>
      </c>
      <c r="AR251" s="88">
        <f ca="1"/>
        <v>37941.791666666664</v>
      </c>
      <c r="AS251" s="87">
        <f ca="1"/>
        <v>419</v>
      </c>
      <c r="AT251" s="87">
        <f ca="1"/>
        <v>421.21</v>
      </c>
    </row>
    <row r="252" spans="13:46" x14ac:dyDescent="0.25">
      <c r="M252" s="42">
        <v>248</v>
      </c>
      <c r="N252" s="3" t="s">
        <v>308</v>
      </c>
      <c r="O252" s="49">
        <f t="shared" si="24"/>
        <v>37941.791666666664</v>
      </c>
      <c r="P252" s="42">
        <v>1530.95</v>
      </c>
      <c r="Q252" s="42">
        <v>419</v>
      </c>
      <c r="R252" s="42">
        <v>1530.89</v>
      </c>
      <c r="S252" s="42">
        <v>421.21</v>
      </c>
      <c r="T252" s="42"/>
      <c r="U252" s="42"/>
      <c r="V252" s="3"/>
      <c r="W252" s="3"/>
      <c r="X252" s="3"/>
      <c r="Y252" s="3"/>
      <c r="Z252" s="3"/>
      <c r="AA252" s="3"/>
      <c r="AB252" s="3"/>
      <c r="AE252" s="42">
        <f t="shared" si="25"/>
        <v>168607</v>
      </c>
      <c r="AF252" s="42">
        <f t="shared" si="26"/>
        <v>166207.09999999998</v>
      </c>
      <c r="AG252" s="42" t="str">
        <f t="shared" si="27"/>
        <v/>
      </c>
      <c r="AH252" s="42" t="str">
        <f t="shared" si="28"/>
        <v/>
      </c>
      <c r="AI252" s="42" t="str">
        <f t="shared" si="29"/>
        <v/>
      </c>
      <c r="AJ252" s="42" t="str">
        <f t="shared" si="30"/>
        <v/>
      </c>
      <c r="AK252" s="42" t="str">
        <f t="shared" si="31"/>
        <v/>
      </c>
      <c r="AO252" s="86">
        <f ca="1"/>
        <v>37941.833333333336</v>
      </c>
      <c r="AP252" s="87">
        <f ca="1"/>
        <v>1530.95</v>
      </c>
      <c r="AQ252" s="87">
        <f ca="1"/>
        <v>1530.88</v>
      </c>
      <c r="AR252" s="88">
        <f ca="1"/>
        <v>37941.833333333336</v>
      </c>
      <c r="AS252" s="87">
        <f ca="1"/>
        <v>419</v>
      </c>
      <c r="AT252" s="87">
        <f ca="1"/>
        <v>418.35</v>
      </c>
    </row>
    <row r="253" spans="13:46" x14ac:dyDescent="0.25">
      <c r="M253" s="42">
        <v>249</v>
      </c>
      <c r="N253" s="3" t="s">
        <v>309</v>
      </c>
      <c r="O253" s="49">
        <f t="shared" si="24"/>
        <v>37941.833333333336</v>
      </c>
      <c r="P253" s="42">
        <v>1530.95</v>
      </c>
      <c r="Q253" s="42">
        <v>419</v>
      </c>
      <c r="R253" s="42">
        <v>1530.88</v>
      </c>
      <c r="S253" s="42">
        <v>418.35</v>
      </c>
      <c r="T253" s="42"/>
      <c r="U253" s="42"/>
      <c r="V253" s="3"/>
      <c r="W253" s="3"/>
      <c r="X253" s="3"/>
      <c r="Y253" s="3"/>
      <c r="Z253" s="3"/>
      <c r="AA253" s="3"/>
      <c r="AB253" s="3"/>
      <c r="AE253" s="42">
        <f t="shared" si="25"/>
        <v>169026</v>
      </c>
      <c r="AF253" s="42">
        <f t="shared" si="26"/>
        <v>166625.44999999998</v>
      </c>
      <c r="AG253" s="42" t="str">
        <f t="shared" si="27"/>
        <v/>
      </c>
      <c r="AH253" s="42" t="str">
        <f t="shared" si="28"/>
        <v/>
      </c>
      <c r="AI253" s="42" t="str">
        <f t="shared" si="29"/>
        <v/>
      </c>
      <c r="AJ253" s="42" t="str">
        <f t="shared" si="30"/>
        <v/>
      </c>
      <c r="AK253" s="42" t="str">
        <f t="shared" si="31"/>
        <v/>
      </c>
      <c r="AO253" s="86">
        <f ca="1"/>
        <v>37941.875</v>
      </c>
      <c r="AP253" s="87">
        <f ca="1"/>
        <v>1530.95</v>
      </c>
      <c r="AQ253" s="87">
        <f ca="1"/>
        <v>1530.88</v>
      </c>
      <c r="AR253" s="88">
        <f ca="1"/>
        <v>37941.875</v>
      </c>
      <c r="AS253" s="87">
        <f ca="1"/>
        <v>419</v>
      </c>
      <c r="AT253" s="87">
        <f ca="1"/>
        <v>416.4</v>
      </c>
    </row>
    <row r="254" spans="13:46" x14ac:dyDescent="0.25">
      <c r="M254" s="42">
        <v>250</v>
      </c>
      <c r="N254" s="3" t="s">
        <v>310</v>
      </c>
      <c r="O254" s="49">
        <f t="shared" si="24"/>
        <v>37941.875</v>
      </c>
      <c r="P254" s="42">
        <v>1530.95</v>
      </c>
      <c r="Q254" s="42">
        <v>419</v>
      </c>
      <c r="R254" s="42">
        <v>1530.88</v>
      </c>
      <c r="S254" s="42">
        <v>416.4</v>
      </c>
      <c r="T254" s="42"/>
      <c r="U254" s="42"/>
      <c r="V254" s="3"/>
      <c r="W254" s="3"/>
      <c r="X254" s="3"/>
      <c r="Y254" s="3"/>
      <c r="Z254" s="3"/>
      <c r="AA254" s="3"/>
      <c r="AB254" s="3"/>
      <c r="AE254" s="42">
        <f t="shared" si="25"/>
        <v>169445</v>
      </c>
      <c r="AF254" s="42">
        <f t="shared" si="26"/>
        <v>167041.84999999998</v>
      </c>
      <c r="AG254" s="42" t="str">
        <f t="shared" si="27"/>
        <v/>
      </c>
      <c r="AH254" s="42" t="str">
        <f t="shared" si="28"/>
        <v/>
      </c>
      <c r="AI254" s="42" t="str">
        <f t="shared" si="29"/>
        <v/>
      </c>
      <c r="AJ254" s="42" t="str">
        <f t="shared" si="30"/>
        <v/>
      </c>
      <c r="AK254" s="42" t="str">
        <f t="shared" si="31"/>
        <v/>
      </c>
      <c r="AO254" s="86">
        <f ca="1"/>
        <v>37941.916666666664</v>
      </c>
      <c r="AP254" s="87">
        <f ca="1"/>
        <v>1530.94</v>
      </c>
      <c r="AQ254" s="87">
        <f ca="1"/>
        <v>1530.87</v>
      </c>
      <c r="AR254" s="88">
        <f ca="1"/>
        <v>37941.916666666664</v>
      </c>
      <c r="AS254" s="87">
        <f ca="1"/>
        <v>416</v>
      </c>
      <c r="AT254" s="87">
        <f ca="1"/>
        <v>414.61</v>
      </c>
    </row>
    <row r="255" spans="13:46" x14ac:dyDescent="0.25">
      <c r="M255" s="42">
        <v>251</v>
      </c>
      <c r="N255" s="3" t="s">
        <v>311</v>
      </c>
      <c r="O255" s="49">
        <f t="shared" si="24"/>
        <v>37941.916666666664</v>
      </c>
      <c r="P255" s="42">
        <v>1530.94</v>
      </c>
      <c r="Q255" s="42">
        <v>416</v>
      </c>
      <c r="R255" s="42">
        <v>1530.87</v>
      </c>
      <c r="S255" s="42">
        <v>414.61</v>
      </c>
      <c r="T255" s="42"/>
      <c r="U255" s="42"/>
      <c r="V255" s="3"/>
      <c r="W255" s="3"/>
      <c r="X255" s="3"/>
      <c r="Y255" s="3"/>
      <c r="Z255" s="3"/>
      <c r="AA255" s="3"/>
      <c r="AB255" s="3"/>
      <c r="AE255" s="42">
        <f t="shared" si="25"/>
        <v>169861</v>
      </c>
      <c r="AF255" s="42">
        <f t="shared" si="26"/>
        <v>167456.45999999996</v>
      </c>
      <c r="AG255" s="42" t="str">
        <f t="shared" si="27"/>
        <v/>
      </c>
      <c r="AH255" s="42" t="str">
        <f t="shared" si="28"/>
        <v/>
      </c>
      <c r="AI255" s="42" t="str">
        <f t="shared" si="29"/>
        <v/>
      </c>
      <c r="AJ255" s="42" t="str">
        <f t="shared" si="30"/>
        <v/>
      </c>
      <c r="AK255" s="42" t="str">
        <f t="shared" si="31"/>
        <v/>
      </c>
      <c r="AO255" s="86">
        <f ca="1"/>
        <v>37941.958333333336</v>
      </c>
      <c r="AP255" s="87">
        <f ca="1"/>
        <v>1530.94</v>
      </c>
      <c r="AQ255" s="87">
        <f ca="1"/>
        <v>1530.87</v>
      </c>
      <c r="AR255" s="88">
        <f ca="1"/>
        <v>37941.958333333336</v>
      </c>
      <c r="AS255" s="87">
        <f ca="1"/>
        <v>416</v>
      </c>
      <c r="AT255" s="87">
        <f ca="1"/>
        <v>411.17</v>
      </c>
    </row>
    <row r="256" spans="13:46" x14ac:dyDescent="0.25">
      <c r="M256" s="42">
        <v>252</v>
      </c>
      <c r="N256" s="3" t="s">
        <v>312</v>
      </c>
      <c r="O256" s="49">
        <f t="shared" si="24"/>
        <v>37941.958333333336</v>
      </c>
      <c r="P256" s="42">
        <v>1530.94</v>
      </c>
      <c r="Q256" s="42">
        <v>416</v>
      </c>
      <c r="R256" s="42">
        <v>1530.87</v>
      </c>
      <c r="S256" s="42">
        <v>411.17</v>
      </c>
      <c r="T256" s="42"/>
      <c r="U256" s="42"/>
      <c r="V256" s="3"/>
      <c r="W256" s="3"/>
      <c r="X256" s="3"/>
      <c r="Y256" s="3"/>
      <c r="Z256" s="3"/>
      <c r="AA256" s="3"/>
      <c r="AB256" s="3"/>
      <c r="AE256" s="42">
        <f t="shared" si="25"/>
        <v>170277</v>
      </c>
      <c r="AF256" s="42">
        <f t="shared" si="26"/>
        <v>167867.62999999998</v>
      </c>
      <c r="AG256" s="42" t="str">
        <f t="shared" si="27"/>
        <v/>
      </c>
      <c r="AH256" s="42" t="str">
        <f t="shared" si="28"/>
        <v/>
      </c>
      <c r="AI256" s="42" t="str">
        <f t="shared" si="29"/>
        <v/>
      </c>
      <c r="AJ256" s="42" t="str">
        <f t="shared" si="30"/>
        <v/>
      </c>
      <c r="AK256" s="42" t="str">
        <f t="shared" si="31"/>
        <v/>
      </c>
      <c r="AO256" s="86">
        <f ca="1"/>
        <v>37942</v>
      </c>
      <c r="AP256" s="87">
        <f ca="1"/>
        <v>1530.94</v>
      </c>
      <c r="AQ256" s="87">
        <f ca="1"/>
        <v>1530.86</v>
      </c>
      <c r="AR256" s="88">
        <f ca="1"/>
        <v>37942</v>
      </c>
      <c r="AS256" s="87">
        <f ca="1"/>
        <v>416</v>
      </c>
      <c r="AT256" s="87">
        <f ca="1"/>
        <v>407.98</v>
      </c>
    </row>
    <row r="257" spans="13:46" x14ac:dyDescent="0.25">
      <c r="M257" s="42">
        <v>253</v>
      </c>
      <c r="N257" s="3" t="s">
        <v>313</v>
      </c>
      <c r="O257" s="49">
        <f t="shared" si="24"/>
        <v>37942</v>
      </c>
      <c r="P257" s="42">
        <v>1530.94</v>
      </c>
      <c r="Q257" s="42">
        <v>416</v>
      </c>
      <c r="R257" s="42">
        <v>1530.86</v>
      </c>
      <c r="S257" s="42">
        <v>407.98</v>
      </c>
      <c r="T257" s="42"/>
      <c r="U257" s="42"/>
      <c r="V257" s="3"/>
      <c r="W257" s="3"/>
      <c r="X257" s="3"/>
      <c r="Y257" s="3"/>
      <c r="Z257" s="3"/>
      <c r="AA257" s="3"/>
      <c r="AB257" s="3"/>
      <c r="AE257" s="42">
        <f t="shared" si="25"/>
        <v>170693</v>
      </c>
      <c r="AF257" s="42">
        <f t="shared" si="26"/>
        <v>168275.61</v>
      </c>
      <c r="AG257" s="42" t="str">
        <f t="shared" si="27"/>
        <v/>
      </c>
      <c r="AH257" s="42" t="str">
        <f t="shared" si="28"/>
        <v/>
      </c>
      <c r="AI257" s="42" t="str">
        <f t="shared" si="29"/>
        <v/>
      </c>
      <c r="AJ257" s="42" t="str">
        <f t="shared" si="30"/>
        <v/>
      </c>
      <c r="AK257" s="42" t="str">
        <f t="shared" si="31"/>
        <v/>
      </c>
      <c r="AO257" s="86">
        <f ca="1"/>
        <v>37942.041666666664</v>
      </c>
      <c r="AP257" s="87">
        <f ca="1"/>
        <v>1530.94</v>
      </c>
      <c r="AQ257" s="87">
        <f ca="1"/>
        <v>1530.85</v>
      </c>
      <c r="AR257" s="88">
        <f ca="1"/>
        <v>37942.041666666664</v>
      </c>
      <c r="AS257" s="87">
        <f ca="1"/>
        <v>416</v>
      </c>
      <c r="AT257" s="87">
        <f ca="1"/>
        <v>404.76</v>
      </c>
    </row>
    <row r="258" spans="13:46" x14ac:dyDescent="0.25">
      <c r="M258" s="42">
        <v>254</v>
      </c>
      <c r="N258" s="3" t="s">
        <v>314</v>
      </c>
      <c r="O258" s="49">
        <f t="shared" si="24"/>
        <v>37942.041666666664</v>
      </c>
      <c r="P258" s="42">
        <v>1530.94</v>
      </c>
      <c r="Q258" s="42">
        <v>416</v>
      </c>
      <c r="R258" s="42">
        <v>1530.85</v>
      </c>
      <c r="S258" s="42">
        <v>404.76</v>
      </c>
      <c r="T258" s="42"/>
      <c r="U258" s="42"/>
      <c r="V258" s="3"/>
      <c r="W258" s="3"/>
      <c r="X258" s="3"/>
      <c r="Y258" s="3"/>
      <c r="Z258" s="3"/>
      <c r="AA258" s="3"/>
      <c r="AB258" s="3"/>
      <c r="AE258" s="42">
        <f t="shared" si="25"/>
        <v>171109</v>
      </c>
      <c r="AF258" s="42">
        <f t="shared" si="26"/>
        <v>168680.37</v>
      </c>
      <c r="AG258" s="42" t="str">
        <f t="shared" si="27"/>
        <v/>
      </c>
      <c r="AH258" s="42" t="str">
        <f t="shared" si="28"/>
        <v/>
      </c>
      <c r="AI258" s="42" t="str">
        <f t="shared" si="29"/>
        <v/>
      </c>
      <c r="AJ258" s="42" t="str">
        <f t="shared" si="30"/>
        <v/>
      </c>
      <c r="AK258" s="42" t="str">
        <f t="shared" si="31"/>
        <v/>
      </c>
      <c r="AO258" s="86">
        <f ca="1"/>
        <v>37942.083333333336</v>
      </c>
      <c r="AP258" s="87">
        <f ca="1"/>
        <v>1530.94</v>
      </c>
      <c r="AQ258" s="87">
        <f ca="1"/>
        <v>1530.84</v>
      </c>
      <c r="AR258" s="88">
        <f ca="1"/>
        <v>37942.083333333336</v>
      </c>
      <c r="AS258" s="87">
        <f ca="1"/>
        <v>416</v>
      </c>
      <c r="AT258" s="87">
        <f ca="1"/>
        <v>400.45</v>
      </c>
    </row>
    <row r="259" spans="13:46" x14ac:dyDescent="0.25">
      <c r="M259" s="42">
        <v>255</v>
      </c>
      <c r="N259" s="3" t="s">
        <v>315</v>
      </c>
      <c r="O259" s="49">
        <f t="shared" si="24"/>
        <v>37942.083333333336</v>
      </c>
      <c r="P259" s="42">
        <v>1530.94</v>
      </c>
      <c r="Q259" s="42">
        <v>416</v>
      </c>
      <c r="R259" s="42">
        <v>1530.84</v>
      </c>
      <c r="S259" s="42">
        <v>400.45</v>
      </c>
      <c r="T259" s="42"/>
      <c r="U259" s="42"/>
      <c r="V259" s="3"/>
      <c r="W259" s="3"/>
      <c r="X259" s="3"/>
      <c r="Y259" s="3"/>
      <c r="Z259" s="3"/>
      <c r="AA259" s="3"/>
      <c r="AB259" s="3"/>
      <c r="AE259" s="42">
        <f t="shared" si="25"/>
        <v>171525</v>
      </c>
      <c r="AF259" s="42">
        <f t="shared" si="26"/>
        <v>169080.82</v>
      </c>
      <c r="AG259" s="42" t="str">
        <f t="shared" si="27"/>
        <v/>
      </c>
      <c r="AH259" s="42" t="str">
        <f t="shared" si="28"/>
        <v/>
      </c>
      <c r="AI259" s="42" t="str">
        <f t="shared" si="29"/>
        <v/>
      </c>
      <c r="AJ259" s="42" t="str">
        <f t="shared" si="30"/>
        <v/>
      </c>
      <c r="AK259" s="42" t="str">
        <f t="shared" si="31"/>
        <v/>
      </c>
      <c r="AO259" s="86">
        <f ca="1"/>
        <v>37942.125</v>
      </c>
      <c r="AP259" s="87">
        <f ca="1"/>
        <v>1530.94</v>
      </c>
      <c r="AQ259" s="87">
        <f ca="1"/>
        <v>1530.84</v>
      </c>
      <c r="AR259" s="88">
        <f ca="1"/>
        <v>37942.125</v>
      </c>
      <c r="AS259" s="87">
        <f ca="1"/>
        <v>416</v>
      </c>
      <c r="AT259" s="87">
        <f ca="1"/>
        <v>398.26</v>
      </c>
    </row>
    <row r="260" spans="13:46" x14ac:dyDescent="0.25">
      <c r="M260" s="42">
        <v>256</v>
      </c>
      <c r="N260" s="3" t="s">
        <v>316</v>
      </c>
      <c r="O260" s="49">
        <f t="shared" si="24"/>
        <v>37942.125</v>
      </c>
      <c r="P260" s="42">
        <v>1530.94</v>
      </c>
      <c r="Q260" s="42">
        <v>416</v>
      </c>
      <c r="R260" s="42">
        <v>1530.84</v>
      </c>
      <c r="S260" s="42">
        <v>398.26</v>
      </c>
      <c r="T260" s="42"/>
      <c r="U260" s="42"/>
      <c r="V260" s="3"/>
      <c r="W260" s="3"/>
      <c r="X260" s="3"/>
      <c r="Y260" s="3"/>
      <c r="Z260" s="3"/>
      <c r="AA260" s="3"/>
      <c r="AB260" s="3"/>
      <c r="AE260" s="42">
        <f t="shared" si="25"/>
        <v>171941</v>
      </c>
      <c r="AF260" s="42">
        <f t="shared" si="26"/>
        <v>169479.08000000002</v>
      </c>
      <c r="AG260" s="42" t="str">
        <f t="shared" si="27"/>
        <v/>
      </c>
      <c r="AH260" s="42" t="str">
        <f t="shared" si="28"/>
        <v/>
      </c>
      <c r="AI260" s="42" t="str">
        <f t="shared" si="29"/>
        <v/>
      </c>
      <c r="AJ260" s="42" t="str">
        <f t="shared" si="30"/>
        <v/>
      </c>
      <c r="AK260" s="42" t="str">
        <f t="shared" si="31"/>
        <v/>
      </c>
      <c r="AO260" s="86">
        <f ca="1"/>
        <v>37942.166666666664</v>
      </c>
      <c r="AP260" s="87">
        <f ca="1"/>
        <v>1530.94</v>
      </c>
      <c r="AQ260" s="87">
        <f ca="1"/>
        <v>1530.83</v>
      </c>
      <c r="AR260" s="88">
        <f ca="1"/>
        <v>37942.166666666664</v>
      </c>
      <c r="AS260" s="87">
        <f ca="1"/>
        <v>416</v>
      </c>
      <c r="AT260" s="87">
        <f ca="1"/>
        <v>396.21</v>
      </c>
    </row>
    <row r="261" spans="13:46" x14ac:dyDescent="0.25">
      <c r="M261" s="42">
        <v>257</v>
      </c>
      <c r="N261" s="3" t="s">
        <v>317</v>
      </c>
      <c r="O261" s="49">
        <f t="shared" si="24"/>
        <v>37942.166666666664</v>
      </c>
      <c r="P261" s="42">
        <v>1530.94</v>
      </c>
      <c r="Q261" s="42">
        <v>416</v>
      </c>
      <c r="R261" s="42">
        <v>1530.83</v>
      </c>
      <c r="S261" s="42">
        <v>396.21</v>
      </c>
      <c r="T261" s="42"/>
      <c r="U261" s="42"/>
      <c r="V261" s="3"/>
      <c r="W261" s="3"/>
      <c r="X261" s="3"/>
      <c r="Y261" s="3"/>
      <c r="Z261" s="3"/>
      <c r="AA261" s="3"/>
      <c r="AB261" s="3"/>
      <c r="AE261" s="42">
        <f t="shared" si="25"/>
        <v>172357</v>
      </c>
      <c r="AF261" s="42">
        <f t="shared" si="26"/>
        <v>169875.29</v>
      </c>
      <c r="AG261" s="42" t="str">
        <f t="shared" si="27"/>
        <v/>
      </c>
      <c r="AH261" s="42" t="str">
        <f t="shared" si="28"/>
        <v/>
      </c>
      <c r="AI261" s="42" t="str">
        <f t="shared" si="29"/>
        <v/>
      </c>
      <c r="AJ261" s="42" t="str">
        <f t="shared" si="30"/>
        <v/>
      </c>
      <c r="AK261" s="42" t="str">
        <f t="shared" si="31"/>
        <v/>
      </c>
      <c r="AO261" s="86">
        <f ca="1"/>
        <v>37942.208333333336</v>
      </c>
      <c r="AP261" s="87">
        <f ca="1"/>
        <v>1530.94</v>
      </c>
      <c r="AQ261" s="87">
        <f ca="1"/>
        <v>1530.82</v>
      </c>
      <c r="AR261" s="88">
        <f ca="1"/>
        <v>37942.208333333336</v>
      </c>
      <c r="AS261" s="87">
        <f ca="1"/>
        <v>416</v>
      </c>
      <c r="AT261" s="87">
        <f ca="1"/>
        <v>392.34</v>
      </c>
    </row>
    <row r="262" spans="13:46" x14ac:dyDescent="0.25">
      <c r="M262" s="42">
        <v>258</v>
      </c>
      <c r="N262" s="3" t="s">
        <v>318</v>
      </c>
      <c r="O262" s="49">
        <f t="shared" ref="O262:O325" si="32">IF(ISTEXT(N262),IF(MID(N262,11,2)="24",1+DATEVALUE(LEFT(N262,10))+TIMEVALUE(CONCATENATE(MID(N262,11,2),":",MID(N262,13,2))),DATEVALUE(LEFT(N262,10))+TIMEVALUE(CONCATENATE(MID(N262,11,2),":",MID(N262,13,2)))),"")</f>
        <v>37942.208333333336</v>
      </c>
      <c r="P262" s="42">
        <v>1530.94</v>
      </c>
      <c r="Q262" s="42">
        <v>416</v>
      </c>
      <c r="R262" s="42">
        <v>1530.82</v>
      </c>
      <c r="S262" s="42">
        <v>392.34</v>
      </c>
      <c r="T262" s="42"/>
      <c r="U262" s="42"/>
      <c r="V262" s="3"/>
      <c r="W262" s="3"/>
      <c r="X262" s="3"/>
      <c r="Y262" s="3"/>
      <c r="Z262" s="3"/>
      <c r="AA262" s="3"/>
      <c r="AB262" s="3"/>
      <c r="AE262" s="42">
        <f t="shared" si="25"/>
        <v>172773</v>
      </c>
      <c r="AF262" s="42">
        <f t="shared" si="26"/>
        <v>170267.63</v>
      </c>
      <c r="AG262" s="42" t="str">
        <f t="shared" si="27"/>
        <v/>
      </c>
      <c r="AH262" s="42" t="str">
        <f t="shared" si="28"/>
        <v/>
      </c>
      <c r="AI262" s="42" t="str">
        <f t="shared" si="29"/>
        <v/>
      </c>
      <c r="AJ262" s="42" t="str">
        <f t="shared" si="30"/>
        <v/>
      </c>
      <c r="AK262" s="42" t="str">
        <f t="shared" si="31"/>
        <v/>
      </c>
      <c r="AO262" s="86">
        <f ca="1"/>
        <v>37942.25</v>
      </c>
      <c r="AP262" s="87">
        <f ca="1"/>
        <v>1530.94</v>
      </c>
      <c r="AQ262" s="87">
        <f ca="1"/>
        <v>1530.81</v>
      </c>
      <c r="AR262" s="88">
        <f ca="1"/>
        <v>37942.25</v>
      </c>
      <c r="AS262" s="87">
        <f ca="1"/>
        <v>416</v>
      </c>
      <c r="AT262" s="87">
        <f ca="1"/>
        <v>389.09</v>
      </c>
    </row>
    <row r="263" spans="13:46" x14ac:dyDescent="0.25">
      <c r="M263" s="42">
        <v>259</v>
      </c>
      <c r="N263" s="3" t="s">
        <v>319</v>
      </c>
      <c r="O263" s="49">
        <f t="shared" si="32"/>
        <v>37942.25</v>
      </c>
      <c r="P263" s="42">
        <v>1530.94</v>
      </c>
      <c r="Q263" s="42">
        <v>416</v>
      </c>
      <c r="R263" s="42">
        <v>1530.81</v>
      </c>
      <c r="S263" s="42">
        <v>389.09</v>
      </c>
      <c r="T263" s="42"/>
      <c r="U263" s="42"/>
      <c r="V263" s="3"/>
      <c r="W263" s="3"/>
      <c r="X263" s="3"/>
      <c r="Y263" s="3"/>
      <c r="Z263" s="3"/>
      <c r="AA263" s="3"/>
      <c r="AB263" s="3"/>
      <c r="AE263" s="42">
        <f t="shared" ref="AE263:AE326" si="33">IF(ISNUMBER(Q263),AE262+Q263,"")</f>
        <v>173189</v>
      </c>
      <c r="AF263" s="42">
        <f t="shared" ref="AF263:AF326" si="34">IF(ISNUMBER(S263),AF262+S263,"")</f>
        <v>170656.72</v>
      </c>
      <c r="AG263" s="42" t="str">
        <f t="shared" ref="AG263:AG326" si="35">IF(ISNUMBER(U263),AG262+U263,"")</f>
        <v/>
      </c>
      <c r="AH263" s="42" t="str">
        <f t="shared" ref="AH263:AH326" si="36">IF(ISNUMBER(W263),AH262+W263,"")</f>
        <v/>
      </c>
      <c r="AI263" s="42" t="str">
        <f t="shared" ref="AI263:AI326" si="37">IF(ISNUMBER(Y263),AI262+Y263,"")</f>
        <v/>
      </c>
      <c r="AJ263" s="42" t="str">
        <f t="shared" ref="AJ263:AJ326" si="38">IF(ISNUMBER(AA263),AJ262+AA263,"")</f>
        <v/>
      </c>
      <c r="AK263" s="42" t="str">
        <f t="shared" ref="AK263:AK326" si="39">IF(ISNUMBER(AC263),AK262+AC263,"")</f>
        <v/>
      </c>
      <c r="AO263" s="86">
        <f ca="1"/>
        <v>37942.291666666664</v>
      </c>
      <c r="AP263" s="87">
        <f ca="1"/>
        <v>1530.94</v>
      </c>
      <c r="AQ263" s="87">
        <f ca="1"/>
        <v>1530.81</v>
      </c>
      <c r="AR263" s="88">
        <f ca="1"/>
        <v>37942.291666666664</v>
      </c>
      <c r="AS263" s="87">
        <f ca="1"/>
        <v>416</v>
      </c>
      <c r="AT263" s="87">
        <f ca="1"/>
        <v>386.01</v>
      </c>
    </row>
    <row r="264" spans="13:46" x14ac:dyDescent="0.25">
      <c r="M264" s="42">
        <v>260</v>
      </c>
      <c r="N264" s="3" t="s">
        <v>320</v>
      </c>
      <c r="O264" s="49">
        <f t="shared" si="32"/>
        <v>37942.291666666664</v>
      </c>
      <c r="P264" s="42">
        <v>1530.94</v>
      </c>
      <c r="Q264" s="42">
        <v>416</v>
      </c>
      <c r="R264" s="42">
        <v>1530.81</v>
      </c>
      <c r="S264" s="42">
        <v>386.01</v>
      </c>
      <c r="T264" s="42"/>
      <c r="U264" s="42"/>
      <c r="V264" s="3"/>
      <c r="W264" s="3"/>
      <c r="X264" s="3"/>
      <c r="Y264" s="3"/>
      <c r="Z264" s="3"/>
      <c r="AA264" s="3"/>
      <c r="AB264" s="3"/>
      <c r="AE264" s="42">
        <f t="shared" si="33"/>
        <v>173605</v>
      </c>
      <c r="AF264" s="42">
        <f t="shared" si="34"/>
        <v>171042.73</v>
      </c>
      <c r="AG264" s="42" t="str">
        <f t="shared" si="35"/>
        <v/>
      </c>
      <c r="AH264" s="42" t="str">
        <f t="shared" si="36"/>
        <v/>
      </c>
      <c r="AI264" s="42" t="str">
        <f t="shared" si="37"/>
        <v/>
      </c>
      <c r="AJ264" s="42" t="str">
        <f t="shared" si="38"/>
        <v/>
      </c>
      <c r="AK264" s="42" t="str">
        <f t="shared" si="39"/>
        <v/>
      </c>
      <c r="AO264" s="86">
        <f ca="1"/>
        <v>37942.333333333336</v>
      </c>
      <c r="AP264" s="87">
        <f ca="1"/>
        <v>1530.93</v>
      </c>
      <c r="AQ264" s="87">
        <f ca="1"/>
        <v>1530.8</v>
      </c>
      <c r="AR264" s="88">
        <f ca="1"/>
        <v>37942.333333333336</v>
      </c>
      <c r="AS264" s="87">
        <f ca="1"/>
        <v>413</v>
      </c>
      <c r="AT264" s="87">
        <f ca="1"/>
        <v>383</v>
      </c>
    </row>
    <row r="265" spans="13:46" x14ac:dyDescent="0.25">
      <c r="M265" s="42">
        <v>261</v>
      </c>
      <c r="N265" s="3" t="s">
        <v>321</v>
      </c>
      <c r="O265" s="49">
        <f t="shared" si="32"/>
        <v>37942.333333333336</v>
      </c>
      <c r="P265" s="42">
        <v>1530.93</v>
      </c>
      <c r="Q265" s="42">
        <v>413</v>
      </c>
      <c r="R265" s="42">
        <v>1530.8</v>
      </c>
      <c r="S265" s="42">
        <v>383</v>
      </c>
      <c r="T265" s="42"/>
      <c r="U265" s="42"/>
      <c r="V265" s="3"/>
      <c r="W265" s="3"/>
      <c r="X265" s="3"/>
      <c r="Y265" s="3"/>
      <c r="Z265" s="3"/>
      <c r="AA265" s="3"/>
      <c r="AB265" s="3"/>
      <c r="AE265" s="42">
        <f t="shared" si="33"/>
        <v>174018</v>
      </c>
      <c r="AF265" s="42">
        <f t="shared" si="34"/>
        <v>171425.73</v>
      </c>
      <c r="AG265" s="42" t="str">
        <f t="shared" si="35"/>
        <v/>
      </c>
      <c r="AH265" s="42" t="str">
        <f t="shared" si="36"/>
        <v/>
      </c>
      <c r="AI265" s="42" t="str">
        <f t="shared" si="37"/>
        <v/>
      </c>
      <c r="AJ265" s="42" t="str">
        <f t="shared" si="38"/>
        <v/>
      </c>
      <c r="AK265" s="42" t="str">
        <f t="shared" si="39"/>
        <v/>
      </c>
      <c r="AO265" s="86">
        <f ca="1"/>
        <v>37942.375</v>
      </c>
      <c r="AP265" s="87">
        <f ca="1"/>
        <v>1530.92</v>
      </c>
      <c r="AQ265" s="87">
        <f ca="1"/>
        <v>1530.79</v>
      </c>
      <c r="AR265" s="88">
        <f ca="1"/>
        <v>37942.375</v>
      </c>
      <c r="AS265" s="87">
        <f ca="1"/>
        <v>409</v>
      </c>
      <c r="AT265" s="87">
        <f ca="1"/>
        <v>380.55</v>
      </c>
    </row>
    <row r="266" spans="13:46" x14ac:dyDescent="0.25">
      <c r="M266" s="42">
        <v>262</v>
      </c>
      <c r="N266" s="3" t="s">
        <v>322</v>
      </c>
      <c r="O266" s="49">
        <f t="shared" si="32"/>
        <v>37942.375</v>
      </c>
      <c r="P266" s="42">
        <v>1530.92</v>
      </c>
      <c r="Q266" s="42">
        <v>409</v>
      </c>
      <c r="R266" s="42">
        <v>1530.79</v>
      </c>
      <c r="S266" s="42">
        <v>380.55</v>
      </c>
      <c r="T266" s="42"/>
      <c r="U266" s="42"/>
      <c r="V266" s="3"/>
      <c r="W266" s="3"/>
      <c r="X266" s="3"/>
      <c r="Y266" s="3"/>
      <c r="Z266" s="3"/>
      <c r="AA266" s="3"/>
      <c r="AB266" s="3"/>
      <c r="AE266" s="42">
        <f t="shared" si="33"/>
        <v>174427</v>
      </c>
      <c r="AF266" s="42">
        <f t="shared" si="34"/>
        <v>171806.28</v>
      </c>
      <c r="AG266" s="42" t="str">
        <f t="shared" si="35"/>
        <v/>
      </c>
      <c r="AH266" s="42" t="str">
        <f t="shared" si="36"/>
        <v/>
      </c>
      <c r="AI266" s="42" t="str">
        <f t="shared" si="37"/>
        <v/>
      </c>
      <c r="AJ266" s="42" t="str">
        <f t="shared" si="38"/>
        <v/>
      </c>
      <c r="AK266" s="42" t="str">
        <f t="shared" si="39"/>
        <v/>
      </c>
      <c r="AO266" s="86">
        <f ca="1"/>
        <v>37942.416666666664</v>
      </c>
      <c r="AP266" s="87">
        <f ca="1"/>
        <v>1530.91</v>
      </c>
      <c r="AQ266" s="87">
        <f ca="1"/>
        <v>1530.79</v>
      </c>
      <c r="AR266" s="88">
        <f ca="1"/>
        <v>37942.416666666664</v>
      </c>
      <c r="AS266" s="87">
        <f ca="1"/>
        <v>406</v>
      </c>
      <c r="AT266" s="87">
        <f ca="1"/>
        <v>378.71</v>
      </c>
    </row>
    <row r="267" spans="13:46" x14ac:dyDescent="0.25">
      <c r="M267" s="42">
        <v>263</v>
      </c>
      <c r="N267" s="3" t="s">
        <v>323</v>
      </c>
      <c r="O267" s="49">
        <f t="shared" si="32"/>
        <v>37942.416666666664</v>
      </c>
      <c r="P267" s="42">
        <v>1530.91</v>
      </c>
      <c r="Q267" s="42">
        <v>406</v>
      </c>
      <c r="R267" s="42">
        <v>1530.79</v>
      </c>
      <c r="S267" s="42">
        <v>378.71</v>
      </c>
      <c r="T267" s="42"/>
      <c r="U267" s="42"/>
      <c r="V267" s="3"/>
      <c r="W267" s="3"/>
      <c r="X267" s="3"/>
      <c r="Y267" s="3"/>
      <c r="Z267" s="3"/>
      <c r="AA267" s="3"/>
      <c r="AB267" s="3"/>
      <c r="AE267" s="42">
        <f t="shared" si="33"/>
        <v>174833</v>
      </c>
      <c r="AF267" s="42">
        <f t="shared" si="34"/>
        <v>172184.99</v>
      </c>
      <c r="AG267" s="42" t="str">
        <f t="shared" si="35"/>
        <v/>
      </c>
      <c r="AH267" s="42" t="str">
        <f t="shared" si="36"/>
        <v/>
      </c>
      <c r="AI267" s="42" t="str">
        <f t="shared" si="37"/>
        <v/>
      </c>
      <c r="AJ267" s="42" t="str">
        <f t="shared" si="38"/>
        <v/>
      </c>
      <c r="AK267" s="42" t="str">
        <f t="shared" si="39"/>
        <v/>
      </c>
      <c r="AO267" s="86">
        <f ca="1"/>
        <v>37942.458333333336</v>
      </c>
      <c r="AP267" s="87">
        <f ca="1"/>
        <v>1530.91</v>
      </c>
      <c r="AQ267" s="87">
        <f ca="1"/>
        <v>1530.78</v>
      </c>
      <c r="AR267" s="88">
        <f ca="1"/>
        <v>37942.458333333336</v>
      </c>
      <c r="AS267" s="87">
        <f ca="1"/>
        <v>406</v>
      </c>
      <c r="AT267" s="87">
        <f ca="1"/>
        <v>376.29</v>
      </c>
    </row>
    <row r="268" spans="13:46" x14ac:dyDescent="0.25">
      <c r="M268" s="42">
        <v>264</v>
      </c>
      <c r="N268" s="3" t="s">
        <v>324</v>
      </c>
      <c r="O268" s="49">
        <f t="shared" si="32"/>
        <v>37942.458333333336</v>
      </c>
      <c r="P268" s="42">
        <v>1530.91</v>
      </c>
      <c r="Q268" s="42">
        <v>406</v>
      </c>
      <c r="R268" s="42">
        <v>1530.78</v>
      </c>
      <c r="S268" s="42">
        <v>376.29</v>
      </c>
      <c r="T268" s="42"/>
      <c r="U268" s="42"/>
      <c r="V268" s="3"/>
      <c r="W268" s="3"/>
      <c r="X268" s="3"/>
      <c r="Y268" s="3"/>
      <c r="Z268" s="3"/>
      <c r="AA268" s="3"/>
      <c r="AB268" s="3"/>
      <c r="AE268" s="42">
        <f t="shared" si="33"/>
        <v>175239</v>
      </c>
      <c r="AF268" s="42">
        <f t="shared" si="34"/>
        <v>172561.28</v>
      </c>
      <c r="AG268" s="42" t="str">
        <f t="shared" si="35"/>
        <v/>
      </c>
      <c r="AH268" s="42" t="str">
        <f t="shared" si="36"/>
        <v/>
      </c>
      <c r="AI268" s="42" t="str">
        <f t="shared" si="37"/>
        <v/>
      </c>
      <c r="AJ268" s="42" t="str">
        <f t="shared" si="38"/>
        <v/>
      </c>
      <c r="AK268" s="42" t="str">
        <f t="shared" si="39"/>
        <v/>
      </c>
      <c r="AO268" s="86">
        <f ca="1"/>
        <v>37942.5</v>
      </c>
      <c r="AP268" s="87">
        <f ca="1"/>
        <v>1530.9</v>
      </c>
      <c r="AQ268" s="87">
        <f ca="1"/>
        <v>1530.77</v>
      </c>
      <c r="AR268" s="88">
        <f ca="1"/>
        <v>37942.5</v>
      </c>
      <c r="AS268" s="87">
        <f ca="1"/>
        <v>403</v>
      </c>
      <c r="AT268" s="87">
        <f ca="1"/>
        <v>372.77</v>
      </c>
    </row>
    <row r="269" spans="13:46" x14ac:dyDescent="0.25">
      <c r="M269" s="42">
        <v>265</v>
      </c>
      <c r="N269" s="3" t="s">
        <v>325</v>
      </c>
      <c r="O269" s="49">
        <f t="shared" si="32"/>
        <v>37942.5</v>
      </c>
      <c r="P269" s="42">
        <v>1530.9</v>
      </c>
      <c r="Q269" s="42">
        <v>403</v>
      </c>
      <c r="R269" s="42">
        <v>1530.77</v>
      </c>
      <c r="S269" s="42">
        <v>372.77</v>
      </c>
      <c r="T269" s="42"/>
      <c r="U269" s="42"/>
      <c r="V269" s="3"/>
      <c r="W269" s="3"/>
      <c r="X269" s="3"/>
      <c r="Y269" s="3"/>
      <c r="Z269" s="3"/>
      <c r="AA269" s="3"/>
      <c r="AB269" s="3"/>
      <c r="AE269" s="42">
        <f t="shared" si="33"/>
        <v>175642</v>
      </c>
      <c r="AF269" s="42">
        <f t="shared" si="34"/>
        <v>172934.05</v>
      </c>
      <c r="AG269" s="42" t="str">
        <f t="shared" si="35"/>
        <v/>
      </c>
      <c r="AH269" s="42" t="str">
        <f t="shared" si="36"/>
        <v/>
      </c>
      <c r="AI269" s="42" t="str">
        <f t="shared" si="37"/>
        <v/>
      </c>
      <c r="AJ269" s="42" t="str">
        <f t="shared" si="38"/>
        <v/>
      </c>
      <c r="AK269" s="42" t="str">
        <f t="shared" si="39"/>
        <v/>
      </c>
      <c r="AO269" s="86">
        <f ca="1"/>
        <v>37942.541666666664</v>
      </c>
      <c r="AP269" s="87">
        <f ca="1"/>
        <v>1530.89</v>
      </c>
      <c r="AQ269" s="87">
        <f ca="1"/>
        <v>1530.76</v>
      </c>
      <c r="AR269" s="88">
        <f ca="1"/>
        <v>37942.541666666664</v>
      </c>
      <c r="AS269" s="87">
        <f ca="1"/>
        <v>400</v>
      </c>
      <c r="AT269" s="87">
        <f ca="1"/>
        <v>369.03</v>
      </c>
    </row>
    <row r="270" spans="13:46" x14ac:dyDescent="0.25">
      <c r="M270" s="42">
        <v>266</v>
      </c>
      <c r="N270" s="3" t="s">
        <v>326</v>
      </c>
      <c r="O270" s="49">
        <f t="shared" si="32"/>
        <v>37942.541666666664</v>
      </c>
      <c r="P270" s="42">
        <v>1530.89</v>
      </c>
      <c r="Q270" s="42">
        <v>400</v>
      </c>
      <c r="R270" s="42">
        <v>1530.76</v>
      </c>
      <c r="S270" s="42">
        <v>369.03</v>
      </c>
      <c r="T270" s="42"/>
      <c r="U270" s="42"/>
      <c r="V270" s="3"/>
      <c r="W270" s="3"/>
      <c r="X270" s="3"/>
      <c r="Y270" s="3"/>
      <c r="Z270" s="3"/>
      <c r="AA270" s="3"/>
      <c r="AB270" s="3"/>
      <c r="AE270" s="42">
        <f t="shared" si="33"/>
        <v>176042</v>
      </c>
      <c r="AF270" s="42">
        <f t="shared" si="34"/>
        <v>173303.08</v>
      </c>
      <c r="AG270" s="42" t="str">
        <f t="shared" si="35"/>
        <v/>
      </c>
      <c r="AH270" s="42" t="str">
        <f t="shared" si="36"/>
        <v/>
      </c>
      <c r="AI270" s="42" t="str">
        <f t="shared" si="37"/>
        <v/>
      </c>
      <c r="AJ270" s="42" t="str">
        <f t="shared" si="38"/>
        <v/>
      </c>
      <c r="AK270" s="42" t="str">
        <f t="shared" si="39"/>
        <v/>
      </c>
      <c r="AO270" s="86">
        <f ca="1"/>
        <v>37942.583333333336</v>
      </c>
      <c r="AP270" s="87">
        <f ca="1"/>
        <v>1530.89</v>
      </c>
      <c r="AQ270" s="87">
        <f ca="1"/>
        <v>1530.75</v>
      </c>
      <c r="AR270" s="88">
        <f ca="1"/>
        <v>37942.583333333336</v>
      </c>
      <c r="AS270" s="87">
        <f ca="1"/>
        <v>400</v>
      </c>
      <c r="AT270" s="87">
        <f ca="1"/>
        <v>365.16</v>
      </c>
    </row>
    <row r="271" spans="13:46" x14ac:dyDescent="0.25">
      <c r="M271" s="42">
        <v>267</v>
      </c>
      <c r="N271" s="3" t="s">
        <v>327</v>
      </c>
      <c r="O271" s="49">
        <f t="shared" si="32"/>
        <v>37942.583333333336</v>
      </c>
      <c r="P271" s="42">
        <v>1530.89</v>
      </c>
      <c r="Q271" s="42">
        <v>400</v>
      </c>
      <c r="R271" s="42">
        <v>1530.75</v>
      </c>
      <c r="S271" s="42">
        <v>365.16</v>
      </c>
      <c r="T271" s="42"/>
      <c r="U271" s="42"/>
      <c r="V271" s="3"/>
      <c r="W271" s="3"/>
      <c r="X271" s="3"/>
      <c r="Y271" s="3"/>
      <c r="Z271" s="3"/>
      <c r="AA271" s="3"/>
      <c r="AB271" s="3"/>
      <c r="AE271" s="42">
        <f t="shared" si="33"/>
        <v>176442</v>
      </c>
      <c r="AF271" s="42">
        <f t="shared" si="34"/>
        <v>173668.24</v>
      </c>
      <c r="AG271" s="42" t="str">
        <f t="shared" si="35"/>
        <v/>
      </c>
      <c r="AH271" s="42" t="str">
        <f t="shared" si="36"/>
        <v/>
      </c>
      <c r="AI271" s="42" t="str">
        <f t="shared" si="37"/>
        <v/>
      </c>
      <c r="AJ271" s="42" t="str">
        <f t="shared" si="38"/>
        <v/>
      </c>
      <c r="AK271" s="42" t="str">
        <f t="shared" si="39"/>
        <v/>
      </c>
      <c r="AO271" s="86">
        <f ca="1"/>
        <v>37942.625</v>
      </c>
      <c r="AP271" s="87">
        <f ca="1"/>
        <v>1530.88</v>
      </c>
      <c r="AQ271" s="87">
        <f ca="1"/>
        <v>1530.75</v>
      </c>
      <c r="AR271" s="88">
        <f ca="1"/>
        <v>37942.625</v>
      </c>
      <c r="AS271" s="87">
        <f ca="1"/>
        <v>397</v>
      </c>
      <c r="AT271" s="87">
        <f ca="1"/>
        <v>362.22</v>
      </c>
    </row>
    <row r="272" spans="13:46" x14ac:dyDescent="0.25">
      <c r="M272" s="42">
        <v>268</v>
      </c>
      <c r="N272" s="3" t="s">
        <v>328</v>
      </c>
      <c r="O272" s="49">
        <f t="shared" si="32"/>
        <v>37942.625</v>
      </c>
      <c r="P272" s="42">
        <v>1530.88</v>
      </c>
      <c r="Q272" s="42">
        <v>397</v>
      </c>
      <c r="R272" s="42">
        <v>1530.75</v>
      </c>
      <c r="S272" s="42">
        <v>362.22</v>
      </c>
      <c r="T272" s="42"/>
      <c r="U272" s="42"/>
      <c r="V272" s="3"/>
      <c r="W272" s="3"/>
      <c r="X272" s="3"/>
      <c r="Y272" s="3"/>
      <c r="Z272" s="3"/>
      <c r="AA272" s="3"/>
      <c r="AB272" s="3"/>
      <c r="AE272" s="42">
        <f t="shared" si="33"/>
        <v>176839</v>
      </c>
      <c r="AF272" s="42">
        <f t="shared" si="34"/>
        <v>174030.46</v>
      </c>
      <c r="AG272" s="42" t="str">
        <f t="shared" si="35"/>
        <v/>
      </c>
      <c r="AH272" s="42" t="str">
        <f t="shared" si="36"/>
        <v/>
      </c>
      <c r="AI272" s="42" t="str">
        <f t="shared" si="37"/>
        <v/>
      </c>
      <c r="AJ272" s="42" t="str">
        <f t="shared" si="38"/>
        <v/>
      </c>
      <c r="AK272" s="42" t="str">
        <f t="shared" si="39"/>
        <v/>
      </c>
      <c r="AO272" s="86">
        <f ca="1"/>
        <v>37942.666666666664</v>
      </c>
      <c r="AP272" s="87">
        <f ca="1"/>
        <v>1530.87</v>
      </c>
      <c r="AQ272" s="87">
        <f ca="1"/>
        <v>1530.74</v>
      </c>
      <c r="AR272" s="88">
        <f ca="1"/>
        <v>37942.666666666664</v>
      </c>
      <c r="AS272" s="87">
        <f ca="1"/>
        <v>394</v>
      </c>
      <c r="AT272" s="87">
        <f ca="1"/>
        <v>358.55</v>
      </c>
    </row>
    <row r="273" spans="13:46" x14ac:dyDescent="0.25">
      <c r="M273" s="42">
        <v>269</v>
      </c>
      <c r="N273" s="3" t="s">
        <v>329</v>
      </c>
      <c r="O273" s="49">
        <f t="shared" si="32"/>
        <v>37942.666666666664</v>
      </c>
      <c r="P273" s="42">
        <v>1530.87</v>
      </c>
      <c r="Q273" s="42">
        <v>394</v>
      </c>
      <c r="R273" s="42">
        <v>1530.74</v>
      </c>
      <c r="S273" s="42">
        <v>358.55</v>
      </c>
      <c r="T273" s="42"/>
      <c r="U273" s="42"/>
      <c r="V273" s="3"/>
      <c r="W273" s="3"/>
      <c r="X273" s="3"/>
      <c r="Y273" s="3"/>
      <c r="Z273" s="3"/>
      <c r="AA273" s="3"/>
      <c r="AB273" s="3"/>
      <c r="AE273" s="42">
        <f t="shared" si="33"/>
        <v>177233</v>
      </c>
      <c r="AF273" s="42">
        <f t="shared" si="34"/>
        <v>174389.00999999998</v>
      </c>
      <c r="AG273" s="42" t="str">
        <f t="shared" si="35"/>
        <v/>
      </c>
      <c r="AH273" s="42" t="str">
        <f t="shared" si="36"/>
        <v/>
      </c>
      <c r="AI273" s="42" t="str">
        <f t="shared" si="37"/>
        <v/>
      </c>
      <c r="AJ273" s="42" t="str">
        <f t="shared" si="38"/>
        <v/>
      </c>
      <c r="AK273" s="42" t="str">
        <f t="shared" si="39"/>
        <v/>
      </c>
      <c r="AO273" s="86">
        <f ca="1"/>
        <v>37942.708333333336</v>
      </c>
      <c r="AP273" s="87">
        <f ca="1"/>
        <v>1530.86</v>
      </c>
      <c r="AQ273" s="87">
        <f ca="1"/>
        <v>1530.73</v>
      </c>
      <c r="AR273" s="88">
        <f ca="1"/>
        <v>37942.708333333336</v>
      </c>
      <c r="AS273" s="87">
        <f ca="1"/>
        <v>391</v>
      </c>
      <c r="AT273" s="87">
        <f ca="1"/>
        <v>356.63</v>
      </c>
    </row>
    <row r="274" spans="13:46" x14ac:dyDescent="0.25">
      <c r="M274" s="42">
        <v>270</v>
      </c>
      <c r="N274" s="3" t="s">
        <v>330</v>
      </c>
      <c r="O274" s="49">
        <f t="shared" si="32"/>
        <v>37942.708333333336</v>
      </c>
      <c r="P274" s="42">
        <v>1530.86</v>
      </c>
      <c r="Q274" s="42">
        <v>391</v>
      </c>
      <c r="R274" s="42">
        <v>1530.73</v>
      </c>
      <c r="S274" s="42">
        <v>356.63</v>
      </c>
      <c r="T274" s="42"/>
      <c r="U274" s="42"/>
      <c r="V274" s="3"/>
      <c r="W274" s="3"/>
      <c r="X274" s="3"/>
      <c r="Y274" s="3"/>
      <c r="Z274" s="3"/>
      <c r="AA274" s="3"/>
      <c r="AB274" s="3"/>
      <c r="AE274" s="42">
        <f t="shared" si="33"/>
        <v>177624</v>
      </c>
      <c r="AF274" s="42">
        <f t="shared" si="34"/>
        <v>174745.63999999998</v>
      </c>
      <c r="AG274" s="42" t="str">
        <f t="shared" si="35"/>
        <v/>
      </c>
      <c r="AH274" s="42" t="str">
        <f t="shared" si="36"/>
        <v/>
      </c>
      <c r="AI274" s="42" t="str">
        <f t="shared" si="37"/>
        <v/>
      </c>
      <c r="AJ274" s="42" t="str">
        <f t="shared" si="38"/>
        <v/>
      </c>
      <c r="AK274" s="42" t="str">
        <f t="shared" si="39"/>
        <v/>
      </c>
      <c r="AO274" s="86">
        <f ca="1"/>
        <v>37942.75</v>
      </c>
      <c r="AP274" s="87">
        <f ca="1"/>
        <v>1530.85</v>
      </c>
      <c r="AQ274" s="87">
        <f ca="1"/>
        <v>1530.73</v>
      </c>
      <c r="AR274" s="88">
        <f ca="1"/>
        <v>37942.75</v>
      </c>
      <c r="AS274" s="87">
        <f ca="1"/>
        <v>391</v>
      </c>
      <c r="AT274" s="87">
        <f ca="1"/>
        <v>353.75</v>
      </c>
    </row>
    <row r="275" spans="13:46" x14ac:dyDescent="0.25">
      <c r="M275" s="42">
        <v>271</v>
      </c>
      <c r="N275" s="3" t="s">
        <v>331</v>
      </c>
      <c r="O275" s="49">
        <f t="shared" si="32"/>
        <v>37942.75</v>
      </c>
      <c r="P275" s="42">
        <v>1530.85</v>
      </c>
      <c r="Q275" s="42">
        <v>391</v>
      </c>
      <c r="R275" s="42">
        <v>1530.73</v>
      </c>
      <c r="S275" s="42">
        <v>353.75</v>
      </c>
      <c r="T275" s="42"/>
      <c r="U275" s="42"/>
      <c r="V275" s="3"/>
      <c r="W275" s="3"/>
      <c r="X275" s="3"/>
      <c r="Y275" s="3"/>
      <c r="Z275" s="3"/>
      <c r="AA275" s="3"/>
      <c r="AB275" s="3"/>
      <c r="AE275" s="42">
        <f t="shared" si="33"/>
        <v>178015</v>
      </c>
      <c r="AF275" s="42">
        <f t="shared" si="34"/>
        <v>175099.38999999998</v>
      </c>
      <c r="AG275" s="42" t="str">
        <f t="shared" si="35"/>
        <v/>
      </c>
      <c r="AH275" s="42" t="str">
        <f t="shared" si="36"/>
        <v/>
      </c>
      <c r="AI275" s="42" t="str">
        <f t="shared" si="37"/>
        <v/>
      </c>
      <c r="AJ275" s="42" t="str">
        <f t="shared" si="38"/>
        <v/>
      </c>
      <c r="AK275" s="42" t="str">
        <f t="shared" si="39"/>
        <v/>
      </c>
      <c r="AO275" s="86">
        <f ca="1"/>
        <v>37942.791666666664</v>
      </c>
      <c r="AP275" s="87">
        <f ca="1"/>
        <v>1530.85</v>
      </c>
      <c r="AQ275" s="87">
        <f ca="1"/>
        <v>1530.72</v>
      </c>
      <c r="AR275" s="88">
        <f ca="1"/>
        <v>37942.791666666664</v>
      </c>
      <c r="AS275" s="87">
        <f ca="1"/>
        <v>388</v>
      </c>
      <c r="AT275" s="87">
        <f ca="1"/>
        <v>350.96</v>
      </c>
    </row>
    <row r="276" spans="13:46" x14ac:dyDescent="0.25">
      <c r="M276" s="42">
        <v>272</v>
      </c>
      <c r="N276" s="3" t="s">
        <v>332</v>
      </c>
      <c r="O276" s="49">
        <f t="shared" si="32"/>
        <v>37942.791666666664</v>
      </c>
      <c r="P276" s="42">
        <v>1530.85</v>
      </c>
      <c r="Q276" s="42">
        <v>388</v>
      </c>
      <c r="R276" s="42">
        <v>1530.72</v>
      </c>
      <c r="S276" s="42">
        <v>350.96</v>
      </c>
      <c r="T276" s="42"/>
      <c r="U276" s="42"/>
      <c r="V276" s="3"/>
      <c r="W276" s="3"/>
      <c r="X276" s="3"/>
      <c r="Y276" s="3"/>
      <c r="Z276" s="3"/>
      <c r="AA276" s="3"/>
      <c r="AB276" s="3"/>
      <c r="AE276" s="42">
        <f t="shared" si="33"/>
        <v>178403</v>
      </c>
      <c r="AF276" s="42">
        <f t="shared" si="34"/>
        <v>175450.34999999998</v>
      </c>
      <c r="AG276" s="42" t="str">
        <f t="shared" si="35"/>
        <v/>
      </c>
      <c r="AH276" s="42" t="str">
        <f t="shared" si="36"/>
        <v/>
      </c>
      <c r="AI276" s="42" t="str">
        <f t="shared" si="37"/>
        <v/>
      </c>
      <c r="AJ276" s="42" t="str">
        <f t="shared" si="38"/>
        <v/>
      </c>
      <c r="AK276" s="42" t="str">
        <f t="shared" si="39"/>
        <v/>
      </c>
      <c r="AO276" s="86">
        <f ca="1"/>
        <v>37942.833333333336</v>
      </c>
      <c r="AP276" s="87">
        <f ca="1"/>
        <v>1530.84</v>
      </c>
      <c r="AQ276" s="87">
        <f ca="1"/>
        <v>1530.71</v>
      </c>
      <c r="AR276" s="88">
        <f ca="1"/>
        <v>37942.833333333336</v>
      </c>
      <c r="AS276" s="87">
        <f ca="1"/>
        <v>385</v>
      </c>
      <c r="AT276" s="87">
        <f ca="1"/>
        <v>348.16</v>
      </c>
    </row>
    <row r="277" spans="13:46" x14ac:dyDescent="0.25">
      <c r="M277" s="42">
        <v>273</v>
      </c>
      <c r="N277" s="3" t="s">
        <v>333</v>
      </c>
      <c r="O277" s="49">
        <f t="shared" si="32"/>
        <v>37942.833333333336</v>
      </c>
      <c r="P277" s="42">
        <v>1530.84</v>
      </c>
      <c r="Q277" s="42">
        <v>385</v>
      </c>
      <c r="R277" s="42">
        <v>1530.71</v>
      </c>
      <c r="S277" s="42">
        <v>348.16</v>
      </c>
      <c r="T277" s="42"/>
      <c r="U277" s="42"/>
      <c r="V277" s="3"/>
      <c r="W277" s="3"/>
      <c r="X277" s="3"/>
      <c r="Y277" s="3"/>
      <c r="Z277" s="3"/>
      <c r="AA277" s="3"/>
      <c r="AB277" s="3"/>
      <c r="AE277" s="42">
        <f t="shared" si="33"/>
        <v>178788</v>
      </c>
      <c r="AF277" s="42">
        <f t="shared" si="34"/>
        <v>175798.50999999998</v>
      </c>
      <c r="AG277" s="42" t="str">
        <f t="shared" si="35"/>
        <v/>
      </c>
      <c r="AH277" s="42" t="str">
        <f t="shared" si="36"/>
        <v/>
      </c>
      <c r="AI277" s="42" t="str">
        <f t="shared" si="37"/>
        <v/>
      </c>
      <c r="AJ277" s="42" t="str">
        <f t="shared" si="38"/>
        <v/>
      </c>
      <c r="AK277" s="42" t="str">
        <f t="shared" si="39"/>
        <v/>
      </c>
      <c r="AO277" s="86">
        <f ca="1"/>
        <v>37942.875</v>
      </c>
      <c r="AP277" s="87">
        <f ca="1"/>
        <v>1530.84</v>
      </c>
      <c r="AQ277" s="87">
        <f ca="1"/>
        <v>1530.7</v>
      </c>
      <c r="AR277" s="88">
        <f ca="1"/>
        <v>37942.875</v>
      </c>
      <c r="AS277" s="87">
        <f ca="1"/>
        <v>385</v>
      </c>
      <c r="AT277" s="87">
        <f ca="1"/>
        <v>345.2</v>
      </c>
    </row>
    <row r="278" spans="13:46" x14ac:dyDescent="0.25">
      <c r="M278" s="42">
        <v>274</v>
      </c>
      <c r="N278" s="3" t="s">
        <v>334</v>
      </c>
      <c r="O278" s="49">
        <f t="shared" si="32"/>
        <v>37942.875</v>
      </c>
      <c r="P278" s="42">
        <v>1530.84</v>
      </c>
      <c r="Q278" s="42">
        <v>385</v>
      </c>
      <c r="R278" s="42">
        <v>1530.7</v>
      </c>
      <c r="S278" s="42">
        <v>345.2</v>
      </c>
      <c r="T278" s="42"/>
      <c r="U278" s="42"/>
      <c r="V278" s="3"/>
      <c r="W278" s="3"/>
      <c r="X278" s="3"/>
      <c r="Y278" s="3"/>
      <c r="Z278" s="3"/>
      <c r="AA278" s="3"/>
      <c r="AB278" s="3"/>
      <c r="AE278" s="42">
        <f t="shared" si="33"/>
        <v>179173</v>
      </c>
      <c r="AF278" s="42">
        <f t="shared" si="34"/>
        <v>176143.71</v>
      </c>
      <c r="AG278" s="42" t="str">
        <f t="shared" si="35"/>
        <v/>
      </c>
      <c r="AH278" s="42" t="str">
        <f t="shared" si="36"/>
        <v/>
      </c>
      <c r="AI278" s="42" t="str">
        <f t="shared" si="37"/>
        <v/>
      </c>
      <c r="AJ278" s="42" t="str">
        <f t="shared" si="38"/>
        <v/>
      </c>
      <c r="AK278" s="42" t="str">
        <f t="shared" si="39"/>
        <v/>
      </c>
      <c r="AO278" s="86">
        <f ca="1"/>
        <v>37942.916666666664</v>
      </c>
      <c r="AP278" s="87">
        <f ca="1"/>
        <v>1530.84</v>
      </c>
      <c r="AQ278" s="87">
        <f ca="1"/>
        <v>1530.7</v>
      </c>
      <c r="AR278" s="88">
        <f ca="1"/>
        <v>37942.916666666664</v>
      </c>
      <c r="AS278" s="87">
        <f ca="1"/>
        <v>385</v>
      </c>
      <c r="AT278" s="87">
        <f ca="1"/>
        <v>342.29</v>
      </c>
    </row>
    <row r="279" spans="13:46" x14ac:dyDescent="0.25">
      <c r="M279" s="42">
        <v>275</v>
      </c>
      <c r="N279" s="3" t="s">
        <v>335</v>
      </c>
      <c r="O279" s="49">
        <f t="shared" si="32"/>
        <v>37942.916666666664</v>
      </c>
      <c r="P279" s="42">
        <v>1530.84</v>
      </c>
      <c r="Q279" s="42">
        <v>385</v>
      </c>
      <c r="R279" s="42">
        <v>1530.7</v>
      </c>
      <c r="S279" s="42">
        <v>342.29</v>
      </c>
      <c r="T279" s="42"/>
      <c r="U279" s="42"/>
      <c r="V279" s="3"/>
      <c r="W279" s="3"/>
      <c r="X279" s="3"/>
      <c r="Y279" s="3"/>
      <c r="Z279" s="3"/>
      <c r="AA279" s="3"/>
      <c r="AB279" s="3"/>
      <c r="AE279" s="42">
        <f t="shared" si="33"/>
        <v>179558</v>
      </c>
      <c r="AF279" s="42">
        <f t="shared" si="34"/>
        <v>176486</v>
      </c>
      <c r="AG279" s="42" t="str">
        <f t="shared" si="35"/>
        <v/>
      </c>
      <c r="AH279" s="42" t="str">
        <f t="shared" si="36"/>
        <v/>
      </c>
      <c r="AI279" s="42" t="str">
        <f t="shared" si="37"/>
        <v/>
      </c>
      <c r="AJ279" s="42" t="str">
        <f t="shared" si="38"/>
        <v/>
      </c>
      <c r="AK279" s="42" t="str">
        <f t="shared" si="39"/>
        <v/>
      </c>
      <c r="AO279" s="86">
        <f ca="1"/>
        <v>37942.958333333336</v>
      </c>
      <c r="AP279" s="87">
        <f ca="1"/>
        <v>1530.83</v>
      </c>
      <c r="AQ279" s="87">
        <f ca="1"/>
        <v>1530.69</v>
      </c>
      <c r="AR279" s="88">
        <f ca="1"/>
        <v>37942.958333333336</v>
      </c>
      <c r="AS279" s="87">
        <f ca="1"/>
        <v>382</v>
      </c>
      <c r="AT279" s="87">
        <f ca="1"/>
        <v>339.48</v>
      </c>
    </row>
    <row r="280" spans="13:46" x14ac:dyDescent="0.25">
      <c r="M280" s="42">
        <v>276</v>
      </c>
      <c r="N280" s="3" t="s">
        <v>336</v>
      </c>
      <c r="O280" s="49">
        <f t="shared" si="32"/>
        <v>37942.958333333336</v>
      </c>
      <c r="P280" s="42">
        <v>1530.83</v>
      </c>
      <c r="Q280" s="42">
        <v>382</v>
      </c>
      <c r="R280" s="42">
        <v>1530.69</v>
      </c>
      <c r="S280" s="42">
        <v>339.48</v>
      </c>
      <c r="T280" s="42"/>
      <c r="U280" s="42"/>
      <c r="V280" s="3"/>
      <c r="W280" s="3"/>
      <c r="X280" s="3"/>
      <c r="Y280" s="3"/>
      <c r="Z280" s="3"/>
      <c r="AA280" s="3"/>
      <c r="AB280" s="3"/>
      <c r="AE280" s="42">
        <f t="shared" si="33"/>
        <v>179940</v>
      </c>
      <c r="AF280" s="42">
        <f t="shared" si="34"/>
        <v>176825.48</v>
      </c>
      <c r="AG280" s="42" t="str">
        <f t="shared" si="35"/>
        <v/>
      </c>
      <c r="AH280" s="42" t="str">
        <f t="shared" si="36"/>
        <v/>
      </c>
      <c r="AI280" s="42" t="str">
        <f t="shared" si="37"/>
        <v/>
      </c>
      <c r="AJ280" s="42" t="str">
        <f t="shared" si="38"/>
        <v/>
      </c>
      <c r="AK280" s="42" t="str">
        <f t="shared" si="39"/>
        <v/>
      </c>
      <c r="AO280" s="86">
        <f ca="1"/>
        <v>37943</v>
      </c>
      <c r="AP280" s="87">
        <f ca="1"/>
        <v>1530.82</v>
      </c>
      <c r="AQ280" s="87">
        <f ca="1"/>
        <v>1530.68</v>
      </c>
      <c r="AR280" s="88">
        <f ca="1"/>
        <v>37943</v>
      </c>
      <c r="AS280" s="87">
        <f ca="1"/>
        <v>379</v>
      </c>
      <c r="AT280" s="87">
        <f ca="1"/>
        <v>336.77</v>
      </c>
    </row>
    <row r="281" spans="13:46" x14ac:dyDescent="0.25">
      <c r="M281" s="42">
        <v>277</v>
      </c>
      <c r="N281" s="3" t="s">
        <v>337</v>
      </c>
      <c r="O281" s="49">
        <f t="shared" si="32"/>
        <v>37943</v>
      </c>
      <c r="P281" s="42">
        <v>1530.82</v>
      </c>
      <c r="Q281" s="42">
        <v>379</v>
      </c>
      <c r="R281" s="42">
        <v>1530.68</v>
      </c>
      <c r="S281" s="42">
        <v>336.77</v>
      </c>
      <c r="T281" s="42"/>
      <c r="U281" s="42"/>
      <c r="V281" s="3"/>
      <c r="W281" s="3"/>
      <c r="X281" s="3"/>
      <c r="Y281" s="3"/>
      <c r="Z281" s="3"/>
      <c r="AA281" s="3"/>
      <c r="AB281" s="3"/>
      <c r="AE281" s="42">
        <f t="shared" si="33"/>
        <v>180319</v>
      </c>
      <c r="AF281" s="42">
        <f t="shared" si="34"/>
        <v>177162.25</v>
      </c>
      <c r="AG281" s="42" t="str">
        <f t="shared" si="35"/>
        <v/>
      </c>
      <c r="AH281" s="42" t="str">
        <f t="shared" si="36"/>
        <v/>
      </c>
      <c r="AI281" s="42" t="str">
        <f t="shared" si="37"/>
        <v/>
      </c>
      <c r="AJ281" s="42" t="str">
        <f t="shared" si="38"/>
        <v/>
      </c>
      <c r="AK281" s="42" t="str">
        <f t="shared" si="39"/>
        <v/>
      </c>
      <c r="AO281" s="86">
        <f ca="1"/>
        <v>37943.041666666664</v>
      </c>
      <c r="AP281" s="87">
        <f ca="1"/>
        <v>1530.82</v>
      </c>
      <c r="AQ281" s="87">
        <f ca="1"/>
        <v>1530.68</v>
      </c>
      <c r="AR281" s="88">
        <f ca="1"/>
        <v>37943.041666666664</v>
      </c>
      <c r="AS281" s="87">
        <f ca="1"/>
        <v>379</v>
      </c>
      <c r="AT281" s="87">
        <f ca="1"/>
        <v>334.05</v>
      </c>
    </row>
    <row r="282" spans="13:46" x14ac:dyDescent="0.25">
      <c r="M282" s="42">
        <v>278</v>
      </c>
      <c r="N282" s="3" t="s">
        <v>338</v>
      </c>
      <c r="O282" s="49">
        <f t="shared" si="32"/>
        <v>37943.041666666664</v>
      </c>
      <c r="P282" s="42">
        <v>1530.82</v>
      </c>
      <c r="Q282" s="42">
        <v>379</v>
      </c>
      <c r="R282" s="42">
        <v>1530.68</v>
      </c>
      <c r="S282" s="42">
        <v>334.05</v>
      </c>
      <c r="T282" s="42"/>
      <c r="U282" s="42"/>
      <c r="V282" s="3"/>
      <c r="W282" s="3"/>
      <c r="X282" s="3"/>
      <c r="Y282" s="3"/>
      <c r="Z282" s="3"/>
      <c r="AA282" s="3"/>
      <c r="AB282" s="3"/>
      <c r="AE282" s="42">
        <f t="shared" si="33"/>
        <v>180698</v>
      </c>
      <c r="AF282" s="42">
        <f t="shared" si="34"/>
        <v>177496.3</v>
      </c>
      <c r="AG282" s="42" t="str">
        <f t="shared" si="35"/>
        <v/>
      </c>
      <c r="AH282" s="42" t="str">
        <f t="shared" si="36"/>
        <v/>
      </c>
      <c r="AI282" s="42" t="str">
        <f t="shared" si="37"/>
        <v/>
      </c>
      <c r="AJ282" s="42" t="str">
        <f t="shared" si="38"/>
        <v/>
      </c>
      <c r="AK282" s="42" t="str">
        <f t="shared" si="39"/>
        <v/>
      </c>
      <c r="AO282" s="86">
        <f ca="1"/>
        <v>37943.083333333336</v>
      </c>
      <c r="AP282" s="87">
        <f ca="1"/>
        <v>1530.81</v>
      </c>
      <c r="AQ282" s="87">
        <f ca="1"/>
        <v>1530.67</v>
      </c>
      <c r="AR282" s="88">
        <f ca="1"/>
        <v>37943.083333333336</v>
      </c>
      <c r="AS282" s="87">
        <f ca="1"/>
        <v>376</v>
      </c>
      <c r="AT282" s="87">
        <f ca="1"/>
        <v>331.36</v>
      </c>
    </row>
    <row r="283" spans="13:46" x14ac:dyDescent="0.25">
      <c r="M283" s="42">
        <v>279</v>
      </c>
      <c r="N283" s="3" t="s">
        <v>339</v>
      </c>
      <c r="O283" s="49">
        <f t="shared" si="32"/>
        <v>37943.083333333336</v>
      </c>
      <c r="P283" s="42">
        <v>1530.81</v>
      </c>
      <c r="Q283" s="42">
        <v>376</v>
      </c>
      <c r="R283" s="42">
        <v>1530.67</v>
      </c>
      <c r="S283" s="42">
        <v>331.36</v>
      </c>
      <c r="T283" s="42"/>
      <c r="U283" s="42"/>
      <c r="V283" s="3"/>
      <c r="W283" s="3"/>
      <c r="X283" s="3"/>
      <c r="Y283" s="3"/>
      <c r="Z283" s="3"/>
      <c r="AA283" s="3"/>
      <c r="AB283" s="3"/>
      <c r="AE283" s="42">
        <f t="shared" si="33"/>
        <v>181074</v>
      </c>
      <c r="AF283" s="42">
        <f t="shared" si="34"/>
        <v>177827.65999999997</v>
      </c>
      <c r="AG283" s="42" t="str">
        <f t="shared" si="35"/>
        <v/>
      </c>
      <c r="AH283" s="42" t="str">
        <f t="shared" si="36"/>
        <v/>
      </c>
      <c r="AI283" s="42" t="str">
        <f t="shared" si="37"/>
        <v/>
      </c>
      <c r="AJ283" s="42" t="str">
        <f t="shared" si="38"/>
        <v/>
      </c>
      <c r="AK283" s="42" t="str">
        <f t="shared" si="39"/>
        <v/>
      </c>
      <c r="AO283" s="86">
        <f ca="1"/>
        <v>37943.125</v>
      </c>
      <c r="AP283" s="87">
        <f ca="1"/>
        <v>1530.81</v>
      </c>
      <c r="AQ283" s="87">
        <f ca="1"/>
        <v>1530.66</v>
      </c>
      <c r="AR283" s="88">
        <f ca="1"/>
        <v>37943.125</v>
      </c>
      <c r="AS283" s="87">
        <f ca="1"/>
        <v>376</v>
      </c>
      <c r="AT283" s="87">
        <f ca="1"/>
        <v>328.96</v>
      </c>
    </row>
    <row r="284" spans="13:46" x14ac:dyDescent="0.25">
      <c r="M284" s="42">
        <v>280</v>
      </c>
      <c r="N284" s="3" t="s">
        <v>340</v>
      </c>
      <c r="O284" s="49">
        <f t="shared" si="32"/>
        <v>37943.125</v>
      </c>
      <c r="P284" s="42">
        <v>1530.81</v>
      </c>
      <c r="Q284" s="42">
        <v>376</v>
      </c>
      <c r="R284" s="42">
        <v>1530.66</v>
      </c>
      <c r="S284" s="42">
        <v>328.96</v>
      </c>
      <c r="T284" s="42"/>
      <c r="U284" s="42"/>
      <c r="V284" s="3"/>
      <c r="W284" s="3"/>
      <c r="X284" s="3"/>
      <c r="Y284" s="3"/>
      <c r="Z284" s="3"/>
      <c r="AA284" s="3"/>
      <c r="AB284" s="3"/>
      <c r="AE284" s="42">
        <f t="shared" si="33"/>
        <v>181450</v>
      </c>
      <c r="AF284" s="42">
        <f t="shared" si="34"/>
        <v>178156.61999999997</v>
      </c>
      <c r="AG284" s="42" t="str">
        <f t="shared" si="35"/>
        <v/>
      </c>
      <c r="AH284" s="42" t="str">
        <f t="shared" si="36"/>
        <v/>
      </c>
      <c r="AI284" s="42" t="str">
        <f t="shared" si="37"/>
        <v/>
      </c>
      <c r="AJ284" s="42" t="str">
        <f t="shared" si="38"/>
        <v/>
      </c>
      <c r="AK284" s="42" t="str">
        <f t="shared" si="39"/>
        <v/>
      </c>
      <c r="AO284" s="86">
        <f ca="1"/>
        <v>37943.166666666664</v>
      </c>
      <c r="AP284" s="87">
        <f ca="1"/>
        <v>1530.81</v>
      </c>
      <c r="AQ284" s="87">
        <f ca="1"/>
        <v>1530.66</v>
      </c>
      <c r="AR284" s="88">
        <f ca="1"/>
        <v>37943.166666666664</v>
      </c>
      <c r="AS284" s="87">
        <f ca="1"/>
        <v>376</v>
      </c>
      <c r="AT284" s="87">
        <f ca="1"/>
        <v>326.83999999999997</v>
      </c>
    </row>
    <row r="285" spans="13:46" x14ac:dyDescent="0.25">
      <c r="M285" s="42">
        <v>281</v>
      </c>
      <c r="N285" s="3" t="s">
        <v>341</v>
      </c>
      <c r="O285" s="49">
        <f t="shared" si="32"/>
        <v>37943.166666666664</v>
      </c>
      <c r="P285" s="42">
        <v>1530.81</v>
      </c>
      <c r="Q285" s="42">
        <v>376</v>
      </c>
      <c r="R285" s="42">
        <v>1530.66</v>
      </c>
      <c r="S285" s="42">
        <v>326.83999999999997</v>
      </c>
      <c r="T285" s="42"/>
      <c r="U285" s="42"/>
      <c r="V285" s="3"/>
      <c r="W285" s="3"/>
      <c r="X285" s="3"/>
      <c r="Y285" s="3"/>
      <c r="Z285" s="3"/>
      <c r="AA285" s="3"/>
      <c r="AB285" s="3"/>
      <c r="AE285" s="42">
        <f t="shared" si="33"/>
        <v>181826</v>
      </c>
      <c r="AF285" s="42">
        <f t="shared" si="34"/>
        <v>178483.45999999996</v>
      </c>
      <c r="AG285" s="42" t="str">
        <f t="shared" si="35"/>
        <v/>
      </c>
      <c r="AH285" s="42" t="str">
        <f t="shared" si="36"/>
        <v/>
      </c>
      <c r="AI285" s="42" t="str">
        <f t="shared" si="37"/>
        <v/>
      </c>
      <c r="AJ285" s="42" t="str">
        <f t="shared" si="38"/>
        <v/>
      </c>
      <c r="AK285" s="42" t="str">
        <f t="shared" si="39"/>
        <v/>
      </c>
      <c r="AO285" s="86">
        <f ca="1"/>
        <v>37943.208333333336</v>
      </c>
      <c r="AP285" s="87">
        <f ca="1"/>
        <v>1530.81</v>
      </c>
      <c r="AQ285" s="87">
        <f ca="1"/>
        <v>1530.65</v>
      </c>
      <c r="AR285" s="88">
        <f ca="1"/>
        <v>37943.208333333336</v>
      </c>
      <c r="AS285" s="87">
        <f ca="1"/>
        <v>376</v>
      </c>
      <c r="AT285" s="87">
        <f ca="1"/>
        <v>324.2</v>
      </c>
    </row>
    <row r="286" spans="13:46" x14ac:dyDescent="0.25">
      <c r="M286" s="42">
        <v>282</v>
      </c>
      <c r="N286" s="3" t="s">
        <v>342</v>
      </c>
      <c r="O286" s="49">
        <f t="shared" si="32"/>
        <v>37943.208333333336</v>
      </c>
      <c r="P286" s="42">
        <v>1530.81</v>
      </c>
      <c r="Q286" s="42">
        <v>376</v>
      </c>
      <c r="R286" s="42">
        <v>1530.65</v>
      </c>
      <c r="S286" s="42">
        <v>324.2</v>
      </c>
      <c r="T286" s="42"/>
      <c r="U286" s="42"/>
      <c r="V286" s="3"/>
      <c r="W286" s="3"/>
      <c r="X286" s="3"/>
      <c r="Y286" s="3"/>
      <c r="Z286" s="3"/>
      <c r="AA286" s="3"/>
      <c r="AB286" s="3"/>
      <c r="AE286" s="42">
        <f t="shared" si="33"/>
        <v>182202</v>
      </c>
      <c r="AF286" s="42">
        <f t="shared" si="34"/>
        <v>178807.65999999997</v>
      </c>
      <c r="AG286" s="42" t="str">
        <f t="shared" si="35"/>
        <v/>
      </c>
      <c r="AH286" s="42" t="str">
        <f t="shared" si="36"/>
        <v/>
      </c>
      <c r="AI286" s="42" t="str">
        <f t="shared" si="37"/>
        <v/>
      </c>
      <c r="AJ286" s="42" t="str">
        <f t="shared" si="38"/>
        <v/>
      </c>
      <c r="AK286" s="42" t="str">
        <f t="shared" si="39"/>
        <v/>
      </c>
      <c r="AO286" s="86">
        <f ca="1"/>
        <v>37943.25</v>
      </c>
      <c r="AP286" s="87">
        <f ca="1"/>
        <v>1530.8</v>
      </c>
      <c r="AQ286" s="87">
        <f ca="1"/>
        <v>1530.65</v>
      </c>
      <c r="AR286" s="88">
        <f ca="1"/>
        <v>37943.25</v>
      </c>
      <c r="AS286" s="87">
        <f ca="1"/>
        <v>373</v>
      </c>
      <c r="AT286" s="87">
        <f ca="1"/>
        <v>322.14</v>
      </c>
    </row>
    <row r="287" spans="13:46" x14ac:dyDescent="0.25">
      <c r="M287" s="42">
        <v>283</v>
      </c>
      <c r="N287" s="3" t="s">
        <v>343</v>
      </c>
      <c r="O287" s="49">
        <f t="shared" si="32"/>
        <v>37943.25</v>
      </c>
      <c r="P287" s="42">
        <v>1530.8</v>
      </c>
      <c r="Q287" s="42">
        <v>373</v>
      </c>
      <c r="R287" s="42">
        <v>1530.65</v>
      </c>
      <c r="S287" s="42">
        <v>322.14</v>
      </c>
      <c r="T287" s="42"/>
      <c r="U287" s="42"/>
      <c r="V287" s="3"/>
      <c r="W287" s="3"/>
      <c r="X287" s="3"/>
      <c r="Y287" s="3"/>
      <c r="Z287" s="3"/>
      <c r="AA287" s="3"/>
      <c r="AB287" s="3"/>
      <c r="AE287" s="42">
        <f t="shared" si="33"/>
        <v>182575</v>
      </c>
      <c r="AF287" s="42">
        <f t="shared" si="34"/>
        <v>179129.8</v>
      </c>
      <c r="AG287" s="42" t="str">
        <f t="shared" si="35"/>
        <v/>
      </c>
      <c r="AH287" s="42" t="str">
        <f t="shared" si="36"/>
        <v/>
      </c>
      <c r="AI287" s="42" t="str">
        <f t="shared" si="37"/>
        <v/>
      </c>
      <c r="AJ287" s="42" t="str">
        <f t="shared" si="38"/>
        <v/>
      </c>
      <c r="AK287" s="42" t="str">
        <f t="shared" si="39"/>
        <v/>
      </c>
      <c r="AO287" s="86">
        <f ca="1"/>
        <v>37943.291666666664</v>
      </c>
      <c r="AP287" s="87">
        <f ca="1"/>
        <v>1530.8</v>
      </c>
      <c r="AQ287" s="87">
        <f ca="1"/>
        <v>1530.64</v>
      </c>
      <c r="AR287" s="88">
        <f ca="1"/>
        <v>37943.291666666664</v>
      </c>
      <c r="AS287" s="87">
        <f ca="1"/>
        <v>373</v>
      </c>
      <c r="AT287" s="87">
        <f ca="1"/>
        <v>319.77999999999997</v>
      </c>
    </row>
    <row r="288" spans="13:46" x14ac:dyDescent="0.25">
      <c r="M288" s="42">
        <v>284</v>
      </c>
      <c r="N288" s="3" t="s">
        <v>344</v>
      </c>
      <c r="O288" s="49">
        <f t="shared" si="32"/>
        <v>37943.291666666664</v>
      </c>
      <c r="P288" s="42">
        <v>1530.8</v>
      </c>
      <c r="Q288" s="42">
        <v>373</v>
      </c>
      <c r="R288" s="42">
        <v>1530.64</v>
      </c>
      <c r="S288" s="42">
        <v>319.77999999999997</v>
      </c>
      <c r="T288" s="42"/>
      <c r="U288" s="42"/>
      <c r="V288" s="3"/>
      <c r="W288" s="3"/>
      <c r="X288" s="3"/>
      <c r="Y288" s="3"/>
      <c r="Z288" s="3"/>
      <c r="AA288" s="3"/>
      <c r="AB288" s="3"/>
      <c r="AE288" s="42">
        <f t="shared" si="33"/>
        <v>182948</v>
      </c>
      <c r="AF288" s="42">
        <f t="shared" si="34"/>
        <v>179449.58</v>
      </c>
      <c r="AG288" s="42" t="str">
        <f t="shared" si="35"/>
        <v/>
      </c>
      <c r="AH288" s="42" t="str">
        <f t="shared" si="36"/>
        <v/>
      </c>
      <c r="AI288" s="42" t="str">
        <f t="shared" si="37"/>
        <v/>
      </c>
      <c r="AJ288" s="42" t="str">
        <f t="shared" si="38"/>
        <v/>
      </c>
      <c r="AK288" s="42" t="str">
        <f t="shared" si="39"/>
        <v/>
      </c>
      <c r="AO288" s="86">
        <f ca="1"/>
        <v>37943.333333333336</v>
      </c>
      <c r="AP288" s="87">
        <f ca="1"/>
        <v>1530.8</v>
      </c>
      <c r="AQ288" s="87">
        <f ca="1"/>
        <v>1530.63</v>
      </c>
      <c r="AR288" s="88">
        <f ca="1"/>
        <v>37943.333333333336</v>
      </c>
      <c r="AS288" s="87">
        <f ca="1"/>
        <v>373</v>
      </c>
      <c r="AT288" s="87">
        <f ca="1"/>
        <v>317.70999999999998</v>
      </c>
    </row>
    <row r="289" spans="13:46" x14ac:dyDescent="0.25">
      <c r="M289" s="42">
        <v>285</v>
      </c>
      <c r="N289" s="3" t="s">
        <v>345</v>
      </c>
      <c r="O289" s="49">
        <f t="shared" si="32"/>
        <v>37943.333333333336</v>
      </c>
      <c r="P289" s="42">
        <v>1530.8</v>
      </c>
      <c r="Q289" s="42">
        <v>373</v>
      </c>
      <c r="R289" s="42">
        <v>1530.63</v>
      </c>
      <c r="S289" s="42">
        <v>317.70999999999998</v>
      </c>
      <c r="T289" s="42"/>
      <c r="U289" s="42"/>
      <c r="V289" s="3"/>
      <c r="W289" s="3"/>
      <c r="X289" s="3"/>
      <c r="Y289" s="3"/>
      <c r="Z289" s="3"/>
      <c r="AA289" s="3"/>
      <c r="AB289" s="3"/>
      <c r="AE289" s="42">
        <f t="shared" si="33"/>
        <v>183321</v>
      </c>
      <c r="AF289" s="42">
        <f t="shared" si="34"/>
        <v>179767.28999999998</v>
      </c>
      <c r="AG289" s="42" t="str">
        <f t="shared" si="35"/>
        <v/>
      </c>
      <c r="AH289" s="42" t="str">
        <f t="shared" si="36"/>
        <v/>
      </c>
      <c r="AI289" s="42" t="str">
        <f t="shared" si="37"/>
        <v/>
      </c>
      <c r="AJ289" s="42" t="str">
        <f t="shared" si="38"/>
        <v/>
      </c>
      <c r="AK289" s="42" t="str">
        <f t="shared" si="39"/>
        <v/>
      </c>
      <c r="AO289" s="86">
        <f ca="1"/>
        <v>37943.375</v>
      </c>
      <c r="AP289" s="87">
        <f ca="1"/>
        <v>1530.79</v>
      </c>
      <c r="AQ289" s="87">
        <f ca="1"/>
        <v>1530.63</v>
      </c>
      <c r="AR289" s="88">
        <f ca="1"/>
        <v>37943.375</v>
      </c>
      <c r="AS289" s="87">
        <f ca="1"/>
        <v>370</v>
      </c>
      <c r="AT289" s="87">
        <f ca="1"/>
        <v>315.37</v>
      </c>
    </row>
    <row r="290" spans="13:46" x14ac:dyDescent="0.25">
      <c r="M290" s="42">
        <v>286</v>
      </c>
      <c r="N290" s="3" t="s">
        <v>346</v>
      </c>
      <c r="O290" s="49">
        <f t="shared" si="32"/>
        <v>37943.375</v>
      </c>
      <c r="P290" s="42">
        <v>1530.79</v>
      </c>
      <c r="Q290" s="42">
        <v>370</v>
      </c>
      <c r="R290" s="42">
        <v>1530.63</v>
      </c>
      <c r="S290" s="42">
        <v>315.37</v>
      </c>
      <c r="T290" s="42"/>
      <c r="U290" s="42"/>
      <c r="V290" s="3"/>
      <c r="W290" s="3"/>
      <c r="X290" s="3"/>
      <c r="Y290" s="3"/>
      <c r="Z290" s="3"/>
      <c r="AA290" s="3"/>
      <c r="AB290" s="3"/>
      <c r="AE290" s="42">
        <f t="shared" si="33"/>
        <v>183691</v>
      </c>
      <c r="AF290" s="42">
        <f t="shared" si="34"/>
        <v>180082.65999999997</v>
      </c>
      <c r="AG290" s="42" t="str">
        <f t="shared" si="35"/>
        <v/>
      </c>
      <c r="AH290" s="42" t="str">
        <f t="shared" si="36"/>
        <v/>
      </c>
      <c r="AI290" s="42" t="str">
        <f t="shared" si="37"/>
        <v/>
      </c>
      <c r="AJ290" s="42" t="str">
        <f t="shared" si="38"/>
        <v/>
      </c>
      <c r="AK290" s="42" t="str">
        <f t="shared" si="39"/>
        <v/>
      </c>
      <c r="AO290" s="86">
        <f ca="1"/>
        <v>37943.416666666664</v>
      </c>
      <c r="AP290" s="87">
        <f ca="1"/>
        <v>1530.79</v>
      </c>
      <c r="AQ290" s="87">
        <f ca="1"/>
        <v>1530.62</v>
      </c>
      <c r="AR290" s="88">
        <f ca="1"/>
        <v>37943.416666666664</v>
      </c>
      <c r="AS290" s="87">
        <f ca="1"/>
        <v>370</v>
      </c>
      <c r="AT290" s="87">
        <f ca="1"/>
        <v>312.70999999999998</v>
      </c>
    </row>
    <row r="291" spans="13:46" x14ac:dyDescent="0.25">
      <c r="M291" s="42">
        <v>287</v>
      </c>
      <c r="N291" s="3" t="s">
        <v>347</v>
      </c>
      <c r="O291" s="49">
        <f t="shared" si="32"/>
        <v>37943.416666666664</v>
      </c>
      <c r="P291" s="42">
        <v>1530.79</v>
      </c>
      <c r="Q291" s="42">
        <v>370</v>
      </c>
      <c r="R291" s="42">
        <v>1530.62</v>
      </c>
      <c r="S291" s="42">
        <v>312.70999999999998</v>
      </c>
      <c r="T291" s="42"/>
      <c r="U291" s="42"/>
      <c r="V291" s="3"/>
      <c r="W291" s="3"/>
      <c r="X291" s="3"/>
      <c r="Y291" s="3"/>
      <c r="Z291" s="3"/>
      <c r="AA291" s="3"/>
      <c r="AB291" s="3"/>
      <c r="AE291" s="42">
        <f t="shared" si="33"/>
        <v>184061</v>
      </c>
      <c r="AF291" s="42">
        <f t="shared" si="34"/>
        <v>180395.36999999997</v>
      </c>
      <c r="AG291" s="42" t="str">
        <f t="shared" si="35"/>
        <v/>
      </c>
      <c r="AH291" s="42" t="str">
        <f t="shared" si="36"/>
        <v/>
      </c>
      <c r="AI291" s="42" t="str">
        <f t="shared" si="37"/>
        <v/>
      </c>
      <c r="AJ291" s="42" t="str">
        <f t="shared" si="38"/>
        <v/>
      </c>
      <c r="AK291" s="42" t="str">
        <f t="shared" si="39"/>
        <v/>
      </c>
      <c r="AO291" s="86">
        <f ca="1"/>
        <v>37943.458333333336</v>
      </c>
      <c r="AP291" s="87">
        <f ca="1"/>
        <v>1530.78</v>
      </c>
      <c r="AQ291" s="87">
        <f ca="1"/>
        <v>1530.61</v>
      </c>
      <c r="AR291" s="88">
        <f ca="1"/>
        <v>37943.458333333336</v>
      </c>
      <c r="AS291" s="87">
        <f ca="1"/>
        <v>367</v>
      </c>
      <c r="AT291" s="87">
        <f ca="1"/>
        <v>310</v>
      </c>
    </row>
    <row r="292" spans="13:46" x14ac:dyDescent="0.25">
      <c r="M292" s="42">
        <v>288</v>
      </c>
      <c r="N292" s="3" t="s">
        <v>348</v>
      </c>
      <c r="O292" s="49">
        <f t="shared" si="32"/>
        <v>37943.458333333336</v>
      </c>
      <c r="P292" s="42">
        <v>1530.78</v>
      </c>
      <c r="Q292" s="42">
        <v>367</v>
      </c>
      <c r="R292" s="42">
        <v>1530.61</v>
      </c>
      <c r="S292" s="42">
        <v>310</v>
      </c>
      <c r="T292" s="42"/>
      <c r="U292" s="42"/>
      <c r="V292" s="3"/>
      <c r="W292" s="3"/>
      <c r="X292" s="3"/>
      <c r="Y292" s="3"/>
      <c r="Z292" s="3"/>
      <c r="AA292" s="3"/>
      <c r="AB292" s="3"/>
      <c r="AE292" s="42">
        <f t="shared" si="33"/>
        <v>184428</v>
      </c>
      <c r="AF292" s="42">
        <f t="shared" si="34"/>
        <v>180705.36999999997</v>
      </c>
      <c r="AG292" s="42" t="str">
        <f t="shared" si="35"/>
        <v/>
      </c>
      <c r="AH292" s="42" t="str">
        <f t="shared" si="36"/>
        <v/>
      </c>
      <c r="AI292" s="42" t="str">
        <f t="shared" si="37"/>
        <v/>
      </c>
      <c r="AJ292" s="42" t="str">
        <f t="shared" si="38"/>
        <v/>
      </c>
      <c r="AK292" s="42" t="str">
        <f t="shared" si="39"/>
        <v/>
      </c>
      <c r="AO292" s="86">
        <f ca="1"/>
        <v>37943.5</v>
      </c>
      <c r="AP292" s="87">
        <f ca="1"/>
        <v>1530.77</v>
      </c>
      <c r="AQ292" s="87">
        <f ca="1"/>
        <v>1530.61</v>
      </c>
      <c r="AR292" s="88">
        <f ca="1"/>
        <v>37943.5</v>
      </c>
      <c r="AS292" s="87">
        <f ca="1"/>
        <v>364</v>
      </c>
      <c r="AT292" s="87">
        <f ca="1"/>
        <v>307.98</v>
      </c>
    </row>
    <row r="293" spans="13:46" x14ac:dyDescent="0.25">
      <c r="M293" s="42">
        <v>289</v>
      </c>
      <c r="N293" s="3" t="s">
        <v>349</v>
      </c>
      <c r="O293" s="49">
        <f t="shared" si="32"/>
        <v>37943.5</v>
      </c>
      <c r="P293" s="42">
        <v>1530.77</v>
      </c>
      <c r="Q293" s="42">
        <v>364</v>
      </c>
      <c r="R293" s="42">
        <v>1530.61</v>
      </c>
      <c r="S293" s="42">
        <v>307.98</v>
      </c>
      <c r="T293" s="42"/>
      <c r="U293" s="42"/>
      <c r="V293" s="3"/>
      <c r="W293" s="3"/>
      <c r="X293" s="3"/>
      <c r="Y293" s="3"/>
      <c r="Z293" s="3"/>
      <c r="AA293" s="3"/>
      <c r="AB293" s="3"/>
      <c r="AE293" s="42">
        <f t="shared" si="33"/>
        <v>184792</v>
      </c>
      <c r="AF293" s="42">
        <f t="shared" si="34"/>
        <v>181013.34999999998</v>
      </c>
      <c r="AG293" s="42" t="str">
        <f t="shared" si="35"/>
        <v/>
      </c>
      <c r="AH293" s="42" t="str">
        <f t="shared" si="36"/>
        <v/>
      </c>
      <c r="AI293" s="42" t="str">
        <f t="shared" si="37"/>
        <v/>
      </c>
      <c r="AJ293" s="42" t="str">
        <f t="shared" si="38"/>
        <v/>
      </c>
      <c r="AK293" s="42" t="str">
        <f t="shared" si="39"/>
        <v/>
      </c>
      <c r="AO293" s="86">
        <f ca="1"/>
        <v>37943.541666666664</v>
      </c>
      <c r="AP293" s="87">
        <f ca="1"/>
        <v>1530.77</v>
      </c>
      <c r="AQ293" s="87">
        <f ca="1"/>
        <v>1530.6</v>
      </c>
      <c r="AR293" s="88">
        <f ca="1"/>
        <v>37943.541666666664</v>
      </c>
      <c r="AS293" s="87">
        <f ca="1"/>
        <v>364</v>
      </c>
      <c r="AT293" s="87">
        <f ca="1"/>
        <v>306.5</v>
      </c>
    </row>
    <row r="294" spans="13:46" x14ac:dyDescent="0.25">
      <c r="M294" s="42">
        <v>290</v>
      </c>
      <c r="N294" s="3" t="s">
        <v>350</v>
      </c>
      <c r="O294" s="49">
        <f t="shared" si="32"/>
        <v>37943.541666666664</v>
      </c>
      <c r="P294" s="42">
        <v>1530.77</v>
      </c>
      <c r="Q294" s="42">
        <v>364</v>
      </c>
      <c r="R294" s="42">
        <v>1530.6</v>
      </c>
      <c r="S294" s="42">
        <v>306.5</v>
      </c>
      <c r="T294" s="42"/>
      <c r="U294" s="42"/>
      <c r="V294" s="3"/>
      <c r="W294" s="3"/>
      <c r="X294" s="3"/>
      <c r="Y294" s="3"/>
      <c r="Z294" s="3"/>
      <c r="AA294" s="3"/>
      <c r="AB294" s="3"/>
      <c r="AE294" s="42">
        <f t="shared" si="33"/>
        <v>185156</v>
      </c>
      <c r="AF294" s="42">
        <f t="shared" si="34"/>
        <v>181319.84999999998</v>
      </c>
      <c r="AG294" s="42" t="str">
        <f t="shared" si="35"/>
        <v/>
      </c>
      <c r="AH294" s="42" t="str">
        <f t="shared" si="36"/>
        <v/>
      </c>
      <c r="AI294" s="42" t="str">
        <f t="shared" si="37"/>
        <v/>
      </c>
      <c r="AJ294" s="42" t="str">
        <f t="shared" si="38"/>
        <v/>
      </c>
      <c r="AK294" s="42" t="str">
        <f t="shared" si="39"/>
        <v/>
      </c>
      <c r="AO294" s="86">
        <f ca="1"/>
        <v>37943.583333333336</v>
      </c>
      <c r="AP294" s="87">
        <f ca="1"/>
        <v>1530.76</v>
      </c>
      <c r="AQ294" s="87">
        <f ca="1"/>
        <v>1530.6</v>
      </c>
      <c r="AR294" s="88">
        <f ca="1"/>
        <v>37943.583333333336</v>
      </c>
      <c r="AS294" s="87">
        <f ca="1"/>
        <v>361</v>
      </c>
      <c r="AT294" s="87">
        <f ca="1"/>
        <v>303.92</v>
      </c>
    </row>
    <row r="295" spans="13:46" x14ac:dyDescent="0.25">
      <c r="M295" s="42">
        <v>291</v>
      </c>
      <c r="N295" s="3" t="s">
        <v>351</v>
      </c>
      <c r="O295" s="49">
        <f t="shared" si="32"/>
        <v>37943.583333333336</v>
      </c>
      <c r="P295" s="42">
        <v>1530.76</v>
      </c>
      <c r="Q295" s="42">
        <v>361</v>
      </c>
      <c r="R295" s="42">
        <v>1530.6</v>
      </c>
      <c r="S295" s="42">
        <v>303.92</v>
      </c>
      <c r="T295" s="42"/>
      <c r="U295" s="42"/>
      <c r="V295" s="3"/>
      <c r="W295" s="3"/>
      <c r="X295" s="3"/>
      <c r="Y295" s="3"/>
      <c r="Z295" s="3"/>
      <c r="AA295" s="3"/>
      <c r="AB295" s="3"/>
      <c r="AE295" s="42">
        <f t="shared" si="33"/>
        <v>185517</v>
      </c>
      <c r="AF295" s="42">
        <f t="shared" si="34"/>
        <v>181623.77</v>
      </c>
      <c r="AG295" s="42" t="str">
        <f t="shared" si="35"/>
        <v/>
      </c>
      <c r="AH295" s="42" t="str">
        <f t="shared" si="36"/>
        <v/>
      </c>
      <c r="AI295" s="42" t="str">
        <f t="shared" si="37"/>
        <v/>
      </c>
      <c r="AJ295" s="42" t="str">
        <f t="shared" si="38"/>
        <v/>
      </c>
      <c r="AK295" s="42" t="str">
        <f t="shared" si="39"/>
        <v/>
      </c>
      <c r="AO295" s="86">
        <f ca="1"/>
        <v>37943.625</v>
      </c>
      <c r="AP295" s="87">
        <f ca="1"/>
        <v>1530.76</v>
      </c>
      <c r="AQ295" s="87">
        <f ca="1"/>
        <v>1530.59</v>
      </c>
      <c r="AR295" s="88">
        <f ca="1"/>
        <v>37943.625</v>
      </c>
      <c r="AS295" s="87">
        <f ca="1"/>
        <v>361</v>
      </c>
      <c r="AT295" s="87">
        <f ca="1"/>
        <v>301.7</v>
      </c>
    </row>
    <row r="296" spans="13:46" x14ac:dyDescent="0.25">
      <c r="M296" s="42">
        <v>292</v>
      </c>
      <c r="N296" s="3" t="s">
        <v>352</v>
      </c>
      <c r="O296" s="49">
        <f t="shared" si="32"/>
        <v>37943.625</v>
      </c>
      <c r="P296" s="42">
        <v>1530.76</v>
      </c>
      <c r="Q296" s="42">
        <v>361</v>
      </c>
      <c r="R296" s="42">
        <v>1530.59</v>
      </c>
      <c r="S296" s="42">
        <v>301.7</v>
      </c>
      <c r="T296" s="42"/>
      <c r="U296" s="42"/>
      <c r="V296" s="3"/>
      <c r="W296" s="3"/>
      <c r="X296" s="3"/>
      <c r="Y296" s="3"/>
      <c r="Z296" s="3"/>
      <c r="AA296" s="3"/>
      <c r="AB296" s="3"/>
      <c r="AE296" s="42">
        <f t="shared" si="33"/>
        <v>185878</v>
      </c>
      <c r="AF296" s="42">
        <f t="shared" si="34"/>
        <v>181925.47</v>
      </c>
      <c r="AG296" s="42" t="str">
        <f t="shared" si="35"/>
        <v/>
      </c>
      <c r="AH296" s="42" t="str">
        <f t="shared" si="36"/>
        <v/>
      </c>
      <c r="AI296" s="42" t="str">
        <f t="shared" si="37"/>
        <v/>
      </c>
      <c r="AJ296" s="42" t="str">
        <f t="shared" si="38"/>
        <v/>
      </c>
      <c r="AK296" s="42" t="str">
        <f t="shared" si="39"/>
        <v/>
      </c>
      <c r="AO296" s="86">
        <f ca="1"/>
        <v>37943.666666666664</v>
      </c>
      <c r="AP296" s="87">
        <f ca="1"/>
        <v>1530.76</v>
      </c>
      <c r="AQ296" s="87">
        <f ca="1"/>
        <v>1530.59</v>
      </c>
      <c r="AR296" s="88">
        <f ca="1"/>
        <v>37943.666666666664</v>
      </c>
      <c r="AS296" s="87">
        <f ca="1"/>
        <v>361</v>
      </c>
      <c r="AT296" s="87">
        <f ca="1"/>
        <v>299.64999999999998</v>
      </c>
    </row>
    <row r="297" spans="13:46" x14ac:dyDescent="0.25">
      <c r="M297" s="42">
        <v>293</v>
      </c>
      <c r="N297" s="3" t="s">
        <v>353</v>
      </c>
      <c r="O297" s="49">
        <f t="shared" si="32"/>
        <v>37943.666666666664</v>
      </c>
      <c r="P297" s="42">
        <v>1530.76</v>
      </c>
      <c r="Q297" s="42">
        <v>361</v>
      </c>
      <c r="R297" s="42">
        <v>1530.59</v>
      </c>
      <c r="S297" s="42">
        <v>299.64999999999998</v>
      </c>
      <c r="T297" s="42"/>
      <c r="U297" s="42"/>
      <c r="V297" s="3"/>
      <c r="W297" s="3"/>
      <c r="X297" s="3"/>
      <c r="Y297" s="3"/>
      <c r="Z297" s="3"/>
      <c r="AA297" s="3"/>
      <c r="AB297" s="3"/>
      <c r="AE297" s="42">
        <f t="shared" si="33"/>
        <v>186239</v>
      </c>
      <c r="AF297" s="42">
        <f t="shared" si="34"/>
        <v>182225.12</v>
      </c>
      <c r="AG297" s="42" t="str">
        <f t="shared" si="35"/>
        <v/>
      </c>
      <c r="AH297" s="42" t="str">
        <f t="shared" si="36"/>
        <v/>
      </c>
      <c r="AI297" s="42" t="str">
        <f t="shared" si="37"/>
        <v/>
      </c>
      <c r="AJ297" s="42" t="str">
        <f t="shared" si="38"/>
        <v/>
      </c>
      <c r="AK297" s="42" t="str">
        <f t="shared" si="39"/>
        <v/>
      </c>
      <c r="AO297" s="86">
        <f ca="1"/>
        <v>37943.708333333336</v>
      </c>
      <c r="AP297" s="87">
        <f ca="1"/>
        <v>1530.75</v>
      </c>
      <c r="AQ297" s="87">
        <f ca="1"/>
        <v>1530.58</v>
      </c>
      <c r="AR297" s="88">
        <f ca="1"/>
        <v>37943.708333333336</v>
      </c>
      <c r="AS297" s="87">
        <f ca="1"/>
        <v>358</v>
      </c>
      <c r="AT297" s="87">
        <f ca="1"/>
        <v>297.74</v>
      </c>
    </row>
    <row r="298" spans="13:46" x14ac:dyDescent="0.25">
      <c r="M298" s="42">
        <v>294</v>
      </c>
      <c r="N298" s="3" t="s">
        <v>354</v>
      </c>
      <c r="O298" s="49">
        <f t="shared" si="32"/>
        <v>37943.708333333336</v>
      </c>
      <c r="P298" s="42">
        <v>1530.75</v>
      </c>
      <c r="Q298" s="42">
        <v>358</v>
      </c>
      <c r="R298" s="42">
        <v>1530.58</v>
      </c>
      <c r="S298" s="42">
        <v>297.74</v>
      </c>
      <c r="T298" s="42"/>
      <c r="U298" s="42"/>
      <c r="V298" s="3"/>
      <c r="W298" s="3"/>
      <c r="X298" s="3"/>
      <c r="Y298" s="3"/>
      <c r="Z298" s="3"/>
      <c r="AA298" s="3"/>
      <c r="AB298" s="3"/>
      <c r="AE298" s="42">
        <f t="shared" si="33"/>
        <v>186597</v>
      </c>
      <c r="AF298" s="42">
        <f t="shared" si="34"/>
        <v>182522.86</v>
      </c>
      <c r="AG298" s="42" t="str">
        <f t="shared" si="35"/>
        <v/>
      </c>
      <c r="AH298" s="42" t="str">
        <f t="shared" si="36"/>
        <v/>
      </c>
      <c r="AI298" s="42" t="str">
        <f t="shared" si="37"/>
        <v/>
      </c>
      <c r="AJ298" s="42" t="str">
        <f t="shared" si="38"/>
        <v/>
      </c>
      <c r="AK298" s="42" t="str">
        <f t="shared" si="39"/>
        <v/>
      </c>
      <c r="AO298" s="86">
        <f ca="1"/>
        <v>37943.75</v>
      </c>
      <c r="AP298" s="87">
        <f ca="1"/>
        <v>1530.75</v>
      </c>
      <c r="AQ298" s="87">
        <f ca="1"/>
        <v>1530.58</v>
      </c>
      <c r="AR298" s="88">
        <f ca="1"/>
        <v>37943.75</v>
      </c>
      <c r="AS298" s="87">
        <f ca="1"/>
        <v>358</v>
      </c>
      <c r="AT298" s="87">
        <f ca="1"/>
        <v>295.83</v>
      </c>
    </row>
    <row r="299" spans="13:46" x14ac:dyDescent="0.25">
      <c r="M299" s="42">
        <v>295</v>
      </c>
      <c r="N299" s="3" t="s">
        <v>355</v>
      </c>
      <c r="O299" s="49">
        <f t="shared" si="32"/>
        <v>37943.75</v>
      </c>
      <c r="P299" s="42">
        <v>1530.75</v>
      </c>
      <c r="Q299" s="42">
        <v>358</v>
      </c>
      <c r="R299" s="42">
        <v>1530.58</v>
      </c>
      <c r="S299" s="42">
        <v>295.83</v>
      </c>
      <c r="T299" s="42"/>
      <c r="U299" s="42"/>
      <c r="V299" s="3"/>
      <c r="W299" s="3"/>
      <c r="X299" s="3"/>
      <c r="Y299" s="3"/>
      <c r="Z299" s="3"/>
      <c r="AA299" s="3"/>
      <c r="AB299" s="3"/>
      <c r="AE299" s="42">
        <f t="shared" si="33"/>
        <v>186955</v>
      </c>
      <c r="AF299" s="42">
        <f t="shared" si="34"/>
        <v>182818.68999999997</v>
      </c>
      <c r="AG299" s="42" t="str">
        <f t="shared" si="35"/>
        <v/>
      </c>
      <c r="AH299" s="42" t="str">
        <f t="shared" si="36"/>
        <v/>
      </c>
      <c r="AI299" s="42" t="str">
        <f t="shared" si="37"/>
        <v/>
      </c>
      <c r="AJ299" s="42" t="str">
        <f t="shared" si="38"/>
        <v/>
      </c>
      <c r="AK299" s="42" t="str">
        <f t="shared" si="39"/>
        <v/>
      </c>
      <c r="AO299" s="86">
        <f ca="1"/>
        <v>37943.791666666664</v>
      </c>
      <c r="AP299" s="87">
        <f ca="1"/>
        <v>1530.75</v>
      </c>
      <c r="AQ299" s="87">
        <f ca="1"/>
        <v>1530.57</v>
      </c>
      <c r="AR299" s="88">
        <f ca="1"/>
        <v>37943.791666666664</v>
      </c>
      <c r="AS299" s="87">
        <f ca="1"/>
        <v>358</v>
      </c>
      <c r="AT299" s="87">
        <f ca="1"/>
        <v>293.95</v>
      </c>
    </row>
    <row r="300" spans="13:46" x14ac:dyDescent="0.25">
      <c r="M300" s="42">
        <v>296</v>
      </c>
      <c r="N300" s="3" t="s">
        <v>356</v>
      </c>
      <c r="O300" s="49">
        <f t="shared" si="32"/>
        <v>37943.791666666664</v>
      </c>
      <c r="P300" s="42">
        <v>1530.75</v>
      </c>
      <c r="Q300" s="42">
        <v>358</v>
      </c>
      <c r="R300" s="42">
        <v>1530.57</v>
      </c>
      <c r="S300" s="42">
        <v>293.95</v>
      </c>
      <c r="T300" s="42"/>
      <c r="U300" s="42"/>
      <c r="V300" s="3"/>
      <c r="W300" s="3"/>
      <c r="X300" s="3"/>
      <c r="Y300" s="3"/>
      <c r="Z300" s="3"/>
      <c r="AA300" s="3"/>
      <c r="AB300" s="3"/>
      <c r="AE300" s="42">
        <f t="shared" si="33"/>
        <v>187313</v>
      </c>
      <c r="AF300" s="42">
        <f t="shared" si="34"/>
        <v>183112.63999999998</v>
      </c>
      <c r="AG300" s="42" t="str">
        <f t="shared" si="35"/>
        <v/>
      </c>
      <c r="AH300" s="42" t="str">
        <f t="shared" si="36"/>
        <v/>
      </c>
      <c r="AI300" s="42" t="str">
        <f t="shared" si="37"/>
        <v/>
      </c>
      <c r="AJ300" s="42" t="str">
        <f t="shared" si="38"/>
        <v/>
      </c>
      <c r="AK300" s="42" t="str">
        <f t="shared" si="39"/>
        <v/>
      </c>
      <c r="AO300" s="86">
        <f ca="1"/>
        <v>37943.833333333336</v>
      </c>
      <c r="AP300" s="87">
        <f ca="1"/>
        <v>1530.74</v>
      </c>
      <c r="AQ300" s="87">
        <f ca="1"/>
        <v>1530.57</v>
      </c>
      <c r="AR300" s="88">
        <f ca="1"/>
        <v>37943.833333333336</v>
      </c>
      <c r="AS300" s="87">
        <f ca="1"/>
        <v>355</v>
      </c>
      <c r="AT300" s="87">
        <f ca="1"/>
        <v>292.10000000000002</v>
      </c>
    </row>
    <row r="301" spans="13:46" x14ac:dyDescent="0.25">
      <c r="M301" s="42">
        <v>297</v>
      </c>
      <c r="N301" s="3" t="s">
        <v>357</v>
      </c>
      <c r="O301" s="49">
        <f t="shared" si="32"/>
        <v>37943.833333333336</v>
      </c>
      <c r="P301" s="42">
        <v>1530.74</v>
      </c>
      <c r="Q301" s="42">
        <v>355</v>
      </c>
      <c r="R301" s="42">
        <v>1530.57</v>
      </c>
      <c r="S301" s="42">
        <v>292.10000000000002</v>
      </c>
      <c r="T301" s="42"/>
      <c r="U301" s="42"/>
      <c r="V301" s="3"/>
      <c r="W301" s="3"/>
      <c r="X301" s="3"/>
      <c r="Y301" s="3"/>
      <c r="Z301" s="3"/>
      <c r="AA301" s="3"/>
      <c r="AB301" s="3"/>
      <c r="AE301" s="42">
        <f t="shared" si="33"/>
        <v>187668</v>
      </c>
      <c r="AF301" s="42">
        <f t="shared" si="34"/>
        <v>183404.74</v>
      </c>
      <c r="AG301" s="42" t="str">
        <f t="shared" si="35"/>
        <v/>
      </c>
      <c r="AH301" s="42" t="str">
        <f t="shared" si="36"/>
        <v/>
      </c>
      <c r="AI301" s="42" t="str">
        <f t="shared" si="37"/>
        <v/>
      </c>
      <c r="AJ301" s="42" t="str">
        <f t="shared" si="38"/>
        <v/>
      </c>
      <c r="AK301" s="42" t="str">
        <f t="shared" si="39"/>
        <v/>
      </c>
      <c r="AO301" s="86">
        <f ca="1"/>
        <v>37943.875</v>
      </c>
      <c r="AP301" s="87">
        <f ca="1"/>
        <v>1530.74</v>
      </c>
      <c r="AQ301" s="87">
        <f ca="1"/>
        <v>1530.56</v>
      </c>
      <c r="AR301" s="88">
        <f ca="1"/>
        <v>37943.875</v>
      </c>
      <c r="AS301" s="87">
        <f ca="1"/>
        <v>355</v>
      </c>
      <c r="AT301" s="87">
        <f ca="1"/>
        <v>290.27</v>
      </c>
    </row>
    <row r="302" spans="13:46" x14ac:dyDescent="0.25">
      <c r="M302" s="42">
        <v>298</v>
      </c>
      <c r="N302" s="3" t="s">
        <v>358</v>
      </c>
      <c r="O302" s="49">
        <f t="shared" si="32"/>
        <v>37943.875</v>
      </c>
      <c r="P302" s="42">
        <v>1530.74</v>
      </c>
      <c r="Q302" s="42">
        <v>355</v>
      </c>
      <c r="R302" s="42">
        <v>1530.56</v>
      </c>
      <c r="S302" s="42">
        <v>290.27</v>
      </c>
      <c r="T302" s="42"/>
      <c r="U302" s="42"/>
      <c r="V302" s="3"/>
      <c r="W302" s="3"/>
      <c r="X302" s="3"/>
      <c r="Y302" s="3"/>
      <c r="Z302" s="3"/>
      <c r="AA302" s="3"/>
      <c r="AB302" s="3"/>
      <c r="AE302" s="42">
        <f t="shared" si="33"/>
        <v>188023</v>
      </c>
      <c r="AF302" s="42">
        <f t="shared" si="34"/>
        <v>183695.00999999998</v>
      </c>
      <c r="AG302" s="42" t="str">
        <f t="shared" si="35"/>
        <v/>
      </c>
      <c r="AH302" s="42" t="str">
        <f t="shared" si="36"/>
        <v/>
      </c>
      <c r="AI302" s="42" t="str">
        <f t="shared" si="37"/>
        <v/>
      </c>
      <c r="AJ302" s="42" t="str">
        <f t="shared" si="38"/>
        <v/>
      </c>
      <c r="AK302" s="42" t="str">
        <f t="shared" si="39"/>
        <v/>
      </c>
      <c r="AO302" s="86">
        <f ca="1"/>
        <v>37943.916666666664</v>
      </c>
      <c r="AP302" s="87">
        <f ca="1"/>
        <v>1530.74</v>
      </c>
      <c r="AQ302" s="87">
        <f ca="1"/>
        <v>1530.56</v>
      </c>
      <c r="AR302" s="88">
        <f ca="1"/>
        <v>37943.916666666664</v>
      </c>
      <c r="AS302" s="87">
        <f ca="1"/>
        <v>355</v>
      </c>
      <c r="AT302" s="87">
        <f ca="1"/>
        <v>288.51</v>
      </c>
    </row>
    <row r="303" spans="13:46" x14ac:dyDescent="0.25">
      <c r="M303" s="42">
        <v>299</v>
      </c>
      <c r="N303" s="3" t="s">
        <v>359</v>
      </c>
      <c r="O303" s="49">
        <f t="shared" si="32"/>
        <v>37943.916666666664</v>
      </c>
      <c r="P303" s="42">
        <v>1530.74</v>
      </c>
      <c r="Q303" s="42">
        <v>355</v>
      </c>
      <c r="R303" s="42">
        <v>1530.56</v>
      </c>
      <c r="S303" s="42">
        <v>288.51</v>
      </c>
      <c r="T303" s="42"/>
      <c r="U303" s="42"/>
      <c r="V303" s="3"/>
      <c r="W303" s="3"/>
      <c r="X303" s="3"/>
      <c r="Y303" s="3"/>
      <c r="Z303" s="3"/>
      <c r="AA303" s="3"/>
      <c r="AB303" s="3"/>
      <c r="AE303" s="42">
        <f t="shared" si="33"/>
        <v>188378</v>
      </c>
      <c r="AF303" s="42">
        <f t="shared" si="34"/>
        <v>183983.52</v>
      </c>
      <c r="AG303" s="42" t="str">
        <f t="shared" si="35"/>
        <v/>
      </c>
      <c r="AH303" s="42" t="str">
        <f t="shared" si="36"/>
        <v/>
      </c>
      <c r="AI303" s="42" t="str">
        <f t="shared" si="37"/>
        <v/>
      </c>
      <c r="AJ303" s="42" t="str">
        <f t="shared" si="38"/>
        <v/>
      </c>
      <c r="AK303" s="42" t="str">
        <f t="shared" si="39"/>
        <v/>
      </c>
      <c r="AO303" s="86">
        <f ca="1"/>
        <v>37943.958333333336</v>
      </c>
      <c r="AP303" s="87">
        <f ca="1"/>
        <v>1530.74</v>
      </c>
      <c r="AQ303" s="87">
        <f ca="1"/>
        <v>1530.55</v>
      </c>
      <c r="AR303" s="88">
        <f ca="1"/>
        <v>37943.958333333336</v>
      </c>
      <c r="AS303" s="87">
        <f ca="1"/>
        <v>355</v>
      </c>
      <c r="AT303" s="87">
        <f ca="1"/>
        <v>286.76</v>
      </c>
    </row>
    <row r="304" spans="13:46" x14ac:dyDescent="0.25">
      <c r="M304" s="42">
        <v>300</v>
      </c>
      <c r="N304" s="3" t="s">
        <v>360</v>
      </c>
      <c r="O304" s="49">
        <f t="shared" si="32"/>
        <v>37943.958333333336</v>
      </c>
      <c r="P304" s="42">
        <v>1530.74</v>
      </c>
      <c r="Q304" s="42">
        <v>355</v>
      </c>
      <c r="R304" s="42">
        <v>1530.55</v>
      </c>
      <c r="S304" s="42">
        <v>286.76</v>
      </c>
      <c r="T304" s="42"/>
      <c r="U304" s="42"/>
      <c r="V304" s="3"/>
      <c r="W304" s="3"/>
      <c r="X304" s="3"/>
      <c r="Y304" s="3"/>
      <c r="Z304" s="3"/>
      <c r="AA304" s="3"/>
      <c r="AB304" s="3"/>
      <c r="AE304" s="42">
        <f t="shared" si="33"/>
        <v>188733</v>
      </c>
      <c r="AF304" s="42">
        <f t="shared" si="34"/>
        <v>184270.28</v>
      </c>
      <c r="AG304" s="42" t="str">
        <f t="shared" si="35"/>
        <v/>
      </c>
      <c r="AH304" s="42" t="str">
        <f t="shared" si="36"/>
        <v/>
      </c>
      <c r="AI304" s="42" t="str">
        <f t="shared" si="37"/>
        <v/>
      </c>
      <c r="AJ304" s="42" t="str">
        <f t="shared" si="38"/>
        <v/>
      </c>
      <c r="AK304" s="42" t="str">
        <f t="shared" si="39"/>
        <v/>
      </c>
      <c r="AO304" s="86">
        <f ca="1"/>
        <v>37944</v>
      </c>
      <c r="AP304" s="87">
        <f ca="1"/>
        <v>1530.74</v>
      </c>
      <c r="AQ304" s="87">
        <f ca="1"/>
        <v>1530.56</v>
      </c>
      <c r="AR304" s="88">
        <f ca="1"/>
        <v>37944</v>
      </c>
      <c r="AS304" s="87">
        <f ca="1"/>
        <v>355</v>
      </c>
      <c r="AT304" s="87">
        <f ca="1"/>
        <v>290.06</v>
      </c>
    </row>
    <row r="305" spans="13:46" x14ac:dyDescent="0.25">
      <c r="M305" s="42">
        <v>301</v>
      </c>
      <c r="N305" s="3" t="s">
        <v>361</v>
      </c>
      <c r="O305" s="49">
        <f t="shared" si="32"/>
        <v>37944</v>
      </c>
      <c r="P305" s="42">
        <v>1530.74</v>
      </c>
      <c r="Q305" s="42">
        <v>355</v>
      </c>
      <c r="R305" s="42">
        <v>1530.56</v>
      </c>
      <c r="S305" s="42">
        <v>290.06</v>
      </c>
      <c r="T305" s="42"/>
      <c r="U305" s="42"/>
      <c r="V305" s="3"/>
      <c r="W305" s="3"/>
      <c r="X305" s="3"/>
      <c r="Y305" s="3"/>
      <c r="Z305" s="3"/>
      <c r="AA305" s="3"/>
      <c r="AB305" s="3"/>
      <c r="AE305" s="42">
        <f t="shared" si="33"/>
        <v>189088</v>
      </c>
      <c r="AF305" s="42">
        <f t="shared" si="34"/>
        <v>184560.34</v>
      </c>
      <c r="AG305" s="42" t="str">
        <f t="shared" si="35"/>
        <v/>
      </c>
      <c r="AH305" s="42" t="str">
        <f t="shared" si="36"/>
        <v/>
      </c>
      <c r="AI305" s="42" t="str">
        <f t="shared" si="37"/>
        <v/>
      </c>
      <c r="AJ305" s="42" t="str">
        <f t="shared" si="38"/>
        <v/>
      </c>
      <c r="AK305" s="42" t="str">
        <f t="shared" si="39"/>
        <v/>
      </c>
      <c r="AO305" s="86">
        <f ca="1"/>
        <v>37944.041666666664</v>
      </c>
      <c r="AP305" s="87">
        <f ca="1"/>
        <v>1530.73</v>
      </c>
      <c r="AQ305" s="87">
        <f ca="1"/>
        <v>1530.54</v>
      </c>
      <c r="AR305" s="88">
        <f ca="1"/>
        <v>37944.041666666664</v>
      </c>
      <c r="AS305" s="87">
        <f ca="1"/>
        <v>352</v>
      </c>
      <c r="AT305" s="87">
        <f ca="1"/>
        <v>283.32</v>
      </c>
    </row>
    <row r="306" spans="13:46" x14ac:dyDescent="0.25">
      <c r="M306" s="42">
        <v>302</v>
      </c>
      <c r="N306" s="3" t="s">
        <v>362</v>
      </c>
      <c r="O306" s="49">
        <f t="shared" si="32"/>
        <v>37944.041666666664</v>
      </c>
      <c r="P306" s="42">
        <v>1530.73</v>
      </c>
      <c r="Q306" s="42">
        <v>352</v>
      </c>
      <c r="R306" s="42">
        <v>1530.54</v>
      </c>
      <c r="S306" s="42">
        <v>283.32</v>
      </c>
      <c r="T306" s="42"/>
      <c r="U306" s="42"/>
      <c r="V306" s="3"/>
      <c r="W306" s="3"/>
      <c r="X306" s="3"/>
      <c r="Y306" s="3"/>
      <c r="Z306" s="3"/>
      <c r="AA306" s="3"/>
      <c r="AB306" s="3"/>
      <c r="AE306" s="42">
        <f t="shared" si="33"/>
        <v>189440</v>
      </c>
      <c r="AF306" s="42">
        <f t="shared" si="34"/>
        <v>184843.66</v>
      </c>
      <c r="AG306" s="42" t="str">
        <f t="shared" si="35"/>
        <v/>
      </c>
      <c r="AH306" s="42" t="str">
        <f t="shared" si="36"/>
        <v/>
      </c>
      <c r="AI306" s="42" t="str">
        <f t="shared" si="37"/>
        <v/>
      </c>
      <c r="AJ306" s="42" t="str">
        <f t="shared" si="38"/>
        <v/>
      </c>
      <c r="AK306" s="42" t="str">
        <f t="shared" si="39"/>
        <v/>
      </c>
      <c r="AO306" s="86">
        <f ca="1"/>
        <v>37944.083333333336</v>
      </c>
      <c r="AP306" s="87">
        <f ca="1"/>
        <v>1530.73</v>
      </c>
      <c r="AQ306" s="87">
        <f ca="1"/>
        <v>1530.54</v>
      </c>
      <c r="AR306" s="88">
        <f ca="1"/>
        <v>37944.083333333336</v>
      </c>
      <c r="AS306" s="87">
        <f ca="1"/>
        <v>352</v>
      </c>
      <c r="AT306" s="87">
        <f ca="1"/>
        <v>281.31</v>
      </c>
    </row>
    <row r="307" spans="13:46" x14ac:dyDescent="0.25">
      <c r="M307" s="42">
        <v>303</v>
      </c>
      <c r="N307" s="3" t="s">
        <v>363</v>
      </c>
      <c r="O307" s="49">
        <f t="shared" si="32"/>
        <v>37944.083333333336</v>
      </c>
      <c r="P307" s="42">
        <v>1530.73</v>
      </c>
      <c r="Q307" s="42">
        <v>352</v>
      </c>
      <c r="R307" s="42">
        <v>1530.54</v>
      </c>
      <c r="S307" s="42">
        <v>281.31</v>
      </c>
      <c r="T307" s="42"/>
      <c r="U307" s="42"/>
      <c r="V307" s="3"/>
      <c r="W307" s="3"/>
      <c r="X307" s="3"/>
      <c r="Y307" s="3"/>
      <c r="Z307" s="3"/>
      <c r="AA307" s="3"/>
      <c r="AB307" s="3"/>
      <c r="AE307" s="42">
        <f t="shared" si="33"/>
        <v>189792</v>
      </c>
      <c r="AF307" s="42">
        <f t="shared" si="34"/>
        <v>185124.97</v>
      </c>
      <c r="AG307" s="42" t="str">
        <f t="shared" si="35"/>
        <v/>
      </c>
      <c r="AH307" s="42" t="str">
        <f t="shared" si="36"/>
        <v/>
      </c>
      <c r="AI307" s="42" t="str">
        <f t="shared" si="37"/>
        <v/>
      </c>
      <c r="AJ307" s="42" t="str">
        <f t="shared" si="38"/>
        <v/>
      </c>
      <c r="AK307" s="42" t="str">
        <f t="shared" si="39"/>
        <v/>
      </c>
      <c r="AO307" s="86">
        <f ca="1"/>
        <v>37944.125</v>
      </c>
      <c r="AP307" s="87">
        <f ca="1"/>
        <v>1530.73</v>
      </c>
      <c r="AQ307" s="87">
        <f ca="1"/>
        <v>1530.53</v>
      </c>
      <c r="AR307" s="88">
        <f ca="1"/>
        <v>37944.125</v>
      </c>
      <c r="AS307" s="87">
        <f ca="1"/>
        <v>352</v>
      </c>
      <c r="AT307" s="87">
        <f ca="1"/>
        <v>279.62</v>
      </c>
    </row>
    <row r="308" spans="13:46" x14ac:dyDescent="0.25">
      <c r="M308" s="42">
        <v>304</v>
      </c>
      <c r="N308" s="3" t="s">
        <v>364</v>
      </c>
      <c r="O308" s="49">
        <f t="shared" si="32"/>
        <v>37944.125</v>
      </c>
      <c r="P308" s="42">
        <v>1530.73</v>
      </c>
      <c r="Q308" s="42">
        <v>352</v>
      </c>
      <c r="R308" s="42">
        <v>1530.53</v>
      </c>
      <c r="S308" s="42">
        <v>279.62</v>
      </c>
      <c r="T308" s="42"/>
      <c r="U308" s="42"/>
      <c r="V308" s="3"/>
      <c r="W308" s="3"/>
      <c r="X308" s="3"/>
      <c r="Y308" s="3"/>
      <c r="Z308" s="3"/>
      <c r="AA308" s="3"/>
      <c r="AB308" s="3"/>
      <c r="AE308" s="42">
        <f t="shared" si="33"/>
        <v>190144</v>
      </c>
      <c r="AF308" s="42">
        <f t="shared" si="34"/>
        <v>185404.59</v>
      </c>
      <c r="AG308" s="42" t="str">
        <f t="shared" si="35"/>
        <v/>
      </c>
      <c r="AH308" s="42" t="str">
        <f t="shared" si="36"/>
        <v/>
      </c>
      <c r="AI308" s="42" t="str">
        <f t="shared" si="37"/>
        <v/>
      </c>
      <c r="AJ308" s="42" t="str">
        <f t="shared" si="38"/>
        <v/>
      </c>
      <c r="AK308" s="42" t="str">
        <f t="shared" si="39"/>
        <v/>
      </c>
      <c r="AO308" s="86">
        <f ca="1"/>
        <v>37944.166666666664</v>
      </c>
      <c r="AP308" s="87">
        <f ca="1"/>
        <v>1530.73</v>
      </c>
      <c r="AQ308" s="87">
        <f ca="1"/>
        <v>1530.53</v>
      </c>
      <c r="AR308" s="88">
        <f ca="1"/>
        <v>37944.166666666664</v>
      </c>
      <c r="AS308" s="87">
        <f ca="1"/>
        <v>352</v>
      </c>
      <c r="AT308" s="87">
        <f ca="1"/>
        <v>278.04000000000002</v>
      </c>
    </row>
    <row r="309" spans="13:46" x14ac:dyDescent="0.25">
      <c r="M309" s="42">
        <v>305</v>
      </c>
      <c r="N309" s="3" t="s">
        <v>365</v>
      </c>
      <c r="O309" s="49">
        <f t="shared" si="32"/>
        <v>37944.166666666664</v>
      </c>
      <c r="P309" s="42">
        <v>1530.73</v>
      </c>
      <c r="Q309" s="42">
        <v>352</v>
      </c>
      <c r="R309" s="42">
        <v>1530.53</v>
      </c>
      <c r="S309" s="42">
        <v>278.04000000000002</v>
      </c>
      <c r="T309" s="42"/>
      <c r="U309" s="42"/>
      <c r="V309" s="3"/>
      <c r="W309" s="3"/>
      <c r="X309" s="3"/>
      <c r="Y309" s="3"/>
      <c r="Z309" s="3"/>
      <c r="AA309" s="3"/>
      <c r="AB309" s="3"/>
      <c r="AE309" s="42">
        <f t="shared" si="33"/>
        <v>190496</v>
      </c>
      <c r="AF309" s="42">
        <f t="shared" si="34"/>
        <v>185682.63</v>
      </c>
      <c r="AG309" s="42" t="str">
        <f t="shared" si="35"/>
        <v/>
      </c>
      <c r="AH309" s="42" t="str">
        <f t="shared" si="36"/>
        <v/>
      </c>
      <c r="AI309" s="42" t="str">
        <f t="shared" si="37"/>
        <v/>
      </c>
      <c r="AJ309" s="42" t="str">
        <f t="shared" si="38"/>
        <v/>
      </c>
      <c r="AK309" s="42" t="str">
        <f t="shared" si="39"/>
        <v/>
      </c>
      <c r="AO309" s="86">
        <f ca="1"/>
        <v>37944.208333333336</v>
      </c>
      <c r="AP309" s="87">
        <f ca="1"/>
        <v>1530.74</v>
      </c>
      <c r="AQ309" s="87">
        <f ca="1"/>
        <v>1530.55</v>
      </c>
      <c r="AR309" s="88">
        <f ca="1"/>
        <v>37944.208333333336</v>
      </c>
      <c r="AS309" s="87">
        <f ca="1"/>
        <v>355</v>
      </c>
      <c r="AT309" s="87">
        <f ca="1"/>
        <v>284.73</v>
      </c>
    </row>
    <row r="310" spans="13:46" x14ac:dyDescent="0.25">
      <c r="M310" s="42">
        <v>306</v>
      </c>
      <c r="N310" s="3" t="s">
        <v>366</v>
      </c>
      <c r="O310" s="49">
        <f t="shared" si="32"/>
        <v>37944.208333333336</v>
      </c>
      <c r="P310" s="42">
        <v>1530.74</v>
      </c>
      <c r="Q310" s="42">
        <v>355</v>
      </c>
      <c r="R310" s="42">
        <v>1530.55</v>
      </c>
      <c r="S310" s="42">
        <v>284.73</v>
      </c>
      <c r="T310" s="42"/>
      <c r="U310" s="42"/>
      <c r="V310" s="3"/>
      <c r="W310" s="3"/>
      <c r="X310" s="3"/>
      <c r="Y310" s="3"/>
      <c r="Z310" s="3"/>
      <c r="AA310" s="3"/>
      <c r="AB310" s="3"/>
      <c r="AE310" s="42">
        <f t="shared" si="33"/>
        <v>190851</v>
      </c>
      <c r="AF310" s="42">
        <f t="shared" si="34"/>
        <v>185967.36000000002</v>
      </c>
      <c r="AG310" s="42" t="str">
        <f t="shared" si="35"/>
        <v/>
      </c>
      <c r="AH310" s="42" t="str">
        <f t="shared" si="36"/>
        <v/>
      </c>
      <c r="AI310" s="42" t="str">
        <f t="shared" si="37"/>
        <v/>
      </c>
      <c r="AJ310" s="42" t="str">
        <f t="shared" si="38"/>
        <v/>
      </c>
      <c r="AK310" s="42" t="str">
        <f t="shared" si="39"/>
        <v/>
      </c>
      <c r="AO310" s="86">
        <f ca="1"/>
        <v>37944.25</v>
      </c>
      <c r="AP310" s="87">
        <f ca="1"/>
        <v>1530.77</v>
      </c>
      <c r="AQ310" s="87">
        <f ca="1"/>
        <v>1530.66</v>
      </c>
      <c r="AR310" s="88">
        <f ca="1"/>
        <v>37944.25</v>
      </c>
      <c r="AS310" s="87">
        <f ca="1"/>
        <v>364</v>
      </c>
      <c r="AT310" s="87">
        <f ca="1"/>
        <v>325.76</v>
      </c>
    </row>
    <row r="311" spans="13:46" x14ac:dyDescent="0.25">
      <c r="M311" s="42">
        <v>307</v>
      </c>
      <c r="N311" s="3" t="s">
        <v>367</v>
      </c>
      <c r="O311" s="49">
        <f t="shared" si="32"/>
        <v>37944.25</v>
      </c>
      <c r="P311" s="42">
        <v>1530.77</v>
      </c>
      <c r="Q311" s="42">
        <v>364</v>
      </c>
      <c r="R311" s="42">
        <v>1530.66</v>
      </c>
      <c r="S311" s="42">
        <v>325.76</v>
      </c>
      <c r="T311" s="42"/>
      <c r="U311" s="42"/>
      <c r="V311" s="3"/>
      <c r="W311" s="3"/>
      <c r="X311" s="3"/>
      <c r="Y311" s="3"/>
      <c r="Z311" s="3"/>
      <c r="AA311" s="3"/>
      <c r="AB311" s="3"/>
      <c r="AE311" s="42">
        <f t="shared" si="33"/>
        <v>191215</v>
      </c>
      <c r="AF311" s="42">
        <f t="shared" si="34"/>
        <v>186293.12000000002</v>
      </c>
      <c r="AG311" s="42" t="str">
        <f t="shared" si="35"/>
        <v/>
      </c>
      <c r="AH311" s="42" t="str">
        <f t="shared" si="36"/>
        <v/>
      </c>
      <c r="AI311" s="42" t="str">
        <f t="shared" si="37"/>
        <v/>
      </c>
      <c r="AJ311" s="42" t="str">
        <f t="shared" si="38"/>
        <v/>
      </c>
      <c r="AK311" s="42" t="str">
        <f t="shared" si="39"/>
        <v/>
      </c>
      <c r="AO311" s="86">
        <f ca="1"/>
        <v>37944.291666666664</v>
      </c>
      <c r="AP311" s="87">
        <f ca="1"/>
        <v>1530.82</v>
      </c>
      <c r="AQ311" s="87">
        <f ca="1"/>
        <v>1530.81</v>
      </c>
      <c r="AR311" s="88">
        <f ca="1"/>
        <v>37944.291666666664</v>
      </c>
      <c r="AS311" s="87">
        <f ca="1"/>
        <v>379</v>
      </c>
      <c r="AT311" s="87">
        <f ca="1"/>
        <v>394.65</v>
      </c>
    </row>
    <row r="312" spans="13:46" x14ac:dyDescent="0.25">
      <c r="M312" s="42">
        <v>308</v>
      </c>
      <c r="N312" s="3" t="s">
        <v>368</v>
      </c>
      <c r="O312" s="49">
        <f t="shared" si="32"/>
        <v>37944.291666666664</v>
      </c>
      <c r="P312" s="42">
        <v>1530.82</v>
      </c>
      <c r="Q312" s="42">
        <v>379</v>
      </c>
      <c r="R312" s="42">
        <v>1530.81</v>
      </c>
      <c r="S312" s="42">
        <v>394.65</v>
      </c>
      <c r="T312" s="42"/>
      <c r="U312" s="42"/>
      <c r="V312" s="3"/>
      <c r="W312" s="3"/>
      <c r="X312" s="3"/>
      <c r="Y312" s="3"/>
      <c r="Z312" s="3"/>
      <c r="AA312" s="3"/>
      <c r="AB312" s="3"/>
      <c r="AE312" s="42">
        <f t="shared" si="33"/>
        <v>191594</v>
      </c>
      <c r="AF312" s="42">
        <f t="shared" si="34"/>
        <v>186687.77000000002</v>
      </c>
      <c r="AG312" s="42" t="str">
        <f t="shared" si="35"/>
        <v/>
      </c>
      <c r="AH312" s="42" t="str">
        <f t="shared" si="36"/>
        <v/>
      </c>
      <c r="AI312" s="42" t="str">
        <f t="shared" si="37"/>
        <v/>
      </c>
      <c r="AJ312" s="42" t="str">
        <f t="shared" si="38"/>
        <v/>
      </c>
      <c r="AK312" s="42" t="str">
        <f t="shared" si="39"/>
        <v/>
      </c>
      <c r="AO312" s="86">
        <f ca="1"/>
        <v>37944.333333333336</v>
      </c>
      <c r="AP312" s="87">
        <f ca="1"/>
        <v>1530.9</v>
      </c>
      <c r="AQ312" s="87">
        <f ca="1"/>
        <v>1531.14</v>
      </c>
      <c r="AR312" s="88">
        <f ca="1"/>
        <v>37944.333333333336</v>
      </c>
      <c r="AS312" s="87">
        <f ca="1"/>
        <v>403</v>
      </c>
      <c r="AT312" s="87">
        <f ca="1"/>
        <v>528.04999999999995</v>
      </c>
    </row>
    <row r="313" spans="13:46" x14ac:dyDescent="0.25">
      <c r="M313" s="42">
        <v>309</v>
      </c>
      <c r="N313" s="3" t="s">
        <v>369</v>
      </c>
      <c r="O313" s="49">
        <f t="shared" si="32"/>
        <v>37944.333333333336</v>
      </c>
      <c r="P313" s="42">
        <v>1530.9</v>
      </c>
      <c r="Q313" s="42">
        <v>403</v>
      </c>
      <c r="R313" s="42">
        <v>1531.14</v>
      </c>
      <c r="S313" s="42">
        <v>528.04999999999995</v>
      </c>
      <c r="T313" s="42"/>
      <c r="U313" s="42"/>
      <c r="V313" s="3"/>
      <c r="W313" s="3"/>
      <c r="X313" s="3"/>
      <c r="Y313" s="3"/>
      <c r="Z313" s="3"/>
      <c r="AA313" s="3"/>
      <c r="AB313" s="3"/>
      <c r="AE313" s="42">
        <f t="shared" si="33"/>
        <v>191997</v>
      </c>
      <c r="AF313" s="42">
        <f t="shared" si="34"/>
        <v>187215.82</v>
      </c>
      <c r="AG313" s="42" t="str">
        <f t="shared" si="35"/>
        <v/>
      </c>
      <c r="AH313" s="42" t="str">
        <f t="shared" si="36"/>
        <v/>
      </c>
      <c r="AI313" s="42" t="str">
        <f t="shared" si="37"/>
        <v/>
      </c>
      <c r="AJ313" s="42" t="str">
        <f t="shared" si="38"/>
        <v/>
      </c>
      <c r="AK313" s="42" t="str">
        <f t="shared" si="39"/>
        <v/>
      </c>
      <c r="AO313" s="86">
        <f ca="1"/>
        <v>37944.375</v>
      </c>
      <c r="AP313" s="87">
        <f ca="1"/>
        <v>1531.1</v>
      </c>
      <c r="AQ313" s="87">
        <f ca="1"/>
        <v>1531.64</v>
      </c>
      <c r="AR313" s="88">
        <f ca="1"/>
        <v>37944.375</v>
      </c>
      <c r="AS313" s="87">
        <f ca="1"/>
        <v>470</v>
      </c>
      <c r="AT313" s="87">
        <f ca="1"/>
        <v>783.76</v>
      </c>
    </row>
    <row r="314" spans="13:46" x14ac:dyDescent="0.25">
      <c r="M314" s="42">
        <v>310</v>
      </c>
      <c r="N314" s="3" t="s">
        <v>370</v>
      </c>
      <c r="O314" s="49">
        <f t="shared" si="32"/>
        <v>37944.375</v>
      </c>
      <c r="P314" s="42">
        <v>1531.1</v>
      </c>
      <c r="Q314" s="42">
        <v>470</v>
      </c>
      <c r="R314" s="42">
        <v>1531.64</v>
      </c>
      <c r="S314" s="42">
        <v>783.76</v>
      </c>
      <c r="T314" s="42"/>
      <c r="U314" s="42"/>
      <c r="V314" s="3"/>
      <c r="W314" s="3"/>
      <c r="X314" s="3"/>
      <c r="Y314" s="3"/>
      <c r="Z314" s="3"/>
      <c r="AA314" s="3"/>
      <c r="AB314" s="3"/>
      <c r="AE314" s="42">
        <f t="shared" si="33"/>
        <v>192467</v>
      </c>
      <c r="AF314" s="42">
        <f t="shared" si="34"/>
        <v>187999.58000000002</v>
      </c>
      <c r="AG314" s="42" t="str">
        <f t="shared" si="35"/>
        <v/>
      </c>
      <c r="AH314" s="42" t="str">
        <f t="shared" si="36"/>
        <v/>
      </c>
      <c r="AI314" s="42" t="str">
        <f t="shared" si="37"/>
        <v/>
      </c>
      <c r="AJ314" s="42" t="str">
        <f t="shared" si="38"/>
        <v/>
      </c>
      <c r="AK314" s="42" t="str">
        <f t="shared" si="39"/>
        <v/>
      </c>
      <c r="AO314" s="86">
        <f ca="1"/>
        <v>37944.416666666664</v>
      </c>
      <c r="AP314" s="87">
        <f ca="1"/>
        <v>1531.58</v>
      </c>
      <c r="AQ314" s="87">
        <f ca="1"/>
        <v>1532.18</v>
      </c>
      <c r="AR314" s="88">
        <f ca="1"/>
        <v>37944.416666666664</v>
      </c>
      <c r="AS314" s="87">
        <f ca="1"/>
        <v>654</v>
      </c>
      <c r="AT314" s="87">
        <f ca="1"/>
        <v>1089</v>
      </c>
    </row>
    <row r="315" spans="13:46" x14ac:dyDescent="0.25">
      <c r="M315" s="42">
        <v>311</v>
      </c>
      <c r="N315" s="3" t="s">
        <v>371</v>
      </c>
      <c r="O315" s="49">
        <f t="shared" si="32"/>
        <v>37944.416666666664</v>
      </c>
      <c r="P315" s="42">
        <v>1531.58</v>
      </c>
      <c r="Q315" s="42">
        <v>654</v>
      </c>
      <c r="R315" s="42">
        <v>1532.18</v>
      </c>
      <c r="S315" s="42">
        <v>1089</v>
      </c>
      <c r="T315" s="42"/>
      <c r="U315" s="42"/>
      <c r="V315" s="3"/>
      <c r="W315" s="3"/>
      <c r="X315" s="3"/>
      <c r="Y315" s="3"/>
      <c r="Z315" s="3"/>
      <c r="AA315" s="3"/>
      <c r="AB315" s="3"/>
      <c r="AE315" s="42">
        <f t="shared" si="33"/>
        <v>193121</v>
      </c>
      <c r="AF315" s="42">
        <f t="shared" si="34"/>
        <v>189088.58000000002</v>
      </c>
      <c r="AG315" s="42" t="str">
        <f t="shared" si="35"/>
        <v/>
      </c>
      <c r="AH315" s="42" t="str">
        <f t="shared" si="36"/>
        <v/>
      </c>
      <c r="AI315" s="42" t="str">
        <f t="shared" si="37"/>
        <v/>
      </c>
      <c r="AJ315" s="42" t="str">
        <f t="shared" si="38"/>
        <v/>
      </c>
      <c r="AK315" s="42" t="str">
        <f t="shared" si="39"/>
        <v/>
      </c>
      <c r="AO315" s="86">
        <f ca="1"/>
        <v>37944.458333333336</v>
      </c>
      <c r="AP315" s="87">
        <f ca="1"/>
        <v>1532.66</v>
      </c>
      <c r="AQ315" s="87">
        <f ca="1"/>
        <v>1533.47</v>
      </c>
      <c r="AR315" s="88">
        <f ca="1"/>
        <v>37944.458333333336</v>
      </c>
      <c r="AS315" s="87">
        <f ca="1"/>
        <v>1180</v>
      </c>
      <c r="AT315" s="87">
        <f ca="1"/>
        <v>2005.63</v>
      </c>
    </row>
    <row r="316" spans="13:46" x14ac:dyDescent="0.25">
      <c r="M316" s="42">
        <v>312</v>
      </c>
      <c r="N316" s="3" t="s">
        <v>372</v>
      </c>
      <c r="O316" s="49">
        <f t="shared" si="32"/>
        <v>37944.458333333336</v>
      </c>
      <c r="P316" s="42">
        <v>1532.66</v>
      </c>
      <c r="Q316" s="42">
        <v>1180</v>
      </c>
      <c r="R316" s="42">
        <v>1533.47</v>
      </c>
      <c r="S316" s="42">
        <v>2005.63</v>
      </c>
      <c r="T316" s="42"/>
      <c r="U316" s="42"/>
      <c r="V316" s="3"/>
      <c r="W316" s="3"/>
      <c r="X316" s="3"/>
      <c r="Y316" s="3"/>
      <c r="Z316" s="3"/>
      <c r="AA316" s="3"/>
      <c r="AB316" s="3"/>
      <c r="AE316" s="42">
        <f t="shared" si="33"/>
        <v>194301</v>
      </c>
      <c r="AF316" s="42">
        <f t="shared" si="34"/>
        <v>191094.21000000002</v>
      </c>
      <c r="AG316" s="42" t="str">
        <f t="shared" si="35"/>
        <v/>
      </c>
      <c r="AH316" s="42" t="str">
        <f t="shared" si="36"/>
        <v/>
      </c>
      <c r="AI316" s="42" t="str">
        <f t="shared" si="37"/>
        <v/>
      </c>
      <c r="AJ316" s="42" t="str">
        <f t="shared" si="38"/>
        <v/>
      </c>
      <c r="AK316" s="42" t="str">
        <f t="shared" si="39"/>
        <v/>
      </c>
      <c r="AO316" s="86">
        <f ca="1"/>
        <v>37944.5</v>
      </c>
      <c r="AP316" s="87">
        <f ca="1"/>
        <v>1534.47</v>
      </c>
      <c r="AQ316" s="87">
        <f ca="1"/>
        <v>1534.58</v>
      </c>
      <c r="AR316" s="88">
        <f ca="1"/>
        <v>37944.5</v>
      </c>
      <c r="AS316" s="87">
        <f ca="1"/>
        <v>2640</v>
      </c>
      <c r="AT316" s="87">
        <f ca="1"/>
        <v>3056.95</v>
      </c>
    </row>
    <row r="317" spans="13:46" x14ac:dyDescent="0.25">
      <c r="M317" s="42">
        <v>313</v>
      </c>
      <c r="N317" s="3" t="s">
        <v>373</v>
      </c>
      <c r="O317" s="49">
        <f t="shared" si="32"/>
        <v>37944.5</v>
      </c>
      <c r="P317" s="42">
        <v>1534.47</v>
      </c>
      <c r="Q317" s="42">
        <v>2640</v>
      </c>
      <c r="R317" s="42">
        <v>1534.58</v>
      </c>
      <c r="S317" s="42">
        <v>3056.95</v>
      </c>
      <c r="T317" s="42"/>
      <c r="U317" s="42"/>
      <c r="V317" s="3"/>
      <c r="W317" s="3"/>
      <c r="X317" s="3"/>
      <c r="Y317" s="3"/>
      <c r="Z317" s="3"/>
      <c r="AA317" s="3"/>
      <c r="AB317" s="3"/>
      <c r="AE317" s="42">
        <f t="shared" si="33"/>
        <v>196941</v>
      </c>
      <c r="AF317" s="42">
        <f t="shared" si="34"/>
        <v>194151.16000000003</v>
      </c>
      <c r="AG317" s="42" t="str">
        <f t="shared" si="35"/>
        <v/>
      </c>
      <c r="AH317" s="42" t="str">
        <f t="shared" si="36"/>
        <v/>
      </c>
      <c r="AI317" s="42" t="str">
        <f t="shared" si="37"/>
        <v/>
      </c>
      <c r="AJ317" s="42" t="str">
        <f t="shared" si="38"/>
        <v/>
      </c>
      <c r="AK317" s="42" t="str">
        <f t="shared" si="39"/>
        <v/>
      </c>
      <c r="AO317" s="86">
        <f ca="1"/>
        <v>37944.541666666664</v>
      </c>
      <c r="AP317" s="87">
        <f ca="1"/>
        <v>1536.02</v>
      </c>
      <c r="AQ317" s="87">
        <f ca="1"/>
        <v>1536.72</v>
      </c>
      <c r="AR317" s="88">
        <f ca="1"/>
        <v>37944.541666666664</v>
      </c>
      <c r="AS317" s="87">
        <f ca="1"/>
        <v>4460</v>
      </c>
      <c r="AT317" s="87">
        <f ca="1"/>
        <v>5893.74</v>
      </c>
    </row>
    <row r="318" spans="13:46" x14ac:dyDescent="0.25">
      <c r="M318" s="42">
        <v>314</v>
      </c>
      <c r="N318" s="3" t="s">
        <v>374</v>
      </c>
      <c r="O318" s="49">
        <f t="shared" si="32"/>
        <v>37944.541666666664</v>
      </c>
      <c r="P318" s="42">
        <v>1536.02</v>
      </c>
      <c r="Q318" s="42">
        <v>4460</v>
      </c>
      <c r="R318" s="42">
        <v>1536.72</v>
      </c>
      <c r="S318" s="42">
        <v>5893.74</v>
      </c>
      <c r="T318" s="42"/>
      <c r="U318" s="42"/>
      <c r="V318" s="3"/>
      <c r="W318" s="3"/>
      <c r="X318" s="3"/>
      <c r="Y318" s="3"/>
      <c r="Z318" s="3"/>
      <c r="AA318" s="3"/>
      <c r="AB318" s="3"/>
      <c r="AE318" s="42">
        <f t="shared" si="33"/>
        <v>201401</v>
      </c>
      <c r="AF318" s="42">
        <f t="shared" si="34"/>
        <v>200044.90000000002</v>
      </c>
      <c r="AG318" s="42" t="str">
        <f t="shared" si="35"/>
        <v/>
      </c>
      <c r="AH318" s="42" t="str">
        <f t="shared" si="36"/>
        <v/>
      </c>
      <c r="AI318" s="42" t="str">
        <f t="shared" si="37"/>
        <v/>
      </c>
      <c r="AJ318" s="42" t="str">
        <f t="shared" si="38"/>
        <v/>
      </c>
      <c r="AK318" s="42" t="str">
        <f t="shared" si="39"/>
        <v/>
      </c>
      <c r="AO318" s="86">
        <f ca="1"/>
        <v>37944.583333333336</v>
      </c>
      <c r="AP318" s="87">
        <f ca="1"/>
        <v>1538.04</v>
      </c>
      <c r="AQ318" s="87">
        <f ca="1"/>
        <v>1540.06</v>
      </c>
      <c r="AR318" s="88">
        <f ca="1"/>
        <v>37944.583333333336</v>
      </c>
      <c r="AS318" s="87">
        <f ca="1"/>
        <v>8340</v>
      </c>
      <c r="AT318" s="87">
        <f ca="1"/>
        <v>11596.07</v>
      </c>
    </row>
    <row r="319" spans="13:46" x14ac:dyDescent="0.25">
      <c r="M319" s="42">
        <v>315</v>
      </c>
      <c r="N319" s="3" t="s">
        <v>375</v>
      </c>
      <c r="O319" s="49">
        <f t="shared" si="32"/>
        <v>37944.583333333336</v>
      </c>
      <c r="P319" s="42">
        <v>1538.04</v>
      </c>
      <c r="Q319" s="42">
        <v>8340</v>
      </c>
      <c r="R319" s="42">
        <v>1540.06</v>
      </c>
      <c r="S319" s="42">
        <v>11596.07</v>
      </c>
      <c r="T319" s="42"/>
      <c r="U319" s="42"/>
      <c r="V319" s="3"/>
      <c r="W319" s="3"/>
      <c r="X319" s="3"/>
      <c r="Y319" s="3"/>
      <c r="Z319" s="3"/>
      <c r="AA319" s="3"/>
      <c r="AB319" s="3"/>
      <c r="AE319" s="42">
        <f t="shared" si="33"/>
        <v>209741</v>
      </c>
      <c r="AF319" s="42">
        <f t="shared" si="34"/>
        <v>211640.97000000003</v>
      </c>
      <c r="AG319" s="42" t="str">
        <f t="shared" si="35"/>
        <v/>
      </c>
      <c r="AH319" s="42" t="str">
        <f t="shared" si="36"/>
        <v/>
      </c>
      <c r="AI319" s="42" t="str">
        <f t="shared" si="37"/>
        <v/>
      </c>
      <c r="AJ319" s="42" t="str">
        <f t="shared" si="38"/>
        <v/>
      </c>
      <c r="AK319" s="42" t="str">
        <f t="shared" si="39"/>
        <v/>
      </c>
      <c r="AO319" s="86">
        <f ca="1"/>
        <v>37944.625</v>
      </c>
      <c r="AP319" s="87">
        <f ca="1"/>
        <v>1540.39</v>
      </c>
      <c r="AQ319" s="87">
        <f ca="1"/>
        <v>1541.61</v>
      </c>
      <c r="AR319" s="88">
        <f ca="1"/>
        <v>37944.625</v>
      </c>
      <c r="AS319" s="87">
        <f ca="1"/>
        <v>13400</v>
      </c>
      <c r="AT319" s="87">
        <f ca="1"/>
        <v>15788.38</v>
      </c>
    </row>
    <row r="320" spans="13:46" x14ac:dyDescent="0.25">
      <c r="M320" s="42">
        <v>316</v>
      </c>
      <c r="N320" s="3" t="s">
        <v>376</v>
      </c>
      <c r="O320" s="49">
        <f t="shared" si="32"/>
        <v>37944.625</v>
      </c>
      <c r="P320" s="42">
        <v>1540.39</v>
      </c>
      <c r="Q320" s="42">
        <v>13400</v>
      </c>
      <c r="R320" s="42">
        <v>1541.61</v>
      </c>
      <c r="S320" s="42">
        <v>15788.38</v>
      </c>
      <c r="T320" s="42"/>
      <c r="U320" s="42"/>
      <c r="V320" s="3"/>
      <c r="W320" s="3"/>
      <c r="X320" s="3"/>
      <c r="Y320" s="3"/>
      <c r="Z320" s="3"/>
      <c r="AA320" s="3"/>
      <c r="AB320" s="3"/>
      <c r="AE320" s="42">
        <f t="shared" si="33"/>
        <v>223141</v>
      </c>
      <c r="AF320" s="42">
        <f t="shared" si="34"/>
        <v>227429.35000000003</v>
      </c>
      <c r="AG320" s="42" t="str">
        <f t="shared" si="35"/>
        <v/>
      </c>
      <c r="AH320" s="42" t="str">
        <f t="shared" si="36"/>
        <v/>
      </c>
      <c r="AI320" s="42" t="str">
        <f t="shared" si="37"/>
        <v/>
      </c>
      <c r="AJ320" s="42" t="str">
        <f t="shared" si="38"/>
        <v/>
      </c>
      <c r="AK320" s="42" t="str">
        <f t="shared" si="39"/>
        <v/>
      </c>
      <c r="AO320" s="86">
        <f ca="1"/>
        <v>37944.666666666664</v>
      </c>
      <c r="AP320" s="87">
        <f ca="1"/>
        <v>1541.99</v>
      </c>
      <c r="AQ320" s="87">
        <f ca="1"/>
        <v>1543.27</v>
      </c>
      <c r="AR320" s="88">
        <f ca="1"/>
        <v>37944.666666666664</v>
      </c>
      <c r="AS320" s="87">
        <f ca="1"/>
        <v>17500</v>
      </c>
      <c r="AT320" s="87">
        <f ca="1"/>
        <v>20101.54</v>
      </c>
    </row>
    <row r="321" spans="13:46" x14ac:dyDescent="0.25">
      <c r="M321" s="42">
        <v>317</v>
      </c>
      <c r="N321" s="3" t="s">
        <v>377</v>
      </c>
      <c r="O321" s="49">
        <f t="shared" si="32"/>
        <v>37944.666666666664</v>
      </c>
      <c r="P321" s="42">
        <v>1541.99</v>
      </c>
      <c r="Q321" s="42">
        <v>17500</v>
      </c>
      <c r="R321" s="42">
        <v>1543.27</v>
      </c>
      <c r="S321" s="42">
        <v>20101.54</v>
      </c>
      <c r="T321" s="42"/>
      <c r="U321" s="42"/>
      <c r="V321" s="3"/>
      <c r="W321" s="3"/>
      <c r="X321" s="3"/>
      <c r="Y321" s="3"/>
      <c r="Z321" s="3"/>
      <c r="AA321" s="3"/>
      <c r="AB321" s="3"/>
      <c r="AE321" s="42">
        <f t="shared" si="33"/>
        <v>240641</v>
      </c>
      <c r="AF321" s="42">
        <f t="shared" si="34"/>
        <v>247530.89000000004</v>
      </c>
      <c r="AG321" s="42" t="str">
        <f t="shared" si="35"/>
        <v/>
      </c>
      <c r="AH321" s="42" t="str">
        <f t="shared" si="36"/>
        <v/>
      </c>
      <c r="AI321" s="42" t="str">
        <f t="shared" si="37"/>
        <v/>
      </c>
      <c r="AJ321" s="42" t="str">
        <f t="shared" si="38"/>
        <v/>
      </c>
      <c r="AK321" s="42" t="str">
        <f t="shared" si="39"/>
        <v/>
      </c>
      <c r="AO321" s="86">
        <f ca="1"/>
        <v>37944.708333333336</v>
      </c>
      <c r="AP321" s="87">
        <f ca="1"/>
        <v>1542.45</v>
      </c>
      <c r="AQ321" s="87">
        <f ca="1"/>
        <v>1543.45</v>
      </c>
      <c r="AR321" s="88">
        <f ca="1"/>
        <v>37944.708333333336</v>
      </c>
      <c r="AS321" s="87">
        <f ca="1"/>
        <v>18600</v>
      </c>
      <c r="AT321" s="87">
        <f ca="1"/>
        <v>21086.49</v>
      </c>
    </row>
    <row r="322" spans="13:46" x14ac:dyDescent="0.25">
      <c r="M322" s="42">
        <v>318</v>
      </c>
      <c r="N322" s="3" t="s">
        <v>378</v>
      </c>
      <c r="O322" s="49">
        <f t="shared" si="32"/>
        <v>37944.708333333336</v>
      </c>
      <c r="P322" s="42">
        <v>1542.45</v>
      </c>
      <c r="Q322" s="42">
        <v>18600</v>
      </c>
      <c r="R322" s="42">
        <v>1543.45</v>
      </c>
      <c r="S322" s="42">
        <v>21086.49</v>
      </c>
      <c r="T322" s="42"/>
      <c r="U322" s="42"/>
      <c r="V322" s="3"/>
      <c r="W322" s="3"/>
      <c r="X322" s="3"/>
      <c r="Y322" s="3"/>
      <c r="Z322" s="3"/>
      <c r="AA322" s="3"/>
      <c r="AB322" s="3"/>
      <c r="AE322" s="42">
        <f t="shared" si="33"/>
        <v>259241</v>
      </c>
      <c r="AF322" s="42">
        <f t="shared" si="34"/>
        <v>268617.38000000006</v>
      </c>
      <c r="AG322" s="42" t="str">
        <f t="shared" si="35"/>
        <v/>
      </c>
      <c r="AH322" s="42" t="str">
        <f t="shared" si="36"/>
        <v/>
      </c>
      <c r="AI322" s="42" t="str">
        <f t="shared" si="37"/>
        <v/>
      </c>
      <c r="AJ322" s="42" t="str">
        <f t="shared" si="38"/>
        <v/>
      </c>
      <c r="AK322" s="42" t="str">
        <f t="shared" si="39"/>
        <v/>
      </c>
      <c r="AO322" s="86">
        <f ca="1"/>
        <v>37944.75</v>
      </c>
      <c r="AP322" s="87">
        <f ca="1"/>
        <v>1542.48</v>
      </c>
      <c r="AQ322" s="87">
        <f ca="1"/>
        <v>1542.66</v>
      </c>
      <c r="AR322" s="88">
        <f ca="1"/>
        <v>37944.75</v>
      </c>
      <c r="AS322" s="87">
        <f ca="1"/>
        <v>18600</v>
      </c>
      <c r="AT322" s="87">
        <f ca="1"/>
        <v>18671.41</v>
      </c>
    </row>
    <row r="323" spans="13:46" x14ac:dyDescent="0.25">
      <c r="M323" s="42">
        <v>319</v>
      </c>
      <c r="N323" s="3" t="s">
        <v>379</v>
      </c>
      <c r="O323" s="49">
        <f t="shared" si="32"/>
        <v>37944.75</v>
      </c>
      <c r="P323" s="42">
        <v>1542.48</v>
      </c>
      <c r="Q323" s="42">
        <v>18600</v>
      </c>
      <c r="R323" s="42">
        <v>1542.66</v>
      </c>
      <c r="S323" s="42">
        <v>18671.41</v>
      </c>
      <c r="T323" s="42"/>
      <c r="U323" s="42"/>
      <c r="V323" s="3"/>
      <c r="W323" s="3"/>
      <c r="X323" s="3"/>
      <c r="Y323" s="3"/>
      <c r="Z323" s="3"/>
      <c r="AA323" s="3"/>
      <c r="AB323" s="3"/>
      <c r="AE323" s="42">
        <f t="shared" si="33"/>
        <v>277841</v>
      </c>
      <c r="AF323" s="42">
        <f t="shared" si="34"/>
        <v>287288.79000000004</v>
      </c>
      <c r="AG323" s="42" t="str">
        <f t="shared" si="35"/>
        <v/>
      </c>
      <c r="AH323" s="42" t="str">
        <f t="shared" si="36"/>
        <v/>
      </c>
      <c r="AI323" s="42" t="str">
        <f t="shared" si="37"/>
        <v/>
      </c>
      <c r="AJ323" s="42" t="str">
        <f t="shared" si="38"/>
        <v/>
      </c>
      <c r="AK323" s="42" t="str">
        <f t="shared" si="39"/>
        <v/>
      </c>
      <c r="AO323" s="86">
        <f ca="1"/>
        <v>37944.791666666664</v>
      </c>
      <c r="AP323" s="87">
        <f ca="1"/>
        <v>1542.39</v>
      </c>
      <c r="AQ323" s="87">
        <f ca="1"/>
        <v>1541.9</v>
      </c>
      <c r="AR323" s="88">
        <f ca="1"/>
        <v>37944.791666666664</v>
      </c>
      <c r="AS323" s="87">
        <f ca="1"/>
        <v>18400</v>
      </c>
      <c r="AT323" s="87">
        <f ca="1"/>
        <v>16823.23</v>
      </c>
    </row>
    <row r="324" spans="13:46" x14ac:dyDescent="0.25">
      <c r="M324" s="42">
        <v>320</v>
      </c>
      <c r="N324" s="3" t="s">
        <v>380</v>
      </c>
      <c r="O324" s="49">
        <f t="shared" si="32"/>
        <v>37944.791666666664</v>
      </c>
      <c r="P324" s="42">
        <v>1542.39</v>
      </c>
      <c r="Q324" s="42">
        <v>18400</v>
      </c>
      <c r="R324" s="42">
        <v>1541.9</v>
      </c>
      <c r="S324" s="42">
        <v>16823.23</v>
      </c>
      <c r="T324" s="42"/>
      <c r="U324" s="42"/>
      <c r="V324" s="3"/>
      <c r="W324" s="3"/>
      <c r="X324" s="3"/>
      <c r="Y324" s="3"/>
      <c r="Z324" s="3"/>
      <c r="AA324" s="3"/>
      <c r="AB324" s="3"/>
      <c r="AE324" s="42">
        <f t="shared" si="33"/>
        <v>296241</v>
      </c>
      <c r="AF324" s="42">
        <f t="shared" si="34"/>
        <v>304112.02</v>
      </c>
      <c r="AG324" s="42" t="str">
        <f t="shared" si="35"/>
        <v/>
      </c>
      <c r="AH324" s="42" t="str">
        <f t="shared" si="36"/>
        <v/>
      </c>
      <c r="AI324" s="42" t="str">
        <f t="shared" si="37"/>
        <v/>
      </c>
      <c r="AJ324" s="42" t="str">
        <f t="shared" si="38"/>
        <v/>
      </c>
      <c r="AK324" s="42" t="str">
        <f t="shared" si="39"/>
        <v/>
      </c>
      <c r="AO324" s="86">
        <f ca="1"/>
        <v>37944.833333333336</v>
      </c>
      <c r="AP324" s="87">
        <f ca="1"/>
        <v>1542.07</v>
      </c>
      <c r="AQ324" s="87">
        <f ca="1"/>
        <v>1540.92</v>
      </c>
      <c r="AR324" s="88">
        <f ca="1"/>
        <v>37944.833333333336</v>
      </c>
      <c r="AS324" s="87">
        <f ca="1"/>
        <v>17700</v>
      </c>
      <c r="AT324" s="87">
        <f ca="1"/>
        <v>14364</v>
      </c>
    </row>
    <row r="325" spans="13:46" x14ac:dyDescent="0.25">
      <c r="M325" s="42">
        <v>321</v>
      </c>
      <c r="N325" s="3" t="s">
        <v>381</v>
      </c>
      <c r="O325" s="49">
        <f t="shared" si="32"/>
        <v>37944.833333333336</v>
      </c>
      <c r="P325" s="42">
        <v>1542.07</v>
      </c>
      <c r="Q325" s="42">
        <v>17700</v>
      </c>
      <c r="R325" s="42">
        <v>1540.92</v>
      </c>
      <c r="S325" s="42">
        <v>14364</v>
      </c>
      <c r="T325" s="42"/>
      <c r="U325" s="42"/>
      <c r="V325" s="3"/>
      <c r="W325" s="3"/>
      <c r="X325" s="3"/>
      <c r="Y325" s="3"/>
      <c r="Z325" s="3"/>
      <c r="AA325" s="3"/>
      <c r="AB325" s="3"/>
      <c r="AE325" s="42">
        <f t="shared" si="33"/>
        <v>313941</v>
      </c>
      <c r="AF325" s="42">
        <f t="shared" si="34"/>
        <v>318476.02</v>
      </c>
      <c r="AG325" s="42" t="str">
        <f t="shared" si="35"/>
        <v/>
      </c>
      <c r="AH325" s="42" t="str">
        <f t="shared" si="36"/>
        <v/>
      </c>
      <c r="AI325" s="42" t="str">
        <f t="shared" si="37"/>
        <v/>
      </c>
      <c r="AJ325" s="42" t="str">
        <f t="shared" si="38"/>
        <v/>
      </c>
      <c r="AK325" s="42" t="str">
        <f t="shared" si="39"/>
        <v/>
      </c>
      <c r="AO325" s="86">
        <f ca="1"/>
        <v>37944.875</v>
      </c>
      <c r="AP325" s="87">
        <f ca="1"/>
        <v>1541.69</v>
      </c>
      <c r="AQ325" s="87">
        <f ca="1"/>
        <v>1540.19</v>
      </c>
      <c r="AR325" s="88">
        <f ca="1"/>
        <v>37944.875</v>
      </c>
      <c r="AS325" s="87">
        <f ca="1"/>
        <v>16700</v>
      </c>
      <c r="AT325" s="87">
        <f ca="1"/>
        <v>12666.53</v>
      </c>
    </row>
    <row r="326" spans="13:46" x14ac:dyDescent="0.25">
      <c r="M326" s="42">
        <v>322</v>
      </c>
      <c r="N326" s="3" t="s">
        <v>382</v>
      </c>
      <c r="O326" s="49">
        <f t="shared" ref="O326:O389" si="40">IF(ISTEXT(N326),IF(MID(N326,11,2)="24",1+DATEVALUE(LEFT(N326,10))+TIMEVALUE(CONCATENATE(MID(N326,11,2),":",MID(N326,13,2))),DATEVALUE(LEFT(N326,10))+TIMEVALUE(CONCATENATE(MID(N326,11,2),":",MID(N326,13,2)))),"")</f>
        <v>37944.875</v>
      </c>
      <c r="P326" s="42">
        <v>1541.69</v>
      </c>
      <c r="Q326" s="42">
        <v>16700</v>
      </c>
      <c r="R326" s="42">
        <v>1540.19</v>
      </c>
      <c r="S326" s="42">
        <v>12666.53</v>
      </c>
      <c r="T326" s="42"/>
      <c r="U326" s="42"/>
      <c r="V326" s="3"/>
      <c r="W326" s="3"/>
      <c r="X326" s="3"/>
      <c r="Y326" s="3"/>
      <c r="Z326" s="3"/>
      <c r="AA326" s="3"/>
      <c r="AB326" s="3"/>
      <c r="AE326" s="42">
        <f t="shared" si="33"/>
        <v>330641</v>
      </c>
      <c r="AF326" s="42">
        <f t="shared" si="34"/>
        <v>331142.55000000005</v>
      </c>
      <c r="AG326" s="42" t="str">
        <f t="shared" si="35"/>
        <v/>
      </c>
      <c r="AH326" s="42" t="str">
        <f t="shared" si="36"/>
        <v/>
      </c>
      <c r="AI326" s="42" t="str">
        <f t="shared" si="37"/>
        <v/>
      </c>
      <c r="AJ326" s="42" t="str">
        <f t="shared" si="38"/>
        <v/>
      </c>
      <c r="AK326" s="42" t="str">
        <f t="shared" si="39"/>
        <v/>
      </c>
      <c r="AO326" s="86">
        <f ca="1"/>
        <v>37944.916666666664</v>
      </c>
      <c r="AP326" s="87">
        <f ca="1"/>
        <v>1541.32</v>
      </c>
      <c r="AQ326" s="87">
        <f ca="1"/>
        <v>1539.55</v>
      </c>
      <c r="AR326" s="88">
        <f ca="1"/>
        <v>37944.916666666664</v>
      </c>
      <c r="AS326" s="87">
        <f ca="1"/>
        <v>15700</v>
      </c>
      <c r="AT326" s="87">
        <f ca="1"/>
        <v>11208.14</v>
      </c>
    </row>
    <row r="327" spans="13:46" x14ac:dyDescent="0.25">
      <c r="M327" s="42">
        <v>323</v>
      </c>
      <c r="N327" s="3" t="s">
        <v>383</v>
      </c>
      <c r="O327" s="49">
        <f t="shared" si="40"/>
        <v>37944.916666666664</v>
      </c>
      <c r="P327" s="42">
        <v>1541.32</v>
      </c>
      <c r="Q327" s="42">
        <v>15700</v>
      </c>
      <c r="R327" s="42">
        <v>1539.55</v>
      </c>
      <c r="S327" s="42">
        <v>11208.14</v>
      </c>
      <c r="T327" s="42"/>
      <c r="U327" s="42"/>
      <c r="V327" s="3"/>
      <c r="W327" s="3"/>
      <c r="X327" s="3"/>
      <c r="Y327" s="3"/>
      <c r="Z327" s="3"/>
      <c r="AA327" s="3"/>
      <c r="AB327" s="3"/>
      <c r="AE327" s="42">
        <f t="shared" ref="AE327:AE390" si="41">IF(ISNUMBER(Q327),AE326+Q327,"")</f>
        <v>346341</v>
      </c>
      <c r="AF327" s="42">
        <f t="shared" ref="AF327:AF390" si="42">IF(ISNUMBER(S327),AF326+S327,"")</f>
        <v>342350.69000000006</v>
      </c>
      <c r="AG327" s="42" t="str">
        <f t="shared" ref="AG327:AG390" si="43">IF(ISNUMBER(U327),AG326+U327,"")</f>
        <v/>
      </c>
      <c r="AH327" s="42" t="str">
        <f t="shared" ref="AH327:AH390" si="44">IF(ISNUMBER(W327),AH326+W327,"")</f>
        <v/>
      </c>
      <c r="AI327" s="42" t="str">
        <f t="shared" ref="AI327:AI390" si="45">IF(ISNUMBER(Y327),AI326+Y327,"")</f>
        <v/>
      </c>
      <c r="AJ327" s="42" t="str">
        <f t="shared" ref="AJ327:AJ390" si="46">IF(ISNUMBER(AA327),AJ326+AA327,"")</f>
        <v/>
      </c>
      <c r="AK327" s="42" t="str">
        <f t="shared" ref="AK327:AK390" si="47">IF(ISNUMBER(AC327),AK326+AC327,"")</f>
        <v/>
      </c>
      <c r="AO327" s="86">
        <f ca="1"/>
        <v>37944.958333333336</v>
      </c>
      <c r="AP327" s="87">
        <f ca="1"/>
        <v>1540.93</v>
      </c>
      <c r="AQ327" s="87">
        <f ca="1"/>
        <v>1539.68</v>
      </c>
      <c r="AR327" s="88">
        <f ca="1"/>
        <v>37944.958333333336</v>
      </c>
      <c r="AS327" s="87">
        <f ca="1"/>
        <v>14700</v>
      </c>
      <c r="AT327" s="87">
        <f ca="1"/>
        <v>11462.98</v>
      </c>
    </row>
    <row r="328" spans="13:46" x14ac:dyDescent="0.25">
      <c r="M328" s="42">
        <v>324</v>
      </c>
      <c r="N328" s="3" t="s">
        <v>384</v>
      </c>
      <c r="O328" s="49">
        <f t="shared" si="40"/>
        <v>37944.958333333336</v>
      </c>
      <c r="P328" s="42">
        <v>1540.93</v>
      </c>
      <c r="Q328" s="42">
        <v>14700</v>
      </c>
      <c r="R328" s="42">
        <v>1539.68</v>
      </c>
      <c r="S328" s="42">
        <v>11462.98</v>
      </c>
      <c r="T328" s="42"/>
      <c r="U328" s="42"/>
      <c r="V328" s="3"/>
      <c r="W328" s="3"/>
      <c r="X328" s="3"/>
      <c r="Y328" s="3"/>
      <c r="Z328" s="3"/>
      <c r="AA328" s="3"/>
      <c r="AB328" s="3"/>
      <c r="AE328" s="42">
        <f t="shared" si="41"/>
        <v>361041</v>
      </c>
      <c r="AF328" s="42">
        <f t="shared" si="42"/>
        <v>353813.67000000004</v>
      </c>
      <c r="AG328" s="42" t="str">
        <f t="shared" si="43"/>
        <v/>
      </c>
      <c r="AH328" s="42" t="str">
        <f t="shared" si="44"/>
        <v/>
      </c>
      <c r="AI328" s="42" t="str">
        <f t="shared" si="45"/>
        <v/>
      </c>
      <c r="AJ328" s="42" t="str">
        <f t="shared" si="46"/>
        <v/>
      </c>
      <c r="AK328" s="42" t="str">
        <f t="shared" si="47"/>
        <v/>
      </c>
      <c r="AO328" s="86">
        <f ca="1"/>
        <v>37945</v>
      </c>
      <c r="AP328" s="87">
        <f ca="1"/>
        <v>1540.62</v>
      </c>
      <c r="AQ328" s="87">
        <f ca="1"/>
        <v>1538.96</v>
      </c>
      <c r="AR328" s="88">
        <f ca="1"/>
        <v>37945</v>
      </c>
      <c r="AS328" s="87">
        <f ca="1"/>
        <v>13900</v>
      </c>
      <c r="AT328" s="87">
        <f ca="1"/>
        <v>9902.14</v>
      </c>
    </row>
    <row r="329" spans="13:46" x14ac:dyDescent="0.25">
      <c r="M329" s="42">
        <v>325</v>
      </c>
      <c r="N329" s="3" t="s">
        <v>385</v>
      </c>
      <c r="O329" s="49">
        <f t="shared" si="40"/>
        <v>37945</v>
      </c>
      <c r="P329" s="42">
        <v>1540.62</v>
      </c>
      <c r="Q329" s="42">
        <v>13900</v>
      </c>
      <c r="R329" s="42">
        <v>1538.96</v>
      </c>
      <c r="S329" s="42">
        <v>9902.14</v>
      </c>
      <c r="T329" s="42"/>
      <c r="U329" s="42"/>
      <c r="V329" s="3"/>
      <c r="W329" s="3"/>
      <c r="X329" s="3"/>
      <c r="Y329" s="3"/>
      <c r="Z329" s="3"/>
      <c r="AA329" s="3"/>
      <c r="AB329" s="3"/>
      <c r="AE329" s="42">
        <f t="shared" si="41"/>
        <v>374941</v>
      </c>
      <c r="AF329" s="42">
        <f t="shared" si="42"/>
        <v>363715.81000000006</v>
      </c>
      <c r="AG329" s="42" t="str">
        <f t="shared" si="43"/>
        <v/>
      </c>
      <c r="AH329" s="42" t="str">
        <f t="shared" si="44"/>
        <v/>
      </c>
      <c r="AI329" s="42" t="str">
        <f t="shared" si="45"/>
        <v/>
      </c>
      <c r="AJ329" s="42" t="str">
        <f t="shared" si="46"/>
        <v/>
      </c>
      <c r="AK329" s="42" t="str">
        <f t="shared" si="47"/>
        <v/>
      </c>
      <c r="AO329" s="86">
        <f ca="1"/>
        <v>37945.041666666664</v>
      </c>
      <c r="AP329" s="87">
        <f ca="1"/>
        <v>1540.38</v>
      </c>
      <c r="AQ329" s="87">
        <f ca="1"/>
        <v>1538.84</v>
      </c>
      <c r="AR329" s="88">
        <f ca="1"/>
        <v>37945.041666666664</v>
      </c>
      <c r="AS329" s="87">
        <f ca="1"/>
        <v>13300</v>
      </c>
      <c r="AT329" s="87">
        <f ca="1"/>
        <v>9670.26</v>
      </c>
    </row>
    <row r="330" spans="13:46" x14ac:dyDescent="0.25">
      <c r="M330" s="42">
        <v>326</v>
      </c>
      <c r="N330" s="3" t="s">
        <v>386</v>
      </c>
      <c r="O330" s="49">
        <f t="shared" si="40"/>
        <v>37945.041666666664</v>
      </c>
      <c r="P330" s="42">
        <v>1540.38</v>
      </c>
      <c r="Q330" s="42">
        <v>13300</v>
      </c>
      <c r="R330" s="42">
        <v>1538.84</v>
      </c>
      <c r="S330" s="42">
        <v>9670.26</v>
      </c>
      <c r="T330" s="42"/>
      <c r="U330" s="42"/>
      <c r="V330" s="3"/>
      <c r="W330" s="3"/>
      <c r="X330" s="3"/>
      <c r="Y330" s="3"/>
      <c r="Z330" s="3"/>
      <c r="AA330" s="3"/>
      <c r="AB330" s="3"/>
      <c r="AE330" s="42">
        <f t="shared" si="41"/>
        <v>388241</v>
      </c>
      <c r="AF330" s="42">
        <f t="shared" si="42"/>
        <v>373386.07000000007</v>
      </c>
      <c r="AG330" s="42" t="str">
        <f t="shared" si="43"/>
        <v/>
      </c>
      <c r="AH330" s="42" t="str">
        <f t="shared" si="44"/>
        <v/>
      </c>
      <c r="AI330" s="42" t="str">
        <f t="shared" si="45"/>
        <v/>
      </c>
      <c r="AJ330" s="42" t="str">
        <f t="shared" si="46"/>
        <v/>
      </c>
      <c r="AK330" s="42" t="str">
        <f t="shared" si="47"/>
        <v/>
      </c>
      <c r="AO330" s="86">
        <f ca="1"/>
        <v>37945.083333333336</v>
      </c>
      <c r="AP330" s="87">
        <f ca="1"/>
        <v>1540.2</v>
      </c>
      <c r="AQ330" s="87">
        <f ca="1"/>
        <v>1538.96</v>
      </c>
      <c r="AR330" s="88">
        <f ca="1"/>
        <v>37945.083333333336</v>
      </c>
      <c r="AS330" s="87">
        <f ca="1"/>
        <v>12900</v>
      </c>
      <c r="AT330" s="87">
        <f ca="1"/>
        <v>9869.5</v>
      </c>
    </row>
    <row r="331" spans="13:46" x14ac:dyDescent="0.25">
      <c r="M331" s="42">
        <v>327</v>
      </c>
      <c r="N331" s="3" t="s">
        <v>387</v>
      </c>
      <c r="O331" s="49">
        <f t="shared" si="40"/>
        <v>37945.083333333336</v>
      </c>
      <c r="P331" s="42">
        <v>1540.2</v>
      </c>
      <c r="Q331" s="42">
        <v>12900</v>
      </c>
      <c r="R331" s="42">
        <v>1538.96</v>
      </c>
      <c r="S331" s="42">
        <v>9869.5</v>
      </c>
      <c r="T331" s="42"/>
      <c r="U331" s="42"/>
      <c r="V331" s="3"/>
      <c r="W331" s="3"/>
      <c r="X331" s="3"/>
      <c r="Y331" s="3"/>
      <c r="Z331" s="3"/>
      <c r="AA331" s="3"/>
      <c r="AB331" s="3"/>
      <c r="AE331" s="42">
        <f t="shared" si="41"/>
        <v>401141</v>
      </c>
      <c r="AF331" s="42">
        <f t="shared" si="42"/>
        <v>383255.57000000007</v>
      </c>
      <c r="AG331" s="42" t="str">
        <f t="shared" si="43"/>
        <v/>
      </c>
      <c r="AH331" s="42" t="str">
        <f t="shared" si="44"/>
        <v/>
      </c>
      <c r="AI331" s="42" t="str">
        <f t="shared" si="45"/>
        <v/>
      </c>
      <c r="AJ331" s="42" t="str">
        <f t="shared" si="46"/>
        <v/>
      </c>
      <c r="AK331" s="42" t="str">
        <f t="shared" si="47"/>
        <v/>
      </c>
      <c r="AO331" s="86">
        <f ca="1"/>
        <v>37945.125</v>
      </c>
      <c r="AP331" s="87">
        <f ca="1"/>
        <v>1540.1</v>
      </c>
      <c r="AQ331" s="87">
        <f ca="1"/>
        <v>1538.77</v>
      </c>
      <c r="AR331" s="88">
        <f ca="1"/>
        <v>37945.125</v>
      </c>
      <c r="AS331" s="87">
        <f ca="1"/>
        <v>12700</v>
      </c>
      <c r="AT331" s="87">
        <f ca="1"/>
        <v>9450.0400000000009</v>
      </c>
    </row>
    <row r="332" spans="13:46" x14ac:dyDescent="0.25">
      <c r="M332" s="42">
        <v>328</v>
      </c>
      <c r="N332" s="3" t="s">
        <v>388</v>
      </c>
      <c r="O332" s="49">
        <f t="shared" si="40"/>
        <v>37945.125</v>
      </c>
      <c r="P332" s="42">
        <v>1540.1</v>
      </c>
      <c r="Q332" s="42">
        <v>12700</v>
      </c>
      <c r="R332" s="42">
        <v>1538.77</v>
      </c>
      <c r="S332" s="42">
        <v>9450.0400000000009</v>
      </c>
      <c r="T332" s="42"/>
      <c r="U332" s="42"/>
      <c r="V332" s="3"/>
      <c r="W332" s="3"/>
      <c r="X332" s="3"/>
      <c r="Y332" s="3"/>
      <c r="Z332" s="3"/>
      <c r="AA332" s="3"/>
      <c r="AB332" s="3"/>
      <c r="AE332" s="42">
        <f t="shared" si="41"/>
        <v>413841</v>
      </c>
      <c r="AF332" s="42">
        <f t="shared" si="42"/>
        <v>392705.61000000004</v>
      </c>
      <c r="AG332" s="42" t="str">
        <f t="shared" si="43"/>
        <v/>
      </c>
      <c r="AH332" s="42" t="str">
        <f t="shared" si="44"/>
        <v/>
      </c>
      <c r="AI332" s="42" t="str">
        <f t="shared" si="45"/>
        <v/>
      </c>
      <c r="AJ332" s="42" t="str">
        <f t="shared" si="46"/>
        <v/>
      </c>
      <c r="AK332" s="42" t="str">
        <f t="shared" si="47"/>
        <v/>
      </c>
      <c r="AO332" s="86">
        <f ca="1"/>
        <v>37945.166666666664</v>
      </c>
      <c r="AP332" s="87">
        <f ca="1"/>
        <v>1540</v>
      </c>
      <c r="AQ332" s="87">
        <f ca="1"/>
        <v>1538.88</v>
      </c>
      <c r="AR332" s="88">
        <f ca="1"/>
        <v>37945.166666666664</v>
      </c>
      <c r="AS332" s="87">
        <f ca="1"/>
        <v>12400</v>
      </c>
      <c r="AT332" s="87">
        <f ca="1"/>
        <v>9736.73</v>
      </c>
    </row>
    <row r="333" spans="13:46" x14ac:dyDescent="0.25">
      <c r="M333" s="42">
        <v>329</v>
      </c>
      <c r="N333" s="3" t="s">
        <v>389</v>
      </c>
      <c r="O333" s="49">
        <f t="shared" si="40"/>
        <v>37945.166666666664</v>
      </c>
      <c r="P333" s="42">
        <v>1540</v>
      </c>
      <c r="Q333" s="42">
        <v>12400</v>
      </c>
      <c r="R333" s="42">
        <v>1538.88</v>
      </c>
      <c r="S333" s="42">
        <v>9736.73</v>
      </c>
      <c r="T333" s="42"/>
      <c r="U333" s="42"/>
      <c r="V333" s="3"/>
      <c r="W333" s="3"/>
      <c r="X333" s="3"/>
      <c r="Y333" s="3"/>
      <c r="Z333" s="3"/>
      <c r="AA333" s="3"/>
      <c r="AB333" s="3"/>
      <c r="AE333" s="42">
        <f t="shared" si="41"/>
        <v>426241</v>
      </c>
      <c r="AF333" s="42">
        <f t="shared" si="42"/>
        <v>402442.34</v>
      </c>
      <c r="AG333" s="42" t="str">
        <f t="shared" si="43"/>
        <v/>
      </c>
      <c r="AH333" s="42" t="str">
        <f t="shared" si="44"/>
        <v/>
      </c>
      <c r="AI333" s="42" t="str">
        <f t="shared" si="45"/>
        <v/>
      </c>
      <c r="AJ333" s="42" t="str">
        <f t="shared" si="46"/>
        <v/>
      </c>
      <c r="AK333" s="42" t="str">
        <f t="shared" si="47"/>
        <v/>
      </c>
      <c r="AO333" s="86">
        <f ca="1"/>
        <v>37945.208333333336</v>
      </c>
      <c r="AP333" s="87">
        <f ca="1"/>
        <v>1539.92</v>
      </c>
      <c r="AQ333" s="87">
        <f ca="1"/>
        <v>1538.75</v>
      </c>
      <c r="AR333" s="88">
        <f ca="1"/>
        <v>37945.208333333336</v>
      </c>
      <c r="AS333" s="87">
        <f ca="1"/>
        <v>12200</v>
      </c>
      <c r="AT333" s="87">
        <f ca="1"/>
        <v>9450.26</v>
      </c>
    </row>
    <row r="334" spans="13:46" x14ac:dyDescent="0.25">
      <c r="M334" s="42">
        <v>330</v>
      </c>
      <c r="N334" s="3" t="s">
        <v>390</v>
      </c>
      <c r="O334" s="49">
        <f t="shared" si="40"/>
        <v>37945.208333333336</v>
      </c>
      <c r="P334" s="42">
        <v>1539.92</v>
      </c>
      <c r="Q334" s="42">
        <v>12200</v>
      </c>
      <c r="R334" s="42">
        <v>1538.75</v>
      </c>
      <c r="S334" s="42">
        <v>9450.26</v>
      </c>
      <c r="T334" s="42"/>
      <c r="U334" s="42"/>
      <c r="V334" s="3"/>
      <c r="W334" s="3"/>
      <c r="X334" s="3"/>
      <c r="Y334" s="3"/>
      <c r="Z334" s="3"/>
      <c r="AA334" s="3"/>
      <c r="AB334" s="3"/>
      <c r="AE334" s="42">
        <f t="shared" si="41"/>
        <v>438441</v>
      </c>
      <c r="AF334" s="42">
        <f t="shared" si="42"/>
        <v>411892.60000000003</v>
      </c>
      <c r="AG334" s="42" t="str">
        <f t="shared" si="43"/>
        <v/>
      </c>
      <c r="AH334" s="42" t="str">
        <f t="shared" si="44"/>
        <v/>
      </c>
      <c r="AI334" s="42" t="str">
        <f t="shared" si="45"/>
        <v/>
      </c>
      <c r="AJ334" s="42" t="str">
        <f t="shared" si="46"/>
        <v/>
      </c>
      <c r="AK334" s="42" t="str">
        <f t="shared" si="47"/>
        <v/>
      </c>
      <c r="AO334" s="86">
        <f ca="1"/>
        <v>37945.25</v>
      </c>
      <c r="AP334" s="87">
        <f ca="1"/>
        <v>1539.86</v>
      </c>
      <c r="AQ334" s="87">
        <f ca="1"/>
        <v>1538.93</v>
      </c>
      <c r="AR334" s="88">
        <f ca="1"/>
        <v>37945.25</v>
      </c>
      <c r="AS334" s="87">
        <f ca="1"/>
        <v>12100</v>
      </c>
      <c r="AT334" s="87">
        <f ca="1"/>
        <v>9807.58</v>
      </c>
    </row>
    <row r="335" spans="13:46" x14ac:dyDescent="0.25">
      <c r="M335" s="42">
        <v>331</v>
      </c>
      <c r="N335" s="3" t="s">
        <v>391</v>
      </c>
      <c r="O335" s="49">
        <f t="shared" si="40"/>
        <v>37945.25</v>
      </c>
      <c r="P335" s="42">
        <v>1539.86</v>
      </c>
      <c r="Q335" s="42">
        <v>12100</v>
      </c>
      <c r="R335" s="42">
        <v>1538.93</v>
      </c>
      <c r="S335" s="42">
        <v>9807.58</v>
      </c>
      <c r="T335" s="42"/>
      <c r="U335" s="42"/>
      <c r="V335" s="3"/>
      <c r="W335" s="3"/>
      <c r="X335" s="3"/>
      <c r="Y335" s="3"/>
      <c r="Z335" s="3"/>
      <c r="AA335" s="3"/>
      <c r="AB335" s="3"/>
      <c r="AE335" s="42">
        <f t="shared" si="41"/>
        <v>450541</v>
      </c>
      <c r="AF335" s="42">
        <f t="shared" si="42"/>
        <v>421700.18000000005</v>
      </c>
      <c r="AG335" s="42" t="str">
        <f t="shared" si="43"/>
        <v/>
      </c>
      <c r="AH335" s="42" t="str">
        <f t="shared" si="44"/>
        <v/>
      </c>
      <c r="AI335" s="42" t="str">
        <f t="shared" si="45"/>
        <v/>
      </c>
      <c r="AJ335" s="42" t="str">
        <f t="shared" si="46"/>
        <v/>
      </c>
      <c r="AK335" s="42" t="str">
        <f t="shared" si="47"/>
        <v/>
      </c>
      <c r="AO335" s="86">
        <f ca="1"/>
        <v>37945.291666666664</v>
      </c>
      <c r="AP335" s="87">
        <f ca="1"/>
        <v>1539.82</v>
      </c>
      <c r="AQ335" s="87">
        <f ca="1"/>
        <v>1538.95</v>
      </c>
      <c r="AR335" s="88">
        <f ca="1"/>
        <v>37945.291666666664</v>
      </c>
      <c r="AS335" s="87">
        <f ca="1"/>
        <v>12000</v>
      </c>
      <c r="AT335" s="87">
        <f ca="1"/>
        <v>9886.42</v>
      </c>
    </row>
    <row r="336" spans="13:46" x14ac:dyDescent="0.25">
      <c r="M336" s="42">
        <v>332</v>
      </c>
      <c r="N336" s="3" t="s">
        <v>392</v>
      </c>
      <c r="O336" s="49">
        <f t="shared" si="40"/>
        <v>37945.291666666664</v>
      </c>
      <c r="P336" s="42">
        <v>1539.82</v>
      </c>
      <c r="Q336" s="42">
        <v>12000</v>
      </c>
      <c r="R336" s="42">
        <v>1538.95</v>
      </c>
      <c r="S336" s="42">
        <v>9886.42</v>
      </c>
      <c r="T336" s="42"/>
      <c r="U336" s="42"/>
      <c r="V336" s="3"/>
      <c r="W336" s="3"/>
      <c r="X336" s="3"/>
      <c r="Y336" s="3"/>
      <c r="Z336" s="3"/>
      <c r="AA336" s="3"/>
      <c r="AB336" s="3"/>
      <c r="AE336" s="42">
        <f t="shared" si="41"/>
        <v>462541</v>
      </c>
      <c r="AF336" s="42">
        <f t="shared" si="42"/>
        <v>431586.60000000003</v>
      </c>
      <c r="AG336" s="42" t="str">
        <f t="shared" si="43"/>
        <v/>
      </c>
      <c r="AH336" s="42" t="str">
        <f t="shared" si="44"/>
        <v/>
      </c>
      <c r="AI336" s="42" t="str">
        <f t="shared" si="45"/>
        <v/>
      </c>
      <c r="AJ336" s="42" t="str">
        <f t="shared" si="46"/>
        <v/>
      </c>
      <c r="AK336" s="42" t="str">
        <f t="shared" si="47"/>
        <v/>
      </c>
      <c r="AO336" s="86">
        <f ca="1"/>
        <v>37945.333333333336</v>
      </c>
      <c r="AP336" s="87">
        <f ca="1"/>
        <v>1539.77</v>
      </c>
      <c r="AQ336" s="87">
        <f ca="1"/>
        <v>1539.2</v>
      </c>
      <c r="AR336" s="88">
        <f ca="1"/>
        <v>37945.333333333336</v>
      </c>
      <c r="AS336" s="87">
        <f ca="1"/>
        <v>11900</v>
      </c>
      <c r="AT336" s="87">
        <f ca="1"/>
        <v>10419.15</v>
      </c>
    </row>
    <row r="337" spans="13:46" x14ac:dyDescent="0.25">
      <c r="M337" s="42">
        <v>333</v>
      </c>
      <c r="N337" s="3" t="s">
        <v>393</v>
      </c>
      <c r="O337" s="49">
        <f t="shared" si="40"/>
        <v>37945.333333333336</v>
      </c>
      <c r="P337" s="42">
        <v>1539.77</v>
      </c>
      <c r="Q337" s="42">
        <v>11900</v>
      </c>
      <c r="R337" s="42">
        <v>1539.2</v>
      </c>
      <c r="S337" s="42">
        <v>10419.15</v>
      </c>
      <c r="T337" s="42"/>
      <c r="U337" s="42"/>
      <c r="V337" s="3"/>
      <c r="W337" s="3"/>
      <c r="X337" s="3"/>
      <c r="Y337" s="3"/>
      <c r="Z337" s="3"/>
      <c r="AA337" s="3"/>
      <c r="AB337" s="3"/>
      <c r="AE337" s="42">
        <f t="shared" si="41"/>
        <v>474441</v>
      </c>
      <c r="AF337" s="42">
        <f t="shared" si="42"/>
        <v>442005.75000000006</v>
      </c>
      <c r="AG337" s="42" t="str">
        <f t="shared" si="43"/>
        <v/>
      </c>
      <c r="AH337" s="42" t="str">
        <f t="shared" si="44"/>
        <v/>
      </c>
      <c r="AI337" s="42" t="str">
        <f t="shared" si="45"/>
        <v/>
      </c>
      <c r="AJ337" s="42" t="str">
        <f t="shared" si="46"/>
        <v/>
      </c>
      <c r="AK337" s="42" t="str">
        <f t="shared" si="47"/>
        <v/>
      </c>
      <c r="AO337" s="86">
        <f ca="1"/>
        <v>37945.375</v>
      </c>
      <c r="AP337" s="87">
        <f ca="1"/>
        <v>1539.72</v>
      </c>
      <c r="AQ337" s="87">
        <f ca="1"/>
        <v>1539.28</v>
      </c>
      <c r="AR337" s="88">
        <f ca="1"/>
        <v>37945.375</v>
      </c>
      <c r="AS337" s="87">
        <f ca="1"/>
        <v>11800</v>
      </c>
      <c r="AT337" s="87">
        <f ca="1"/>
        <v>10592.06</v>
      </c>
    </row>
    <row r="338" spans="13:46" x14ac:dyDescent="0.25">
      <c r="M338" s="42">
        <v>334</v>
      </c>
      <c r="N338" s="3" t="s">
        <v>394</v>
      </c>
      <c r="O338" s="49">
        <f t="shared" si="40"/>
        <v>37945.375</v>
      </c>
      <c r="P338" s="42">
        <v>1539.72</v>
      </c>
      <c r="Q338" s="42">
        <v>11800</v>
      </c>
      <c r="R338" s="42">
        <v>1539.28</v>
      </c>
      <c r="S338" s="42">
        <v>10592.06</v>
      </c>
      <c r="T338" s="42"/>
      <c r="U338" s="42"/>
      <c r="V338" s="3"/>
      <c r="W338" s="3"/>
      <c r="X338" s="3"/>
      <c r="Y338" s="3"/>
      <c r="Z338" s="3"/>
      <c r="AA338" s="3"/>
      <c r="AB338" s="3"/>
      <c r="AE338" s="42">
        <f t="shared" si="41"/>
        <v>486241</v>
      </c>
      <c r="AF338" s="42">
        <f t="shared" si="42"/>
        <v>452597.81000000006</v>
      </c>
      <c r="AG338" s="42" t="str">
        <f t="shared" si="43"/>
        <v/>
      </c>
      <c r="AH338" s="42" t="str">
        <f t="shared" si="44"/>
        <v/>
      </c>
      <c r="AI338" s="42" t="str">
        <f t="shared" si="45"/>
        <v/>
      </c>
      <c r="AJ338" s="42" t="str">
        <f t="shared" si="46"/>
        <v/>
      </c>
      <c r="AK338" s="42" t="str">
        <f t="shared" si="47"/>
        <v/>
      </c>
      <c r="AO338" s="86">
        <f ca="1"/>
        <v>37945.416666666664</v>
      </c>
      <c r="AP338" s="87">
        <f ca="1"/>
        <v>1539.68</v>
      </c>
      <c r="AQ338" s="87">
        <f ca="1"/>
        <v>1539.27</v>
      </c>
      <c r="AR338" s="88">
        <f ca="1"/>
        <v>37945.416666666664</v>
      </c>
      <c r="AS338" s="87">
        <f ca="1"/>
        <v>11700</v>
      </c>
      <c r="AT338" s="87">
        <f ca="1"/>
        <v>10570.93</v>
      </c>
    </row>
    <row r="339" spans="13:46" x14ac:dyDescent="0.25">
      <c r="M339" s="42">
        <v>335</v>
      </c>
      <c r="N339" s="3" t="s">
        <v>395</v>
      </c>
      <c r="O339" s="49">
        <f t="shared" si="40"/>
        <v>37945.416666666664</v>
      </c>
      <c r="P339" s="42">
        <v>1539.68</v>
      </c>
      <c r="Q339" s="42">
        <v>11700</v>
      </c>
      <c r="R339" s="42">
        <v>1539.27</v>
      </c>
      <c r="S339" s="42">
        <v>10570.93</v>
      </c>
      <c r="T339" s="42"/>
      <c r="U339" s="42"/>
      <c r="V339" s="3"/>
      <c r="W339" s="3"/>
      <c r="X339" s="3"/>
      <c r="Y339" s="3"/>
      <c r="Z339" s="3"/>
      <c r="AA339" s="3"/>
      <c r="AB339" s="3"/>
      <c r="AE339" s="42">
        <f t="shared" si="41"/>
        <v>497941</v>
      </c>
      <c r="AF339" s="42">
        <f t="shared" si="42"/>
        <v>463168.74000000005</v>
      </c>
      <c r="AG339" s="42" t="str">
        <f t="shared" si="43"/>
        <v/>
      </c>
      <c r="AH339" s="42" t="str">
        <f t="shared" si="44"/>
        <v/>
      </c>
      <c r="AI339" s="42" t="str">
        <f t="shared" si="45"/>
        <v/>
      </c>
      <c r="AJ339" s="42" t="str">
        <f t="shared" si="46"/>
        <v/>
      </c>
      <c r="AK339" s="42" t="str">
        <f t="shared" si="47"/>
        <v/>
      </c>
      <c r="AO339" s="86">
        <f ca="1"/>
        <v>37945.458333333336</v>
      </c>
      <c r="AP339" s="87">
        <f ca="1"/>
        <v>1539.61</v>
      </c>
      <c r="AQ339" s="87">
        <f ca="1"/>
        <v>1539.29</v>
      </c>
      <c r="AR339" s="88">
        <f ca="1"/>
        <v>37945.458333333336</v>
      </c>
      <c r="AS339" s="87">
        <f ca="1"/>
        <v>11500</v>
      </c>
      <c r="AT339" s="87">
        <f ca="1"/>
        <v>10624.63</v>
      </c>
    </row>
    <row r="340" spans="13:46" x14ac:dyDescent="0.25">
      <c r="M340" s="42">
        <v>336</v>
      </c>
      <c r="N340" s="3" t="s">
        <v>396</v>
      </c>
      <c r="O340" s="49">
        <f t="shared" si="40"/>
        <v>37945.458333333336</v>
      </c>
      <c r="P340" s="42">
        <v>1539.61</v>
      </c>
      <c r="Q340" s="42">
        <v>11500</v>
      </c>
      <c r="R340" s="42">
        <v>1539.29</v>
      </c>
      <c r="S340" s="42">
        <v>10624.63</v>
      </c>
      <c r="T340" s="42"/>
      <c r="U340" s="42"/>
      <c r="V340" s="3"/>
      <c r="W340" s="3"/>
      <c r="X340" s="3"/>
      <c r="Y340" s="3"/>
      <c r="Z340" s="3"/>
      <c r="AA340" s="3"/>
      <c r="AB340" s="3"/>
      <c r="AE340" s="42">
        <f t="shared" si="41"/>
        <v>509441</v>
      </c>
      <c r="AF340" s="42">
        <f t="shared" si="42"/>
        <v>473793.37000000005</v>
      </c>
      <c r="AG340" s="42" t="str">
        <f t="shared" si="43"/>
        <v/>
      </c>
      <c r="AH340" s="42" t="str">
        <f t="shared" si="44"/>
        <v/>
      </c>
      <c r="AI340" s="42" t="str">
        <f t="shared" si="45"/>
        <v/>
      </c>
      <c r="AJ340" s="42" t="str">
        <f t="shared" si="46"/>
        <v/>
      </c>
      <c r="AK340" s="42" t="str">
        <f t="shared" si="47"/>
        <v/>
      </c>
      <c r="AO340" s="86">
        <f ca="1"/>
        <v>37945.5</v>
      </c>
      <c r="AP340" s="87">
        <f ca="1"/>
        <v>1539.55</v>
      </c>
      <c r="AQ340" s="87">
        <f ca="1"/>
        <v>1539</v>
      </c>
      <c r="AR340" s="88">
        <f ca="1"/>
        <v>37945.5</v>
      </c>
      <c r="AS340" s="87">
        <f ca="1"/>
        <v>11400</v>
      </c>
      <c r="AT340" s="87">
        <f ca="1"/>
        <v>9966.1299999999992</v>
      </c>
    </row>
    <row r="341" spans="13:46" x14ac:dyDescent="0.25">
      <c r="M341" s="42">
        <v>337</v>
      </c>
      <c r="N341" s="3" t="s">
        <v>397</v>
      </c>
      <c r="O341" s="49">
        <f t="shared" si="40"/>
        <v>37945.5</v>
      </c>
      <c r="P341" s="42">
        <v>1539.55</v>
      </c>
      <c r="Q341" s="42">
        <v>11400</v>
      </c>
      <c r="R341" s="42">
        <v>1539</v>
      </c>
      <c r="S341" s="42">
        <v>9966.1299999999992</v>
      </c>
      <c r="T341" s="42"/>
      <c r="U341" s="42"/>
      <c r="V341" s="3"/>
      <c r="W341" s="3"/>
      <c r="X341" s="3"/>
      <c r="Y341" s="3"/>
      <c r="Z341" s="3"/>
      <c r="AA341" s="3"/>
      <c r="AB341" s="3"/>
      <c r="AE341" s="42">
        <f t="shared" si="41"/>
        <v>520841</v>
      </c>
      <c r="AF341" s="42">
        <f t="shared" si="42"/>
        <v>483759.50000000006</v>
      </c>
      <c r="AG341" s="42" t="str">
        <f t="shared" si="43"/>
        <v/>
      </c>
      <c r="AH341" s="42" t="str">
        <f t="shared" si="44"/>
        <v/>
      </c>
      <c r="AI341" s="42" t="str">
        <f t="shared" si="45"/>
        <v/>
      </c>
      <c r="AJ341" s="42" t="str">
        <f t="shared" si="46"/>
        <v/>
      </c>
      <c r="AK341" s="42" t="str">
        <f t="shared" si="47"/>
        <v/>
      </c>
      <c r="AO341" s="86">
        <f ca="1"/>
        <v>37945.541666666664</v>
      </c>
      <c r="AP341" s="87">
        <f ca="1"/>
        <v>1539.48</v>
      </c>
      <c r="AQ341" s="87">
        <f ca="1"/>
        <v>1538.93</v>
      </c>
      <c r="AR341" s="88">
        <f ca="1"/>
        <v>37945.541666666664</v>
      </c>
      <c r="AS341" s="87">
        <f ca="1"/>
        <v>11300</v>
      </c>
      <c r="AT341" s="87">
        <f ca="1"/>
        <v>9815.4</v>
      </c>
    </row>
    <row r="342" spans="13:46" x14ac:dyDescent="0.25">
      <c r="M342" s="42">
        <v>338</v>
      </c>
      <c r="N342" s="3" t="s">
        <v>398</v>
      </c>
      <c r="O342" s="49">
        <f t="shared" si="40"/>
        <v>37945.541666666664</v>
      </c>
      <c r="P342" s="42">
        <v>1539.48</v>
      </c>
      <c r="Q342" s="42">
        <v>11300</v>
      </c>
      <c r="R342" s="42">
        <v>1538.93</v>
      </c>
      <c r="S342" s="42">
        <v>9815.4</v>
      </c>
      <c r="T342" s="42"/>
      <c r="U342" s="42"/>
      <c r="V342" s="3"/>
      <c r="W342" s="3"/>
      <c r="X342" s="3"/>
      <c r="Y342" s="3"/>
      <c r="Z342" s="3"/>
      <c r="AA342" s="3"/>
      <c r="AB342" s="3"/>
      <c r="AE342" s="42">
        <f t="shared" si="41"/>
        <v>532141</v>
      </c>
      <c r="AF342" s="42">
        <f t="shared" si="42"/>
        <v>493574.90000000008</v>
      </c>
      <c r="AG342" s="42" t="str">
        <f t="shared" si="43"/>
        <v/>
      </c>
      <c r="AH342" s="42" t="str">
        <f t="shared" si="44"/>
        <v/>
      </c>
      <c r="AI342" s="42" t="str">
        <f t="shared" si="45"/>
        <v/>
      </c>
      <c r="AJ342" s="42" t="str">
        <f t="shared" si="46"/>
        <v/>
      </c>
      <c r="AK342" s="42" t="str">
        <f t="shared" si="47"/>
        <v/>
      </c>
      <c r="AO342" s="86">
        <f ca="1"/>
        <v>37945.583333333336</v>
      </c>
      <c r="AP342" s="87">
        <f ca="1"/>
        <v>1539.4</v>
      </c>
      <c r="AQ342" s="87">
        <f ca="1"/>
        <v>1538.69</v>
      </c>
      <c r="AR342" s="88">
        <f ca="1"/>
        <v>37945.583333333336</v>
      </c>
      <c r="AS342" s="87">
        <f ca="1"/>
        <v>11100</v>
      </c>
      <c r="AT342" s="87">
        <f ca="1"/>
        <v>9306.14</v>
      </c>
    </row>
    <row r="343" spans="13:46" x14ac:dyDescent="0.25">
      <c r="M343" s="42">
        <v>339</v>
      </c>
      <c r="N343" s="3" t="s">
        <v>399</v>
      </c>
      <c r="O343" s="49">
        <f t="shared" si="40"/>
        <v>37945.583333333336</v>
      </c>
      <c r="P343" s="42">
        <v>1539.4</v>
      </c>
      <c r="Q343" s="42">
        <v>11100</v>
      </c>
      <c r="R343" s="42">
        <v>1538.69</v>
      </c>
      <c r="S343" s="42">
        <v>9306.14</v>
      </c>
      <c r="T343" s="42"/>
      <c r="U343" s="42"/>
      <c r="V343" s="3"/>
      <c r="W343" s="3"/>
      <c r="X343" s="3"/>
      <c r="Y343" s="3"/>
      <c r="Z343" s="3"/>
      <c r="AA343" s="3"/>
      <c r="AB343" s="3"/>
      <c r="AE343" s="42">
        <f t="shared" si="41"/>
        <v>543241</v>
      </c>
      <c r="AF343" s="42">
        <f t="shared" si="42"/>
        <v>502881.0400000001</v>
      </c>
      <c r="AG343" s="42" t="str">
        <f t="shared" si="43"/>
        <v/>
      </c>
      <c r="AH343" s="42" t="str">
        <f t="shared" si="44"/>
        <v/>
      </c>
      <c r="AI343" s="42" t="str">
        <f t="shared" si="45"/>
        <v/>
      </c>
      <c r="AJ343" s="42" t="str">
        <f t="shared" si="46"/>
        <v/>
      </c>
      <c r="AK343" s="42" t="str">
        <f t="shared" si="47"/>
        <v/>
      </c>
      <c r="AO343" s="86">
        <f ca="1"/>
        <v>37945.625</v>
      </c>
      <c r="AP343" s="87">
        <f ca="1"/>
        <v>1539.28</v>
      </c>
      <c r="AQ343" s="87">
        <f ca="1"/>
        <v>1538.48</v>
      </c>
      <c r="AR343" s="88">
        <f ca="1"/>
        <v>37945.625</v>
      </c>
      <c r="AS343" s="87">
        <f ca="1"/>
        <v>10800</v>
      </c>
      <c r="AT343" s="87">
        <f ca="1"/>
        <v>8868.01</v>
      </c>
    </row>
    <row r="344" spans="13:46" x14ac:dyDescent="0.25">
      <c r="M344" s="42">
        <v>340</v>
      </c>
      <c r="N344" s="3" t="s">
        <v>400</v>
      </c>
      <c r="O344" s="49">
        <f t="shared" si="40"/>
        <v>37945.625</v>
      </c>
      <c r="P344" s="42">
        <v>1539.28</v>
      </c>
      <c r="Q344" s="42">
        <v>10800</v>
      </c>
      <c r="R344" s="42">
        <v>1538.48</v>
      </c>
      <c r="S344" s="42">
        <v>8868.01</v>
      </c>
      <c r="T344" s="42"/>
      <c r="U344" s="42"/>
      <c r="V344" s="3"/>
      <c r="W344" s="3"/>
      <c r="X344" s="3"/>
      <c r="Y344" s="3"/>
      <c r="Z344" s="3"/>
      <c r="AA344" s="3"/>
      <c r="AB344" s="3"/>
      <c r="AE344" s="42">
        <f t="shared" si="41"/>
        <v>554041</v>
      </c>
      <c r="AF344" s="42">
        <f t="shared" si="42"/>
        <v>511749.0500000001</v>
      </c>
      <c r="AG344" s="42" t="str">
        <f t="shared" si="43"/>
        <v/>
      </c>
      <c r="AH344" s="42" t="str">
        <f t="shared" si="44"/>
        <v/>
      </c>
      <c r="AI344" s="42" t="str">
        <f t="shared" si="45"/>
        <v/>
      </c>
      <c r="AJ344" s="42" t="str">
        <f t="shared" si="46"/>
        <v/>
      </c>
      <c r="AK344" s="42" t="str">
        <f t="shared" si="47"/>
        <v/>
      </c>
      <c r="AO344" s="86">
        <f ca="1"/>
        <v>37945.666666666664</v>
      </c>
      <c r="AP344" s="87">
        <f ca="1"/>
        <v>1539.17</v>
      </c>
      <c r="AQ344" s="87">
        <f ca="1"/>
        <v>1538.27</v>
      </c>
      <c r="AR344" s="88">
        <f ca="1"/>
        <v>37945.666666666664</v>
      </c>
      <c r="AS344" s="87">
        <f ca="1"/>
        <v>10600</v>
      </c>
      <c r="AT344" s="87">
        <f ca="1"/>
        <v>8428.0499999999993</v>
      </c>
    </row>
    <row r="345" spans="13:46" x14ac:dyDescent="0.25">
      <c r="M345" s="42">
        <v>341</v>
      </c>
      <c r="N345" s="3" t="s">
        <v>401</v>
      </c>
      <c r="O345" s="49">
        <f t="shared" si="40"/>
        <v>37945.666666666664</v>
      </c>
      <c r="P345" s="42">
        <v>1539.17</v>
      </c>
      <c r="Q345" s="42">
        <v>10600</v>
      </c>
      <c r="R345" s="42">
        <v>1538.27</v>
      </c>
      <c r="S345" s="42">
        <v>8428.0499999999993</v>
      </c>
      <c r="T345" s="42"/>
      <c r="U345" s="42"/>
      <c r="V345" s="3"/>
      <c r="W345" s="3"/>
      <c r="X345" s="3"/>
      <c r="Y345" s="3"/>
      <c r="Z345" s="3"/>
      <c r="AA345" s="3"/>
      <c r="AB345" s="3"/>
      <c r="AE345" s="42">
        <f t="shared" si="41"/>
        <v>564641</v>
      </c>
      <c r="AF345" s="42">
        <f t="shared" si="42"/>
        <v>520177.10000000009</v>
      </c>
      <c r="AG345" s="42" t="str">
        <f t="shared" si="43"/>
        <v/>
      </c>
      <c r="AH345" s="42" t="str">
        <f t="shared" si="44"/>
        <v/>
      </c>
      <c r="AI345" s="42" t="str">
        <f t="shared" si="45"/>
        <v/>
      </c>
      <c r="AJ345" s="42" t="str">
        <f t="shared" si="46"/>
        <v/>
      </c>
      <c r="AK345" s="42" t="str">
        <f t="shared" si="47"/>
        <v/>
      </c>
      <c r="AO345" s="86">
        <f ca="1"/>
        <v>37945.708333333336</v>
      </c>
      <c r="AP345" s="87">
        <f ca="1"/>
        <v>1539.04</v>
      </c>
      <c r="AQ345" s="87">
        <f ca="1"/>
        <v>1538.05</v>
      </c>
      <c r="AR345" s="88">
        <f ca="1"/>
        <v>37945.708333333336</v>
      </c>
      <c r="AS345" s="87">
        <f ca="1"/>
        <v>10300</v>
      </c>
      <c r="AT345" s="87">
        <f ca="1"/>
        <v>7965.76</v>
      </c>
    </row>
    <row r="346" spans="13:46" x14ac:dyDescent="0.25">
      <c r="M346" s="42">
        <v>342</v>
      </c>
      <c r="N346" s="3" t="s">
        <v>402</v>
      </c>
      <c r="O346" s="49">
        <f t="shared" si="40"/>
        <v>37945.708333333336</v>
      </c>
      <c r="P346" s="42">
        <v>1539.04</v>
      </c>
      <c r="Q346" s="42">
        <v>10300</v>
      </c>
      <c r="R346" s="42">
        <v>1538.05</v>
      </c>
      <c r="S346" s="42">
        <v>7965.76</v>
      </c>
      <c r="T346" s="42"/>
      <c r="U346" s="42"/>
      <c r="V346" s="3"/>
      <c r="W346" s="3"/>
      <c r="X346" s="3"/>
      <c r="Y346" s="3"/>
      <c r="Z346" s="3"/>
      <c r="AA346" s="3"/>
      <c r="AB346" s="3"/>
      <c r="AE346" s="42">
        <f t="shared" si="41"/>
        <v>574941</v>
      </c>
      <c r="AF346" s="42">
        <f t="shared" si="42"/>
        <v>528142.8600000001</v>
      </c>
      <c r="AG346" s="42" t="str">
        <f t="shared" si="43"/>
        <v/>
      </c>
      <c r="AH346" s="42" t="str">
        <f t="shared" si="44"/>
        <v/>
      </c>
      <c r="AI346" s="42" t="str">
        <f t="shared" si="45"/>
        <v/>
      </c>
      <c r="AJ346" s="42" t="str">
        <f t="shared" si="46"/>
        <v/>
      </c>
      <c r="AK346" s="42" t="str">
        <f t="shared" si="47"/>
        <v/>
      </c>
      <c r="AO346" s="86">
        <f ca="1"/>
        <v>37945.75</v>
      </c>
      <c r="AP346" s="87">
        <f ca="1"/>
        <v>1538.91</v>
      </c>
      <c r="AQ346" s="87">
        <f ca="1"/>
        <v>1537.87</v>
      </c>
      <c r="AR346" s="88">
        <f ca="1"/>
        <v>37945.75</v>
      </c>
      <c r="AS346" s="87">
        <f ca="1"/>
        <v>10000</v>
      </c>
      <c r="AT346" s="87">
        <f ca="1"/>
        <v>7574.01</v>
      </c>
    </row>
    <row r="347" spans="13:46" x14ac:dyDescent="0.25">
      <c r="M347" s="42">
        <v>343</v>
      </c>
      <c r="N347" s="3" t="s">
        <v>403</v>
      </c>
      <c r="O347" s="49">
        <f t="shared" si="40"/>
        <v>37945.75</v>
      </c>
      <c r="P347" s="42">
        <v>1538.91</v>
      </c>
      <c r="Q347" s="42">
        <v>10000</v>
      </c>
      <c r="R347" s="42">
        <v>1537.87</v>
      </c>
      <c r="S347" s="42">
        <v>7574.01</v>
      </c>
      <c r="T347" s="42"/>
      <c r="U347" s="42"/>
      <c r="V347" s="3"/>
      <c r="W347" s="3"/>
      <c r="X347" s="3"/>
      <c r="Y347" s="3"/>
      <c r="Z347" s="3"/>
      <c r="AA347" s="3"/>
      <c r="AB347" s="3"/>
      <c r="AE347" s="42">
        <f t="shared" si="41"/>
        <v>584941</v>
      </c>
      <c r="AF347" s="42">
        <f t="shared" si="42"/>
        <v>535716.87000000011</v>
      </c>
      <c r="AG347" s="42" t="str">
        <f t="shared" si="43"/>
        <v/>
      </c>
      <c r="AH347" s="42" t="str">
        <f t="shared" si="44"/>
        <v/>
      </c>
      <c r="AI347" s="42" t="str">
        <f t="shared" si="45"/>
        <v/>
      </c>
      <c r="AJ347" s="42" t="str">
        <f t="shared" si="46"/>
        <v/>
      </c>
      <c r="AK347" s="42" t="str">
        <f t="shared" si="47"/>
        <v/>
      </c>
      <c r="AO347" s="86">
        <f ca="1"/>
        <v>37945.791666666664</v>
      </c>
      <c r="AP347" s="87">
        <f ca="1"/>
        <v>1538.75</v>
      </c>
      <c r="AQ347" s="87">
        <f ca="1"/>
        <v>1537.65</v>
      </c>
      <c r="AR347" s="88">
        <f ca="1"/>
        <v>37945.791666666664</v>
      </c>
      <c r="AS347" s="87">
        <f ca="1"/>
        <v>9720</v>
      </c>
      <c r="AT347" s="87">
        <f ca="1"/>
        <v>7207.29</v>
      </c>
    </row>
    <row r="348" spans="13:46" x14ac:dyDescent="0.25">
      <c r="M348" s="42">
        <v>344</v>
      </c>
      <c r="N348" s="3" t="s">
        <v>404</v>
      </c>
      <c r="O348" s="49">
        <f t="shared" si="40"/>
        <v>37945.791666666664</v>
      </c>
      <c r="P348" s="42">
        <v>1538.75</v>
      </c>
      <c r="Q348" s="42">
        <v>9720</v>
      </c>
      <c r="R348" s="42">
        <v>1537.65</v>
      </c>
      <c r="S348" s="42">
        <v>7207.29</v>
      </c>
      <c r="T348" s="42"/>
      <c r="U348" s="42"/>
      <c r="V348" s="3"/>
      <c r="W348" s="3"/>
      <c r="X348" s="3"/>
      <c r="Y348" s="3"/>
      <c r="Z348" s="3"/>
      <c r="AA348" s="3"/>
      <c r="AB348" s="3"/>
      <c r="AE348" s="42">
        <f t="shared" si="41"/>
        <v>594661</v>
      </c>
      <c r="AF348" s="42">
        <f t="shared" si="42"/>
        <v>542924.16000000015</v>
      </c>
      <c r="AG348" s="42" t="str">
        <f t="shared" si="43"/>
        <v/>
      </c>
      <c r="AH348" s="42" t="str">
        <f t="shared" si="44"/>
        <v/>
      </c>
      <c r="AI348" s="42" t="str">
        <f t="shared" si="45"/>
        <v/>
      </c>
      <c r="AJ348" s="42" t="str">
        <f t="shared" si="46"/>
        <v/>
      </c>
      <c r="AK348" s="42" t="str">
        <f t="shared" si="47"/>
        <v/>
      </c>
      <c r="AO348" s="86">
        <f ca="1"/>
        <v>37945.833333333336</v>
      </c>
      <c r="AP348" s="87">
        <f ca="1"/>
        <v>1538.58</v>
      </c>
      <c r="AQ348" s="87">
        <f ca="1"/>
        <v>1537.41</v>
      </c>
      <c r="AR348" s="88">
        <f ca="1"/>
        <v>37945.833333333336</v>
      </c>
      <c r="AS348" s="87">
        <f ca="1"/>
        <v>9380</v>
      </c>
      <c r="AT348" s="87">
        <f ca="1"/>
        <v>6847.7</v>
      </c>
    </row>
    <row r="349" spans="13:46" x14ac:dyDescent="0.25">
      <c r="M349" s="42">
        <v>345</v>
      </c>
      <c r="N349" s="3" t="s">
        <v>405</v>
      </c>
      <c r="O349" s="49">
        <f t="shared" si="40"/>
        <v>37945.833333333336</v>
      </c>
      <c r="P349" s="42">
        <v>1538.58</v>
      </c>
      <c r="Q349" s="42">
        <v>9380</v>
      </c>
      <c r="R349" s="42">
        <v>1537.41</v>
      </c>
      <c r="S349" s="42">
        <v>6847.7</v>
      </c>
      <c r="T349" s="42"/>
      <c r="U349" s="42"/>
      <c r="V349" s="3"/>
      <c r="W349" s="3"/>
      <c r="X349" s="3"/>
      <c r="Y349" s="3"/>
      <c r="Z349" s="3"/>
      <c r="AA349" s="3"/>
      <c r="AB349" s="3"/>
      <c r="AE349" s="42">
        <f t="shared" si="41"/>
        <v>604041</v>
      </c>
      <c r="AF349" s="42">
        <f t="shared" si="42"/>
        <v>549771.8600000001</v>
      </c>
      <c r="AG349" s="42" t="str">
        <f t="shared" si="43"/>
        <v/>
      </c>
      <c r="AH349" s="42" t="str">
        <f t="shared" si="44"/>
        <v/>
      </c>
      <c r="AI349" s="42" t="str">
        <f t="shared" si="45"/>
        <v/>
      </c>
      <c r="AJ349" s="42" t="str">
        <f t="shared" si="46"/>
        <v/>
      </c>
      <c r="AK349" s="42" t="str">
        <f t="shared" si="47"/>
        <v/>
      </c>
      <c r="AO349" s="86">
        <f ca="1"/>
        <v>37945.875</v>
      </c>
      <c r="AP349" s="87">
        <f ca="1"/>
        <v>1538.4</v>
      </c>
      <c r="AQ349" s="87">
        <f ca="1"/>
        <v>1537.14</v>
      </c>
      <c r="AR349" s="88">
        <f ca="1"/>
        <v>37945.875</v>
      </c>
      <c r="AS349" s="87">
        <f ca="1"/>
        <v>9020</v>
      </c>
      <c r="AT349" s="87">
        <f ca="1"/>
        <v>6443.41</v>
      </c>
    </row>
    <row r="350" spans="13:46" x14ac:dyDescent="0.25">
      <c r="M350" s="42">
        <v>346</v>
      </c>
      <c r="N350" s="3" t="s">
        <v>406</v>
      </c>
      <c r="O350" s="49">
        <f t="shared" si="40"/>
        <v>37945.875</v>
      </c>
      <c r="P350" s="42">
        <v>1538.4</v>
      </c>
      <c r="Q350" s="42">
        <v>9020</v>
      </c>
      <c r="R350" s="42">
        <v>1537.14</v>
      </c>
      <c r="S350" s="42">
        <v>6443.41</v>
      </c>
      <c r="T350" s="42"/>
      <c r="U350" s="42"/>
      <c r="V350" s="3"/>
      <c r="W350" s="3"/>
      <c r="X350" s="3"/>
      <c r="Y350" s="3"/>
      <c r="Z350" s="3"/>
      <c r="AA350" s="3"/>
      <c r="AB350" s="3"/>
      <c r="AE350" s="42">
        <f t="shared" si="41"/>
        <v>613061</v>
      </c>
      <c r="AF350" s="42">
        <f t="shared" si="42"/>
        <v>556215.27000000014</v>
      </c>
      <c r="AG350" s="42" t="str">
        <f t="shared" si="43"/>
        <v/>
      </c>
      <c r="AH350" s="42" t="str">
        <f t="shared" si="44"/>
        <v/>
      </c>
      <c r="AI350" s="42" t="str">
        <f t="shared" si="45"/>
        <v/>
      </c>
      <c r="AJ350" s="42" t="str">
        <f t="shared" si="46"/>
        <v/>
      </c>
      <c r="AK350" s="42" t="str">
        <f t="shared" si="47"/>
        <v/>
      </c>
      <c r="AO350" s="86">
        <f ca="1"/>
        <v>37945.916666666664</v>
      </c>
      <c r="AP350" s="87">
        <f ca="1"/>
        <v>1538.21</v>
      </c>
      <c r="AQ350" s="87">
        <f ca="1"/>
        <v>1536.96</v>
      </c>
      <c r="AR350" s="88">
        <f ca="1"/>
        <v>37945.916666666664</v>
      </c>
      <c r="AS350" s="87">
        <f ca="1"/>
        <v>8660</v>
      </c>
      <c r="AT350" s="87">
        <f ca="1"/>
        <v>6189.54</v>
      </c>
    </row>
    <row r="351" spans="13:46" x14ac:dyDescent="0.25">
      <c r="M351" s="42">
        <v>347</v>
      </c>
      <c r="N351" s="3" t="s">
        <v>407</v>
      </c>
      <c r="O351" s="49">
        <f t="shared" si="40"/>
        <v>37945.916666666664</v>
      </c>
      <c r="P351" s="42">
        <v>1538.21</v>
      </c>
      <c r="Q351" s="42">
        <v>8660</v>
      </c>
      <c r="R351" s="42">
        <v>1536.96</v>
      </c>
      <c r="S351" s="42">
        <v>6189.54</v>
      </c>
      <c r="T351" s="42"/>
      <c r="U351" s="42"/>
      <c r="V351" s="3"/>
      <c r="W351" s="3"/>
      <c r="X351" s="3"/>
      <c r="Y351" s="3"/>
      <c r="Z351" s="3"/>
      <c r="AA351" s="3"/>
      <c r="AB351" s="3"/>
      <c r="AE351" s="42">
        <f t="shared" si="41"/>
        <v>621721</v>
      </c>
      <c r="AF351" s="42">
        <f t="shared" si="42"/>
        <v>562404.81000000017</v>
      </c>
      <c r="AG351" s="42" t="str">
        <f t="shared" si="43"/>
        <v/>
      </c>
      <c r="AH351" s="42" t="str">
        <f t="shared" si="44"/>
        <v/>
      </c>
      <c r="AI351" s="42" t="str">
        <f t="shared" si="45"/>
        <v/>
      </c>
      <c r="AJ351" s="42" t="str">
        <f t="shared" si="46"/>
        <v/>
      </c>
      <c r="AK351" s="42" t="str">
        <f t="shared" si="47"/>
        <v/>
      </c>
      <c r="AO351" s="86">
        <f ca="1"/>
        <v>37945.958333333336</v>
      </c>
      <c r="AP351" s="87">
        <f ca="1"/>
        <v>1538</v>
      </c>
      <c r="AQ351" s="87">
        <f ca="1"/>
        <v>1536.78</v>
      </c>
      <c r="AR351" s="88">
        <f ca="1"/>
        <v>37945.958333333336</v>
      </c>
      <c r="AS351" s="87">
        <f ca="1"/>
        <v>8270</v>
      </c>
      <c r="AT351" s="87">
        <f ca="1"/>
        <v>5925.8</v>
      </c>
    </row>
    <row r="352" spans="13:46" x14ac:dyDescent="0.25">
      <c r="M352" s="42">
        <v>348</v>
      </c>
      <c r="N352" s="3" t="s">
        <v>408</v>
      </c>
      <c r="O352" s="49">
        <f t="shared" si="40"/>
        <v>37945.958333333336</v>
      </c>
      <c r="P352" s="42">
        <v>1538</v>
      </c>
      <c r="Q352" s="42">
        <v>8270</v>
      </c>
      <c r="R352" s="42">
        <v>1536.78</v>
      </c>
      <c r="S352" s="42">
        <v>5925.8</v>
      </c>
      <c r="T352" s="42"/>
      <c r="U352" s="42"/>
      <c r="V352" s="3"/>
      <c r="W352" s="3"/>
      <c r="X352" s="3"/>
      <c r="Y352" s="3"/>
      <c r="Z352" s="3"/>
      <c r="AA352" s="3"/>
      <c r="AB352" s="3"/>
      <c r="AE352" s="42">
        <f t="shared" si="41"/>
        <v>629991</v>
      </c>
      <c r="AF352" s="42">
        <f t="shared" si="42"/>
        <v>568330.61000000022</v>
      </c>
      <c r="AG352" s="42" t="str">
        <f t="shared" si="43"/>
        <v/>
      </c>
      <c r="AH352" s="42" t="str">
        <f t="shared" si="44"/>
        <v/>
      </c>
      <c r="AI352" s="42" t="str">
        <f t="shared" si="45"/>
        <v/>
      </c>
      <c r="AJ352" s="42" t="str">
        <f t="shared" si="46"/>
        <v/>
      </c>
      <c r="AK352" s="42" t="str">
        <f t="shared" si="47"/>
        <v/>
      </c>
      <c r="AO352" s="86">
        <f ca="1"/>
        <v>37946</v>
      </c>
      <c r="AP352" s="87">
        <f ca="1"/>
        <v>1537.78</v>
      </c>
      <c r="AQ352" s="87">
        <f ca="1"/>
        <v>1536.58</v>
      </c>
      <c r="AR352" s="88">
        <f ca="1"/>
        <v>37946</v>
      </c>
      <c r="AS352" s="87">
        <f ca="1"/>
        <v>7790</v>
      </c>
      <c r="AT352" s="87">
        <f ca="1"/>
        <v>5647.93</v>
      </c>
    </row>
    <row r="353" spans="13:46" x14ac:dyDescent="0.25">
      <c r="M353" s="42">
        <v>349</v>
      </c>
      <c r="N353" s="3" t="s">
        <v>409</v>
      </c>
      <c r="O353" s="49">
        <f t="shared" si="40"/>
        <v>37946</v>
      </c>
      <c r="P353" s="42">
        <v>1537.78</v>
      </c>
      <c r="Q353" s="42">
        <v>7790</v>
      </c>
      <c r="R353" s="42">
        <v>1536.58</v>
      </c>
      <c r="S353" s="42">
        <v>5647.93</v>
      </c>
      <c r="T353" s="42"/>
      <c r="U353" s="42"/>
      <c r="V353" s="3"/>
      <c r="W353" s="3"/>
      <c r="X353" s="3"/>
      <c r="Y353" s="3"/>
      <c r="Z353" s="3"/>
      <c r="AA353" s="3"/>
      <c r="AB353" s="3"/>
      <c r="AE353" s="42">
        <f t="shared" si="41"/>
        <v>637781</v>
      </c>
      <c r="AF353" s="42">
        <f t="shared" si="42"/>
        <v>573978.54000000027</v>
      </c>
      <c r="AG353" s="42" t="str">
        <f t="shared" si="43"/>
        <v/>
      </c>
      <c r="AH353" s="42" t="str">
        <f t="shared" si="44"/>
        <v/>
      </c>
      <c r="AI353" s="42" t="str">
        <f t="shared" si="45"/>
        <v/>
      </c>
      <c r="AJ353" s="42" t="str">
        <f t="shared" si="46"/>
        <v/>
      </c>
      <c r="AK353" s="42" t="str">
        <f t="shared" si="47"/>
        <v/>
      </c>
      <c r="AO353" s="86">
        <f ca="1"/>
        <v>37946.041666666664</v>
      </c>
      <c r="AP353" s="87">
        <f ca="1"/>
        <v>1537.57</v>
      </c>
      <c r="AQ353" s="87">
        <f ca="1"/>
        <v>1536.36</v>
      </c>
      <c r="AR353" s="88">
        <f ca="1"/>
        <v>37946.041666666664</v>
      </c>
      <c r="AS353" s="87">
        <f ca="1"/>
        <v>7300</v>
      </c>
      <c r="AT353" s="87">
        <f ca="1"/>
        <v>5322.78</v>
      </c>
    </row>
    <row r="354" spans="13:46" x14ac:dyDescent="0.25">
      <c r="M354" s="42">
        <v>350</v>
      </c>
      <c r="N354" s="3" t="s">
        <v>410</v>
      </c>
      <c r="O354" s="49">
        <f t="shared" si="40"/>
        <v>37946.041666666664</v>
      </c>
      <c r="P354" s="42">
        <v>1537.57</v>
      </c>
      <c r="Q354" s="42">
        <v>7300</v>
      </c>
      <c r="R354" s="42">
        <v>1536.36</v>
      </c>
      <c r="S354" s="42">
        <v>5322.78</v>
      </c>
      <c r="T354" s="42"/>
      <c r="U354" s="42"/>
      <c r="V354" s="3"/>
      <c r="W354" s="3"/>
      <c r="X354" s="3"/>
      <c r="Y354" s="3"/>
      <c r="Z354" s="3"/>
      <c r="AA354" s="3"/>
      <c r="AB354" s="3"/>
      <c r="AE354" s="42">
        <f t="shared" si="41"/>
        <v>645081</v>
      </c>
      <c r="AF354" s="42">
        <f t="shared" si="42"/>
        <v>579301.3200000003</v>
      </c>
      <c r="AG354" s="42" t="str">
        <f t="shared" si="43"/>
        <v/>
      </c>
      <c r="AH354" s="42" t="str">
        <f t="shared" si="44"/>
        <v/>
      </c>
      <c r="AI354" s="42" t="str">
        <f t="shared" si="45"/>
        <v/>
      </c>
      <c r="AJ354" s="42" t="str">
        <f t="shared" si="46"/>
        <v/>
      </c>
      <c r="AK354" s="42" t="str">
        <f t="shared" si="47"/>
        <v/>
      </c>
      <c r="AO354" s="86">
        <f ca="1"/>
        <v>37946.083333333336</v>
      </c>
      <c r="AP354" s="87">
        <f ca="1"/>
        <v>1537.31</v>
      </c>
      <c r="AQ354" s="87">
        <f ca="1"/>
        <v>1536.19</v>
      </c>
      <c r="AR354" s="88">
        <f ca="1"/>
        <v>37946.083333333336</v>
      </c>
      <c r="AS354" s="87">
        <f ca="1"/>
        <v>6720</v>
      </c>
      <c r="AT354" s="87">
        <f ca="1"/>
        <v>5103.4399999999996</v>
      </c>
    </row>
    <row r="355" spans="13:46" x14ac:dyDescent="0.25">
      <c r="M355" s="42">
        <v>351</v>
      </c>
      <c r="N355" s="3" t="s">
        <v>411</v>
      </c>
      <c r="O355" s="49">
        <f t="shared" si="40"/>
        <v>37946.083333333336</v>
      </c>
      <c r="P355" s="42">
        <v>1537.31</v>
      </c>
      <c r="Q355" s="42">
        <v>6720</v>
      </c>
      <c r="R355" s="42">
        <v>1536.19</v>
      </c>
      <c r="S355" s="42">
        <v>5103.4399999999996</v>
      </c>
      <c r="T355" s="42"/>
      <c r="U355" s="42"/>
      <c r="V355" s="3"/>
      <c r="W355" s="3"/>
      <c r="X355" s="3"/>
      <c r="Y355" s="3"/>
      <c r="Z355" s="3"/>
      <c r="AA355" s="3"/>
      <c r="AB355" s="3"/>
      <c r="AE355" s="42">
        <f t="shared" si="41"/>
        <v>651801</v>
      </c>
      <c r="AF355" s="42">
        <f t="shared" si="42"/>
        <v>584404.76000000024</v>
      </c>
      <c r="AG355" s="42" t="str">
        <f t="shared" si="43"/>
        <v/>
      </c>
      <c r="AH355" s="42" t="str">
        <f t="shared" si="44"/>
        <v/>
      </c>
      <c r="AI355" s="42" t="str">
        <f t="shared" si="45"/>
        <v/>
      </c>
      <c r="AJ355" s="42" t="str">
        <f t="shared" si="46"/>
        <v/>
      </c>
      <c r="AK355" s="42" t="str">
        <f t="shared" si="47"/>
        <v/>
      </c>
      <c r="AO355" s="86">
        <f ca="1"/>
        <v>37946.125</v>
      </c>
      <c r="AP355" s="87">
        <f ca="1"/>
        <v>1537.06</v>
      </c>
      <c r="AQ355" s="87">
        <f ca="1"/>
        <v>1536</v>
      </c>
      <c r="AR355" s="88">
        <f ca="1"/>
        <v>37946.125</v>
      </c>
      <c r="AS355" s="87">
        <f ca="1"/>
        <v>6200</v>
      </c>
      <c r="AT355" s="87">
        <f ca="1"/>
        <v>4854.54</v>
      </c>
    </row>
    <row r="356" spans="13:46" x14ac:dyDescent="0.25">
      <c r="M356" s="42">
        <v>352</v>
      </c>
      <c r="N356" s="3" t="s">
        <v>412</v>
      </c>
      <c r="O356" s="49">
        <f t="shared" si="40"/>
        <v>37946.125</v>
      </c>
      <c r="P356" s="42">
        <v>1537.06</v>
      </c>
      <c r="Q356" s="42">
        <v>6200</v>
      </c>
      <c r="R356" s="42">
        <v>1536</v>
      </c>
      <c r="S356" s="42">
        <v>4854.54</v>
      </c>
      <c r="T356" s="42"/>
      <c r="U356" s="42"/>
      <c r="V356" s="3"/>
      <c r="W356" s="3"/>
      <c r="X356" s="3"/>
      <c r="Y356" s="3"/>
      <c r="Z356" s="3"/>
      <c r="AA356" s="3"/>
      <c r="AB356" s="3"/>
      <c r="AE356" s="42">
        <f t="shared" si="41"/>
        <v>658001</v>
      </c>
      <c r="AF356" s="42">
        <f t="shared" si="42"/>
        <v>589259.30000000028</v>
      </c>
      <c r="AG356" s="42" t="str">
        <f t="shared" si="43"/>
        <v/>
      </c>
      <c r="AH356" s="42" t="str">
        <f t="shared" si="44"/>
        <v/>
      </c>
      <c r="AI356" s="42" t="str">
        <f t="shared" si="45"/>
        <v/>
      </c>
      <c r="AJ356" s="42" t="str">
        <f t="shared" si="46"/>
        <v/>
      </c>
      <c r="AK356" s="42" t="str">
        <f t="shared" si="47"/>
        <v/>
      </c>
      <c r="AO356" s="86">
        <f ca="1"/>
        <v>37946.166666666664</v>
      </c>
      <c r="AP356" s="87">
        <f ca="1"/>
        <v>1536.82</v>
      </c>
      <c r="AQ356" s="87">
        <f ca="1"/>
        <v>1535.83</v>
      </c>
      <c r="AR356" s="88">
        <f ca="1"/>
        <v>37946.166666666664</v>
      </c>
      <c r="AS356" s="87">
        <f ca="1"/>
        <v>5740</v>
      </c>
      <c r="AT356" s="87">
        <f ca="1"/>
        <v>4629.09</v>
      </c>
    </row>
    <row r="357" spans="13:46" x14ac:dyDescent="0.25">
      <c r="M357" s="42">
        <v>353</v>
      </c>
      <c r="N357" s="3" t="s">
        <v>413</v>
      </c>
      <c r="O357" s="49">
        <f t="shared" si="40"/>
        <v>37946.166666666664</v>
      </c>
      <c r="P357" s="42">
        <v>1536.82</v>
      </c>
      <c r="Q357" s="42">
        <v>5740</v>
      </c>
      <c r="R357" s="42">
        <v>1535.83</v>
      </c>
      <c r="S357" s="42">
        <v>4629.09</v>
      </c>
      <c r="T357" s="42"/>
      <c r="U357" s="42"/>
      <c r="V357" s="3"/>
      <c r="W357" s="3"/>
      <c r="X357" s="3"/>
      <c r="Y357" s="3"/>
      <c r="Z357" s="3"/>
      <c r="AA357" s="3"/>
      <c r="AB357" s="3"/>
      <c r="AE357" s="42">
        <f t="shared" si="41"/>
        <v>663741</v>
      </c>
      <c r="AF357" s="42">
        <f t="shared" si="42"/>
        <v>593888.39000000025</v>
      </c>
      <c r="AG357" s="42" t="str">
        <f t="shared" si="43"/>
        <v/>
      </c>
      <c r="AH357" s="42" t="str">
        <f t="shared" si="44"/>
        <v/>
      </c>
      <c r="AI357" s="42" t="str">
        <f t="shared" si="45"/>
        <v/>
      </c>
      <c r="AJ357" s="42" t="str">
        <f t="shared" si="46"/>
        <v/>
      </c>
      <c r="AK357" s="42" t="str">
        <f t="shared" si="47"/>
        <v/>
      </c>
      <c r="AO357" s="86">
        <f ca="1"/>
        <v>37946.208333333336</v>
      </c>
      <c r="AP357" s="87">
        <f ca="1"/>
        <v>1536.6</v>
      </c>
      <c r="AQ357" s="87">
        <f ca="1"/>
        <v>1535.66</v>
      </c>
      <c r="AR357" s="88">
        <f ca="1"/>
        <v>37946.208333333336</v>
      </c>
      <c r="AS357" s="87">
        <f ca="1"/>
        <v>5370</v>
      </c>
      <c r="AT357" s="87">
        <f ca="1"/>
        <v>4414.54</v>
      </c>
    </row>
    <row r="358" spans="13:46" x14ac:dyDescent="0.25">
      <c r="M358" s="42">
        <v>354</v>
      </c>
      <c r="N358" s="3" t="s">
        <v>414</v>
      </c>
      <c r="O358" s="49">
        <f t="shared" si="40"/>
        <v>37946.208333333336</v>
      </c>
      <c r="P358" s="42">
        <v>1536.6</v>
      </c>
      <c r="Q358" s="42">
        <v>5370</v>
      </c>
      <c r="R358" s="42">
        <v>1535.66</v>
      </c>
      <c r="S358" s="42">
        <v>4414.54</v>
      </c>
      <c r="T358" s="42"/>
      <c r="U358" s="42"/>
      <c r="V358" s="3"/>
      <c r="W358" s="3"/>
      <c r="X358" s="3"/>
      <c r="Y358" s="3"/>
      <c r="Z358" s="3"/>
      <c r="AA358" s="3"/>
      <c r="AB358" s="3"/>
      <c r="AE358" s="42">
        <f t="shared" si="41"/>
        <v>669111</v>
      </c>
      <c r="AF358" s="42">
        <f t="shared" si="42"/>
        <v>598302.93000000028</v>
      </c>
      <c r="AG358" s="42" t="str">
        <f t="shared" si="43"/>
        <v/>
      </c>
      <c r="AH358" s="42" t="str">
        <f t="shared" si="44"/>
        <v/>
      </c>
      <c r="AI358" s="42" t="str">
        <f t="shared" si="45"/>
        <v/>
      </c>
      <c r="AJ358" s="42" t="str">
        <f t="shared" si="46"/>
        <v/>
      </c>
      <c r="AK358" s="42" t="str">
        <f t="shared" si="47"/>
        <v/>
      </c>
      <c r="AO358" s="86">
        <f ca="1"/>
        <v>37946.25</v>
      </c>
      <c r="AP358" s="87">
        <f ca="1"/>
        <v>1536.4</v>
      </c>
      <c r="AQ358" s="87">
        <f ca="1"/>
        <v>1535.47</v>
      </c>
      <c r="AR358" s="88">
        <f ca="1"/>
        <v>37946.25</v>
      </c>
      <c r="AS358" s="87">
        <f ca="1"/>
        <v>5040</v>
      </c>
      <c r="AT358" s="87">
        <f ca="1"/>
        <v>4169.3900000000003</v>
      </c>
    </row>
    <row r="359" spans="13:46" x14ac:dyDescent="0.25">
      <c r="M359" s="42">
        <v>355</v>
      </c>
      <c r="N359" s="3" t="s">
        <v>415</v>
      </c>
      <c r="O359" s="49">
        <f t="shared" si="40"/>
        <v>37946.25</v>
      </c>
      <c r="P359" s="42">
        <v>1536.4</v>
      </c>
      <c r="Q359" s="42">
        <v>5040</v>
      </c>
      <c r="R359" s="42">
        <v>1535.47</v>
      </c>
      <c r="S359" s="42">
        <v>4169.3900000000003</v>
      </c>
      <c r="T359" s="42"/>
      <c r="U359" s="42"/>
      <c r="V359" s="3"/>
      <c r="W359" s="3"/>
      <c r="X359" s="3"/>
      <c r="Y359" s="3"/>
      <c r="Z359" s="3"/>
      <c r="AA359" s="3"/>
      <c r="AB359" s="3"/>
      <c r="AE359" s="42">
        <f t="shared" si="41"/>
        <v>674151</v>
      </c>
      <c r="AF359" s="42">
        <f t="shared" si="42"/>
        <v>602472.3200000003</v>
      </c>
      <c r="AG359" s="42" t="str">
        <f t="shared" si="43"/>
        <v/>
      </c>
      <c r="AH359" s="42" t="str">
        <f t="shared" si="44"/>
        <v/>
      </c>
      <c r="AI359" s="42" t="str">
        <f t="shared" si="45"/>
        <v/>
      </c>
      <c r="AJ359" s="42" t="str">
        <f t="shared" si="46"/>
        <v/>
      </c>
      <c r="AK359" s="42" t="str">
        <f t="shared" si="47"/>
        <v/>
      </c>
      <c r="AO359" s="86">
        <f ca="1"/>
        <v>37946.291666666664</v>
      </c>
      <c r="AP359" s="87">
        <f ca="1"/>
        <v>1536.2</v>
      </c>
      <c r="AQ359" s="87">
        <f ca="1"/>
        <v>1535.31</v>
      </c>
      <c r="AR359" s="88">
        <f ca="1"/>
        <v>37946.291666666664</v>
      </c>
      <c r="AS359" s="87">
        <f ca="1"/>
        <v>4730</v>
      </c>
      <c r="AT359" s="87">
        <f ca="1"/>
        <v>3975.65</v>
      </c>
    </row>
    <row r="360" spans="13:46" x14ac:dyDescent="0.25">
      <c r="M360" s="42">
        <v>356</v>
      </c>
      <c r="N360" s="3" t="s">
        <v>416</v>
      </c>
      <c r="O360" s="49">
        <f t="shared" si="40"/>
        <v>37946.291666666664</v>
      </c>
      <c r="P360" s="42">
        <v>1536.2</v>
      </c>
      <c r="Q360" s="42">
        <v>4730</v>
      </c>
      <c r="R360" s="42">
        <v>1535.31</v>
      </c>
      <c r="S360" s="42">
        <v>3975.65</v>
      </c>
      <c r="T360" s="42"/>
      <c r="U360" s="42"/>
      <c r="V360" s="3"/>
      <c r="W360" s="3"/>
      <c r="X360" s="3"/>
      <c r="Y360" s="3"/>
      <c r="Z360" s="3"/>
      <c r="AA360" s="3"/>
      <c r="AB360" s="3"/>
      <c r="AE360" s="42">
        <f t="shared" si="41"/>
        <v>678881</v>
      </c>
      <c r="AF360" s="42">
        <f t="shared" si="42"/>
        <v>606447.97000000032</v>
      </c>
      <c r="AG360" s="42" t="str">
        <f t="shared" si="43"/>
        <v/>
      </c>
      <c r="AH360" s="42" t="str">
        <f t="shared" si="44"/>
        <v/>
      </c>
      <c r="AI360" s="42" t="str">
        <f t="shared" si="45"/>
        <v/>
      </c>
      <c r="AJ360" s="42" t="str">
        <f t="shared" si="46"/>
        <v/>
      </c>
      <c r="AK360" s="42" t="str">
        <f t="shared" si="47"/>
        <v/>
      </c>
      <c r="AO360" s="86">
        <f ca="1"/>
        <v>37946.333333333336</v>
      </c>
      <c r="AP360" s="87">
        <f ca="1"/>
        <v>1536.01</v>
      </c>
      <c r="AQ360" s="87">
        <f ca="1"/>
        <v>1535.18</v>
      </c>
      <c r="AR360" s="88">
        <f ca="1"/>
        <v>37946.333333333336</v>
      </c>
      <c r="AS360" s="87">
        <f ca="1"/>
        <v>4450</v>
      </c>
      <c r="AT360" s="87">
        <f ca="1"/>
        <v>3814.11</v>
      </c>
    </row>
    <row r="361" spans="13:46" x14ac:dyDescent="0.25">
      <c r="M361" s="42">
        <v>357</v>
      </c>
      <c r="N361" s="3" t="s">
        <v>417</v>
      </c>
      <c r="O361" s="49">
        <f t="shared" si="40"/>
        <v>37946.333333333336</v>
      </c>
      <c r="P361" s="42">
        <v>1536.01</v>
      </c>
      <c r="Q361" s="42">
        <v>4450</v>
      </c>
      <c r="R361" s="42">
        <v>1535.18</v>
      </c>
      <c r="S361" s="42">
        <v>3814.11</v>
      </c>
      <c r="T361" s="42"/>
      <c r="U361" s="42"/>
      <c r="V361" s="3"/>
      <c r="W361" s="3"/>
      <c r="X361" s="3"/>
      <c r="Y361" s="3"/>
      <c r="Z361" s="3"/>
      <c r="AA361" s="3"/>
      <c r="AB361" s="3"/>
      <c r="AE361" s="42">
        <f t="shared" si="41"/>
        <v>683331</v>
      </c>
      <c r="AF361" s="42">
        <f t="shared" si="42"/>
        <v>610262.08000000031</v>
      </c>
      <c r="AG361" s="42" t="str">
        <f t="shared" si="43"/>
        <v/>
      </c>
      <c r="AH361" s="42" t="str">
        <f t="shared" si="44"/>
        <v/>
      </c>
      <c r="AI361" s="42" t="str">
        <f t="shared" si="45"/>
        <v/>
      </c>
      <c r="AJ361" s="42" t="str">
        <f t="shared" si="46"/>
        <v/>
      </c>
      <c r="AK361" s="42" t="str">
        <f t="shared" si="47"/>
        <v/>
      </c>
      <c r="AO361" s="86">
        <f ca="1"/>
        <v>37946.375</v>
      </c>
      <c r="AP361" s="87">
        <f ca="1"/>
        <v>1535.84</v>
      </c>
      <c r="AQ361" s="87">
        <f ca="1"/>
        <v>1535.05</v>
      </c>
      <c r="AR361" s="88">
        <f ca="1"/>
        <v>37946.375</v>
      </c>
      <c r="AS361" s="87">
        <f ca="1"/>
        <v>4210</v>
      </c>
      <c r="AT361" s="87">
        <f ca="1"/>
        <v>3662.05</v>
      </c>
    </row>
    <row r="362" spans="13:46" x14ac:dyDescent="0.25">
      <c r="M362" s="42">
        <v>358</v>
      </c>
      <c r="N362" s="3" t="s">
        <v>418</v>
      </c>
      <c r="O362" s="49">
        <f t="shared" si="40"/>
        <v>37946.375</v>
      </c>
      <c r="P362" s="42">
        <v>1535.84</v>
      </c>
      <c r="Q362" s="42">
        <v>4210</v>
      </c>
      <c r="R362" s="42">
        <v>1535.05</v>
      </c>
      <c r="S362" s="42">
        <v>3662.05</v>
      </c>
      <c r="T362" s="42"/>
      <c r="U362" s="42"/>
      <c r="V362" s="3"/>
      <c r="W362" s="3"/>
      <c r="X362" s="3"/>
      <c r="Y362" s="3"/>
      <c r="Z362" s="3"/>
      <c r="AA362" s="3"/>
      <c r="AB362" s="3"/>
      <c r="AE362" s="42">
        <f t="shared" si="41"/>
        <v>687541</v>
      </c>
      <c r="AF362" s="42">
        <f t="shared" si="42"/>
        <v>613924.13000000035</v>
      </c>
      <c r="AG362" s="42" t="str">
        <f t="shared" si="43"/>
        <v/>
      </c>
      <c r="AH362" s="42" t="str">
        <f t="shared" si="44"/>
        <v/>
      </c>
      <c r="AI362" s="42" t="str">
        <f t="shared" si="45"/>
        <v/>
      </c>
      <c r="AJ362" s="42" t="str">
        <f t="shared" si="46"/>
        <v/>
      </c>
      <c r="AK362" s="42" t="str">
        <f t="shared" si="47"/>
        <v/>
      </c>
      <c r="AO362" s="86">
        <f ca="1"/>
        <v>37946.416666666664</v>
      </c>
      <c r="AP362" s="87">
        <f ca="1"/>
        <v>1535.68</v>
      </c>
      <c r="AQ362" s="87">
        <f ca="1"/>
        <v>1534.96</v>
      </c>
      <c r="AR362" s="88">
        <f ca="1"/>
        <v>37946.416666666664</v>
      </c>
      <c r="AS362" s="87">
        <f ca="1"/>
        <v>4000</v>
      </c>
      <c r="AT362" s="87">
        <f ca="1"/>
        <v>3550.51</v>
      </c>
    </row>
    <row r="363" spans="13:46" x14ac:dyDescent="0.25">
      <c r="M363" s="42">
        <v>359</v>
      </c>
      <c r="N363" s="3" t="s">
        <v>419</v>
      </c>
      <c r="O363" s="49">
        <f t="shared" si="40"/>
        <v>37946.416666666664</v>
      </c>
      <c r="P363" s="42">
        <v>1535.68</v>
      </c>
      <c r="Q363" s="42">
        <v>4000</v>
      </c>
      <c r="R363" s="42">
        <v>1534.96</v>
      </c>
      <c r="S363" s="42">
        <v>3550.51</v>
      </c>
      <c r="T363" s="42"/>
      <c r="U363" s="42"/>
      <c r="V363" s="3"/>
      <c r="W363" s="3"/>
      <c r="X363" s="3"/>
      <c r="Y363" s="3"/>
      <c r="Z363" s="3"/>
      <c r="AA363" s="3"/>
      <c r="AB363" s="3"/>
      <c r="AE363" s="42">
        <f t="shared" si="41"/>
        <v>691541</v>
      </c>
      <c r="AF363" s="42">
        <f t="shared" si="42"/>
        <v>617474.64000000036</v>
      </c>
      <c r="AG363" s="42" t="str">
        <f t="shared" si="43"/>
        <v/>
      </c>
      <c r="AH363" s="42" t="str">
        <f t="shared" si="44"/>
        <v/>
      </c>
      <c r="AI363" s="42" t="str">
        <f t="shared" si="45"/>
        <v/>
      </c>
      <c r="AJ363" s="42" t="str">
        <f t="shared" si="46"/>
        <v/>
      </c>
      <c r="AK363" s="42" t="str">
        <f t="shared" si="47"/>
        <v/>
      </c>
      <c r="AO363" s="86">
        <f ca="1"/>
        <v>37946.458333333336</v>
      </c>
      <c r="AP363" s="87">
        <f ca="1"/>
        <v>1535.51</v>
      </c>
      <c r="AQ363" s="87">
        <f ca="1"/>
        <v>1534.83</v>
      </c>
      <c r="AR363" s="88">
        <f ca="1"/>
        <v>37946.458333333336</v>
      </c>
      <c r="AS363" s="87">
        <f ca="1"/>
        <v>3790</v>
      </c>
      <c r="AT363" s="87">
        <f ca="1"/>
        <v>3409.51</v>
      </c>
    </row>
    <row r="364" spans="13:46" x14ac:dyDescent="0.25">
      <c r="M364" s="42">
        <v>360</v>
      </c>
      <c r="N364" s="3" t="s">
        <v>420</v>
      </c>
      <c r="O364" s="49">
        <f t="shared" si="40"/>
        <v>37946.458333333336</v>
      </c>
      <c r="P364" s="42">
        <v>1535.51</v>
      </c>
      <c r="Q364" s="42">
        <v>3790</v>
      </c>
      <c r="R364" s="42">
        <v>1534.83</v>
      </c>
      <c r="S364" s="42">
        <v>3409.51</v>
      </c>
      <c r="T364" s="42"/>
      <c r="U364" s="42"/>
      <c r="V364" s="3"/>
      <c r="W364" s="3"/>
      <c r="X364" s="3"/>
      <c r="Y364" s="3"/>
      <c r="Z364" s="3"/>
      <c r="AA364" s="3"/>
      <c r="AB364" s="3"/>
      <c r="AE364" s="42">
        <f t="shared" si="41"/>
        <v>695331</v>
      </c>
      <c r="AF364" s="42">
        <f t="shared" si="42"/>
        <v>620884.15000000037</v>
      </c>
      <c r="AG364" s="42" t="str">
        <f t="shared" si="43"/>
        <v/>
      </c>
      <c r="AH364" s="42" t="str">
        <f t="shared" si="44"/>
        <v/>
      </c>
      <c r="AI364" s="42" t="str">
        <f t="shared" si="45"/>
        <v/>
      </c>
      <c r="AJ364" s="42" t="str">
        <f t="shared" si="46"/>
        <v/>
      </c>
      <c r="AK364" s="42" t="str">
        <f t="shared" si="47"/>
        <v/>
      </c>
      <c r="AO364" s="86">
        <f ca="1"/>
        <v>37946.5</v>
      </c>
      <c r="AP364" s="87">
        <f ca="1"/>
        <v>1535.37</v>
      </c>
      <c r="AQ364" s="87">
        <f ca="1"/>
        <v>1534.76</v>
      </c>
      <c r="AR364" s="88">
        <f ca="1"/>
        <v>37946.5</v>
      </c>
      <c r="AS364" s="87">
        <f ca="1"/>
        <v>3620</v>
      </c>
      <c r="AT364" s="87">
        <f ca="1"/>
        <v>3323.49</v>
      </c>
    </row>
    <row r="365" spans="13:46" x14ac:dyDescent="0.25">
      <c r="M365" s="42">
        <v>361</v>
      </c>
      <c r="N365" s="3" t="s">
        <v>421</v>
      </c>
      <c r="O365" s="49">
        <f t="shared" si="40"/>
        <v>37946.5</v>
      </c>
      <c r="P365" s="42">
        <v>1535.37</v>
      </c>
      <c r="Q365" s="42">
        <v>3620</v>
      </c>
      <c r="R365" s="42">
        <v>1534.76</v>
      </c>
      <c r="S365" s="42">
        <v>3323.49</v>
      </c>
      <c r="T365" s="42"/>
      <c r="U365" s="42"/>
      <c r="V365" s="3"/>
      <c r="W365" s="3"/>
      <c r="X365" s="3"/>
      <c r="Y365" s="3"/>
      <c r="Z365" s="3"/>
      <c r="AA365" s="3"/>
      <c r="AB365" s="3"/>
      <c r="AE365" s="42">
        <f t="shared" si="41"/>
        <v>698951</v>
      </c>
      <c r="AF365" s="42">
        <f t="shared" si="42"/>
        <v>624207.64000000036</v>
      </c>
      <c r="AG365" s="42" t="str">
        <f t="shared" si="43"/>
        <v/>
      </c>
      <c r="AH365" s="42" t="str">
        <f t="shared" si="44"/>
        <v/>
      </c>
      <c r="AI365" s="42" t="str">
        <f t="shared" si="45"/>
        <v/>
      </c>
      <c r="AJ365" s="42" t="str">
        <f t="shared" si="46"/>
        <v/>
      </c>
      <c r="AK365" s="42" t="str">
        <f t="shared" si="47"/>
        <v/>
      </c>
      <c r="AO365" s="86">
        <f ca="1"/>
        <v>37946.541666666664</v>
      </c>
      <c r="AP365" s="87">
        <f ca="1"/>
        <v>1535.23</v>
      </c>
      <c r="AQ365" s="87">
        <f ca="1"/>
        <v>1534.64</v>
      </c>
      <c r="AR365" s="88">
        <f ca="1"/>
        <v>37946.541666666664</v>
      </c>
      <c r="AS365" s="87">
        <f ca="1"/>
        <v>3460</v>
      </c>
      <c r="AT365" s="87">
        <f ca="1"/>
        <v>3186.82</v>
      </c>
    </row>
    <row r="366" spans="13:46" x14ac:dyDescent="0.25">
      <c r="M366" s="42">
        <v>362</v>
      </c>
      <c r="N366" s="3" t="s">
        <v>422</v>
      </c>
      <c r="O366" s="49">
        <f t="shared" si="40"/>
        <v>37946.541666666664</v>
      </c>
      <c r="P366" s="42">
        <v>1535.23</v>
      </c>
      <c r="Q366" s="42">
        <v>3460</v>
      </c>
      <c r="R366" s="42">
        <v>1534.64</v>
      </c>
      <c r="S366" s="42">
        <v>3186.82</v>
      </c>
      <c r="T366" s="42"/>
      <c r="U366" s="42"/>
      <c r="V366" s="3"/>
      <c r="W366" s="3"/>
      <c r="X366" s="3"/>
      <c r="Y366" s="3"/>
      <c r="Z366" s="3"/>
      <c r="AA366" s="3"/>
      <c r="AB366" s="3"/>
      <c r="AE366" s="42">
        <f t="shared" si="41"/>
        <v>702411</v>
      </c>
      <c r="AF366" s="42">
        <f t="shared" si="42"/>
        <v>627394.46000000031</v>
      </c>
      <c r="AG366" s="42" t="str">
        <f t="shared" si="43"/>
        <v/>
      </c>
      <c r="AH366" s="42" t="str">
        <f t="shared" si="44"/>
        <v/>
      </c>
      <c r="AI366" s="42" t="str">
        <f t="shared" si="45"/>
        <v/>
      </c>
      <c r="AJ366" s="42" t="str">
        <f t="shared" si="46"/>
        <v/>
      </c>
      <c r="AK366" s="42" t="str">
        <f t="shared" si="47"/>
        <v/>
      </c>
      <c r="AO366" s="86">
        <f ca="1"/>
        <v>37946.583333333336</v>
      </c>
      <c r="AP366" s="87">
        <f ca="1"/>
        <v>1535.09</v>
      </c>
      <c r="AQ366" s="87">
        <f ca="1"/>
        <v>1534.56</v>
      </c>
      <c r="AR366" s="88">
        <f ca="1"/>
        <v>37946.583333333336</v>
      </c>
      <c r="AS366" s="87">
        <f ca="1"/>
        <v>3300</v>
      </c>
      <c r="AT366" s="87">
        <f ca="1"/>
        <v>3098.73</v>
      </c>
    </row>
    <row r="367" spans="13:46" x14ac:dyDescent="0.25">
      <c r="M367" s="42">
        <v>363</v>
      </c>
      <c r="N367" s="3" t="s">
        <v>423</v>
      </c>
      <c r="O367" s="49">
        <f t="shared" si="40"/>
        <v>37946.583333333336</v>
      </c>
      <c r="P367" s="42">
        <v>1535.09</v>
      </c>
      <c r="Q367" s="42">
        <v>3300</v>
      </c>
      <c r="R367" s="42">
        <v>1534.56</v>
      </c>
      <c r="S367" s="42">
        <v>3098.73</v>
      </c>
      <c r="T367" s="42"/>
      <c r="U367" s="42"/>
      <c r="V367" s="3"/>
      <c r="W367" s="3"/>
      <c r="X367" s="3"/>
      <c r="Y367" s="3"/>
      <c r="Z367" s="3"/>
      <c r="AA367" s="3"/>
      <c r="AB367" s="3"/>
      <c r="AE367" s="42">
        <f t="shared" si="41"/>
        <v>705711</v>
      </c>
      <c r="AF367" s="42">
        <f t="shared" si="42"/>
        <v>630493.19000000029</v>
      </c>
      <c r="AG367" s="42" t="str">
        <f t="shared" si="43"/>
        <v/>
      </c>
      <c r="AH367" s="42" t="str">
        <f t="shared" si="44"/>
        <v/>
      </c>
      <c r="AI367" s="42" t="str">
        <f t="shared" si="45"/>
        <v/>
      </c>
      <c r="AJ367" s="42" t="str">
        <f t="shared" si="46"/>
        <v/>
      </c>
      <c r="AK367" s="42" t="str">
        <f t="shared" si="47"/>
        <v/>
      </c>
      <c r="AO367" s="86">
        <f ca="1"/>
        <v>37946.625</v>
      </c>
      <c r="AP367" s="87">
        <f ca="1"/>
        <v>1534.98</v>
      </c>
      <c r="AQ367" s="87">
        <f ca="1"/>
        <v>1534.47</v>
      </c>
      <c r="AR367" s="88">
        <f ca="1"/>
        <v>37946.625</v>
      </c>
      <c r="AS367" s="87">
        <f ca="1"/>
        <v>3180</v>
      </c>
      <c r="AT367" s="87">
        <f ca="1"/>
        <v>2999.82</v>
      </c>
    </row>
    <row r="368" spans="13:46" x14ac:dyDescent="0.25">
      <c r="M368" s="42">
        <v>364</v>
      </c>
      <c r="N368" s="3" t="s">
        <v>424</v>
      </c>
      <c r="O368" s="49">
        <f t="shared" si="40"/>
        <v>37946.625</v>
      </c>
      <c r="P368" s="42">
        <v>1534.98</v>
      </c>
      <c r="Q368" s="42">
        <v>3180</v>
      </c>
      <c r="R368" s="42">
        <v>1534.47</v>
      </c>
      <c r="S368" s="42">
        <v>2999.82</v>
      </c>
      <c r="T368" s="42"/>
      <c r="U368" s="42"/>
      <c r="V368" s="3"/>
      <c r="W368" s="3"/>
      <c r="X368" s="3"/>
      <c r="Y368" s="3"/>
      <c r="Z368" s="3"/>
      <c r="AA368" s="3"/>
      <c r="AB368" s="3"/>
      <c r="AE368" s="42">
        <f t="shared" si="41"/>
        <v>708891</v>
      </c>
      <c r="AF368" s="42">
        <f t="shared" si="42"/>
        <v>633493.01000000024</v>
      </c>
      <c r="AG368" s="42" t="str">
        <f t="shared" si="43"/>
        <v/>
      </c>
      <c r="AH368" s="42" t="str">
        <f t="shared" si="44"/>
        <v/>
      </c>
      <c r="AI368" s="42" t="str">
        <f t="shared" si="45"/>
        <v/>
      </c>
      <c r="AJ368" s="42" t="str">
        <f t="shared" si="46"/>
        <v/>
      </c>
      <c r="AK368" s="42" t="str">
        <f t="shared" si="47"/>
        <v/>
      </c>
      <c r="AO368" s="86">
        <f ca="1"/>
        <v>37946.666666666664</v>
      </c>
      <c r="AP368" s="87">
        <f ca="1"/>
        <v>1534.86</v>
      </c>
      <c r="AQ368" s="87">
        <f ca="1"/>
        <v>1534.41</v>
      </c>
      <c r="AR368" s="88">
        <f ca="1"/>
        <v>37946.666666666664</v>
      </c>
      <c r="AS368" s="87">
        <f ca="1"/>
        <v>3050</v>
      </c>
      <c r="AT368" s="87">
        <f ca="1"/>
        <v>2934.96</v>
      </c>
    </row>
    <row r="369" spans="13:46" x14ac:dyDescent="0.25">
      <c r="M369" s="42">
        <v>365</v>
      </c>
      <c r="N369" s="3" t="s">
        <v>425</v>
      </c>
      <c r="O369" s="49">
        <f t="shared" si="40"/>
        <v>37946.666666666664</v>
      </c>
      <c r="P369" s="42">
        <v>1534.86</v>
      </c>
      <c r="Q369" s="42">
        <v>3050</v>
      </c>
      <c r="R369" s="42">
        <v>1534.41</v>
      </c>
      <c r="S369" s="42">
        <v>2934.96</v>
      </c>
      <c r="T369" s="42"/>
      <c r="U369" s="42"/>
      <c r="V369" s="3"/>
      <c r="W369" s="3"/>
      <c r="X369" s="3"/>
      <c r="Y369" s="3"/>
      <c r="Z369" s="3"/>
      <c r="AA369" s="3"/>
      <c r="AB369" s="3"/>
      <c r="AE369" s="42">
        <f t="shared" si="41"/>
        <v>711941</v>
      </c>
      <c r="AF369" s="42">
        <f t="shared" si="42"/>
        <v>636427.9700000002</v>
      </c>
      <c r="AG369" s="42" t="str">
        <f t="shared" si="43"/>
        <v/>
      </c>
      <c r="AH369" s="42" t="str">
        <f t="shared" si="44"/>
        <v/>
      </c>
      <c r="AI369" s="42" t="str">
        <f t="shared" si="45"/>
        <v/>
      </c>
      <c r="AJ369" s="42" t="str">
        <f t="shared" si="46"/>
        <v/>
      </c>
      <c r="AK369" s="42" t="str">
        <f t="shared" si="47"/>
        <v/>
      </c>
      <c r="AO369" s="86">
        <f ca="1"/>
        <v>37946.708333333336</v>
      </c>
      <c r="AP369" s="87">
        <f ca="1"/>
        <v>1534.75</v>
      </c>
      <c r="AQ369" s="87">
        <f ca="1"/>
        <v>1534.33</v>
      </c>
      <c r="AR369" s="88">
        <f ca="1"/>
        <v>37946.708333333336</v>
      </c>
      <c r="AS369" s="87">
        <f ca="1"/>
        <v>2930</v>
      </c>
      <c r="AT369" s="87">
        <f ca="1"/>
        <v>2841.24</v>
      </c>
    </row>
    <row r="370" spans="13:46" x14ac:dyDescent="0.25">
      <c r="M370" s="42">
        <v>366</v>
      </c>
      <c r="N370" s="3" t="s">
        <v>426</v>
      </c>
      <c r="O370" s="49">
        <f t="shared" si="40"/>
        <v>37946.708333333336</v>
      </c>
      <c r="P370" s="42">
        <v>1534.75</v>
      </c>
      <c r="Q370" s="42">
        <v>2930</v>
      </c>
      <c r="R370" s="42">
        <v>1534.33</v>
      </c>
      <c r="S370" s="42">
        <v>2841.24</v>
      </c>
      <c r="T370" s="42"/>
      <c r="U370" s="42"/>
      <c r="V370" s="3"/>
      <c r="W370" s="3"/>
      <c r="X370" s="3"/>
      <c r="Y370" s="3"/>
      <c r="Z370" s="3"/>
      <c r="AA370" s="3"/>
      <c r="AB370" s="3"/>
      <c r="AE370" s="42">
        <f t="shared" si="41"/>
        <v>714871</v>
      </c>
      <c r="AF370" s="42">
        <f t="shared" si="42"/>
        <v>639269.2100000002</v>
      </c>
      <c r="AG370" s="42" t="str">
        <f t="shared" si="43"/>
        <v/>
      </c>
      <c r="AH370" s="42" t="str">
        <f t="shared" si="44"/>
        <v/>
      </c>
      <c r="AI370" s="42" t="str">
        <f t="shared" si="45"/>
        <v/>
      </c>
      <c r="AJ370" s="42" t="str">
        <f t="shared" si="46"/>
        <v/>
      </c>
      <c r="AK370" s="42" t="str">
        <f t="shared" si="47"/>
        <v/>
      </c>
      <c r="AO370" s="86">
        <f ca="1"/>
        <v>37946.75</v>
      </c>
      <c r="AP370" s="87">
        <f ca="1"/>
        <v>1534.64</v>
      </c>
      <c r="AQ370" s="87">
        <f ca="1"/>
        <v>1534.27</v>
      </c>
      <c r="AR370" s="88">
        <f ca="1"/>
        <v>37946.75</v>
      </c>
      <c r="AS370" s="87">
        <f ca="1"/>
        <v>2810</v>
      </c>
      <c r="AT370" s="87">
        <f ca="1"/>
        <v>2783.16</v>
      </c>
    </row>
    <row r="371" spans="13:46" x14ac:dyDescent="0.25">
      <c r="M371" s="42">
        <v>367</v>
      </c>
      <c r="N371" s="3" t="s">
        <v>427</v>
      </c>
      <c r="O371" s="49">
        <f t="shared" si="40"/>
        <v>37946.75</v>
      </c>
      <c r="P371" s="42">
        <v>1534.64</v>
      </c>
      <c r="Q371" s="42">
        <v>2810</v>
      </c>
      <c r="R371" s="42">
        <v>1534.27</v>
      </c>
      <c r="S371" s="42">
        <v>2783.16</v>
      </c>
      <c r="T371" s="42"/>
      <c r="U371" s="42"/>
      <c r="V371" s="3"/>
      <c r="W371" s="3"/>
      <c r="X371" s="3"/>
      <c r="Y371" s="3"/>
      <c r="Z371" s="3"/>
      <c r="AA371" s="3"/>
      <c r="AB371" s="3"/>
      <c r="AE371" s="42">
        <f t="shared" si="41"/>
        <v>717681</v>
      </c>
      <c r="AF371" s="42">
        <f t="shared" si="42"/>
        <v>642052.37000000023</v>
      </c>
      <c r="AG371" s="42" t="str">
        <f t="shared" si="43"/>
        <v/>
      </c>
      <c r="AH371" s="42" t="str">
        <f t="shared" si="44"/>
        <v/>
      </c>
      <c r="AI371" s="42" t="str">
        <f t="shared" si="45"/>
        <v/>
      </c>
      <c r="AJ371" s="42" t="str">
        <f t="shared" si="46"/>
        <v/>
      </c>
      <c r="AK371" s="42" t="str">
        <f t="shared" si="47"/>
        <v/>
      </c>
      <c r="AO371" s="86">
        <f ca="1"/>
        <v>37946.791666666664</v>
      </c>
      <c r="AP371" s="87">
        <f ca="1"/>
        <v>1534.56</v>
      </c>
      <c r="AQ371" s="87">
        <f ca="1"/>
        <v>1534.2</v>
      </c>
      <c r="AR371" s="88">
        <f ca="1"/>
        <v>37946.791666666664</v>
      </c>
      <c r="AS371" s="87">
        <f ca="1"/>
        <v>2730</v>
      </c>
      <c r="AT371" s="87">
        <f ca="1"/>
        <v>2706.43</v>
      </c>
    </row>
    <row r="372" spans="13:46" x14ac:dyDescent="0.25">
      <c r="M372" s="42">
        <v>368</v>
      </c>
      <c r="N372" s="3" t="s">
        <v>428</v>
      </c>
      <c r="O372" s="49">
        <f t="shared" si="40"/>
        <v>37946.791666666664</v>
      </c>
      <c r="P372" s="42">
        <v>1534.56</v>
      </c>
      <c r="Q372" s="42">
        <v>2730</v>
      </c>
      <c r="R372" s="42">
        <v>1534.2</v>
      </c>
      <c r="S372" s="42">
        <v>2706.43</v>
      </c>
      <c r="T372" s="42"/>
      <c r="U372" s="42"/>
      <c r="V372" s="3"/>
      <c r="W372" s="3"/>
      <c r="X372" s="3"/>
      <c r="Y372" s="3"/>
      <c r="Z372" s="3"/>
      <c r="AA372" s="3"/>
      <c r="AB372" s="3"/>
      <c r="AE372" s="42">
        <f t="shared" si="41"/>
        <v>720411</v>
      </c>
      <c r="AF372" s="42">
        <f t="shared" si="42"/>
        <v>644758.80000000028</v>
      </c>
      <c r="AG372" s="42" t="str">
        <f t="shared" si="43"/>
        <v/>
      </c>
      <c r="AH372" s="42" t="str">
        <f t="shared" si="44"/>
        <v/>
      </c>
      <c r="AI372" s="42" t="str">
        <f t="shared" si="45"/>
        <v/>
      </c>
      <c r="AJ372" s="42" t="str">
        <f t="shared" si="46"/>
        <v/>
      </c>
      <c r="AK372" s="42" t="str">
        <f t="shared" si="47"/>
        <v/>
      </c>
      <c r="AO372" s="86">
        <f ca="1"/>
        <v>37946.833333333336</v>
      </c>
      <c r="AP372" s="87">
        <f ca="1"/>
        <v>1534.47</v>
      </c>
      <c r="AQ372" s="87">
        <f ca="1"/>
        <v>1534.14</v>
      </c>
      <c r="AR372" s="88">
        <f ca="1"/>
        <v>37946.833333333336</v>
      </c>
      <c r="AS372" s="87">
        <f ca="1"/>
        <v>2640</v>
      </c>
      <c r="AT372" s="87">
        <f ca="1"/>
        <v>2638.61</v>
      </c>
    </row>
    <row r="373" spans="13:46" x14ac:dyDescent="0.25">
      <c r="M373" s="42">
        <v>369</v>
      </c>
      <c r="N373" s="3" t="s">
        <v>429</v>
      </c>
      <c r="O373" s="49">
        <f t="shared" si="40"/>
        <v>37946.833333333336</v>
      </c>
      <c r="P373" s="42">
        <v>1534.47</v>
      </c>
      <c r="Q373" s="42">
        <v>2640</v>
      </c>
      <c r="R373" s="42">
        <v>1534.14</v>
      </c>
      <c r="S373" s="42">
        <v>2638.61</v>
      </c>
      <c r="T373" s="42"/>
      <c r="U373" s="42"/>
      <c r="V373" s="3"/>
      <c r="W373" s="3"/>
      <c r="X373" s="3"/>
      <c r="Y373" s="3"/>
      <c r="Z373" s="3"/>
      <c r="AA373" s="3"/>
      <c r="AB373" s="3"/>
      <c r="AE373" s="42">
        <f t="shared" si="41"/>
        <v>723051</v>
      </c>
      <c r="AF373" s="42">
        <f t="shared" si="42"/>
        <v>647397.41000000027</v>
      </c>
      <c r="AG373" s="42" t="str">
        <f t="shared" si="43"/>
        <v/>
      </c>
      <c r="AH373" s="42" t="str">
        <f t="shared" si="44"/>
        <v/>
      </c>
      <c r="AI373" s="42" t="str">
        <f t="shared" si="45"/>
        <v/>
      </c>
      <c r="AJ373" s="42" t="str">
        <f t="shared" si="46"/>
        <v/>
      </c>
      <c r="AK373" s="42" t="str">
        <f t="shared" si="47"/>
        <v/>
      </c>
      <c r="AO373" s="86">
        <f ca="1"/>
        <v>37946.875</v>
      </c>
      <c r="AP373" s="87">
        <f ca="1"/>
        <v>1534.39</v>
      </c>
      <c r="AQ373" s="87">
        <f ca="1"/>
        <v>1534.08</v>
      </c>
      <c r="AR373" s="88">
        <f ca="1"/>
        <v>37946.875</v>
      </c>
      <c r="AS373" s="87">
        <f ca="1"/>
        <v>2560</v>
      </c>
      <c r="AT373" s="87">
        <f ca="1"/>
        <v>2582.42</v>
      </c>
    </row>
    <row r="374" spans="13:46" x14ac:dyDescent="0.25">
      <c r="M374" s="42">
        <v>370</v>
      </c>
      <c r="N374" s="3" t="s">
        <v>430</v>
      </c>
      <c r="O374" s="49">
        <f t="shared" si="40"/>
        <v>37946.875</v>
      </c>
      <c r="P374" s="42">
        <v>1534.39</v>
      </c>
      <c r="Q374" s="42">
        <v>2560</v>
      </c>
      <c r="R374" s="42">
        <v>1534.08</v>
      </c>
      <c r="S374" s="42">
        <v>2582.42</v>
      </c>
      <c r="T374" s="42"/>
      <c r="U374" s="42"/>
      <c r="V374" s="3"/>
      <c r="W374" s="3"/>
      <c r="X374" s="3"/>
      <c r="Y374" s="3"/>
      <c r="Z374" s="3"/>
      <c r="AA374" s="3"/>
      <c r="AB374" s="3"/>
      <c r="AE374" s="42">
        <f t="shared" si="41"/>
        <v>725611</v>
      </c>
      <c r="AF374" s="42">
        <f t="shared" si="42"/>
        <v>649979.83000000031</v>
      </c>
      <c r="AG374" s="42" t="str">
        <f t="shared" si="43"/>
        <v/>
      </c>
      <c r="AH374" s="42" t="str">
        <f t="shared" si="44"/>
        <v/>
      </c>
      <c r="AI374" s="42" t="str">
        <f t="shared" si="45"/>
        <v/>
      </c>
      <c r="AJ374" s="42" t="str">
        <f t="shared" si="46"/>
        <v/>
      </c>
      <c r="AK374" s="42" t="str">
        <f t="shared" si="47"/>
        <v/>
      </c>
      <c r="AO374" s="86">
        <f ca="1"/>
        <v>37946.916666666664</v>
      </c>
      <c r="AP374" s="87">
        <f ca="1"/>
        <v>1534.31</v>
      </c>
      <c r="AQ374" s="87">
        <f ca="1"/>
        <v>1534.03</v>
      </c>
      <c r="AR374" s="88">
        <f ca="1"/>
        <v>37946.916666666664</v>
      </c>
      <c r="AS374" s="87">
        <f ca="1"/>
        <v>2490</v>
      </c>
      <c r="AT374" s="87">
        <f ca="1"/>
        <v>2527.96</v>
      </c>
    </row>
    <row r="375" spans="13:46" x14ac:dyDescent="0.25">
      <c r="M375" s="42">
        <v>371</v>
      </c>
      <c r="N375" s="3" t="s">
        <v>431</v>
      </c>
      <c r="O375" s="49">
        <f t="shared" si="40"/>
        <v>37946.916666666664</v>
      </c>
      <c r="P375" s="42">
        <v>1534.31</v>
      </c>
      <c r="Q375" s="42">
        <v>2490</v>
      </c>
      <c r="R375" s="42">
        <v>1534.03</v>
      </c>
      <c r="S375" s="42">
        <v>2527.96</v>
      </c>
      <c r="T375" s="42"/>
      <c r="U375" s="42"/>
      <c r="V375" s="3"/>
      <c r="W375" s="3"/>
      <c r="X375" s="3"/>
      <c r="Y375" s="3"/>
      <c r="Z375" s="3"/>
      <c r="AA375" s="3"/>
      <c r="AB375" s="3"/>
      <c r="AE375" s="42">
        <f t="shared" si="41"/>
        <v>728101</v>
      </c>
      <c r="AF375" s="42">
        <f t="shared" si="42"/>
        <v>652507.79000000027</v>
      </c>
      <c r="AG375" s="42" t="str">
        <f t="shared" si="43"/>
        <v/>
      </c>
      <c r="AH375" s="42" t="str">
        <f t="shared" si="44"/>
        <v/>
      </c>
      <c r="AI375" s="42" t="str">
        <f t="shared" si="45"/>
        <v/>
      </c>
      <c r="AJ375" s="42" t="str">
        <f t="shared" si="46"/>
        <v/>
      </c>
      <c r="AK375" s="42" t="str">
        <f t="shared" si="47"/>
        <v/>
      </c>
      <c r="AO375" s="86">
        <f ca="1"/>
        <v>37946.958333333336</v>
      </c>
      <c r="AP375" s="87">
        <f ca="1"/>
        <v>1534.23</v>
      </c>
      <c r="AQ375" s="87">
        <f ca="1"/>
        <v>1533.98</v>
      </c>
      <c r="AR375" s="88">
        <f ca="1"/>
        <v>37946.958333333336</v>
      </c>
      <c r="AS375" s="87">
        <f ca="1"/>
        <v>2410</v>
      </c>
      <c r="AT375" s="87">
        <f ca="1"/>
        <v>2474.11</v>
      </c>
    </row>
    <row r="376" spans="13:46" x14ac:dyDescent="0.25">
      <c r="M376" s="42">
        <v>372</v>
      </c>
      <c r="N376" s="3" t="s">
        <v>432</v>
      </c>
      <c r="O376" s="49">
        <f t="shared" si="40"/>
        <v>37946.958333333336</v>
      </c>
      <c r="P376" s="42">
        <v>1534.23</v>
      </c>
      <c r="Q376" s="42">
        <v>2410</v>
      </c>
      <c r="R376" s="42">
        <v>1533.98</v>
      </c>
      <c r="S376" s="42">
        <v>2474.11</v>
      </c>
      <c r="T376" s="42"/>
      <c r="U376" s="42"/>
      <c r="V376" s="3"/>
      <c r="W376" s="3"/>
      <c r="X376" s="3"/>
      <c r="Y376" s="3"/>
      <c r="Z376" s="3"/>
      <c r="AA376" s="3"/>
      <c r="AB376" s="3"/>
      <c r="AE376" s="42">
        <f t="shared" si="41"/>
        <v>730511</v>
      </c>
      <c r="AF376" s="42">
        <f t="shared" si="42"/>
        <v>654981.90000000026</v>
      </c>
      <c r="AG376" s="42" t="str">
        <f t="shared" si="43"/>
        <v/>
      </c>
      <c r="AH376" s="42" t="str">
        <f t="shared" si="44"/>
        <v/>
      </c>
      <c r="AI376" s="42" t="str">
        <f t="shared" si="45"/>
        <v/>
      </c>
      <c r="AJ376" s="42" t="str">
        <f t="shared" si="46"/>
        <v/>
      </c>
      <c r="AK376" s="42" t="str">
        <f t="shared" si="47"/>
        <v/>
      </c>
      <c r="AO376" s="86">
        <f ca="1"/>
        <v>37947</v>
      </c>
      <c r="AP376" s="87">
        <f ca="1"/>
        <v>1534.16</v>
      </c>
      <c r="AQ376" s="87">
        <f ca="1"/>
        <v>1533.94</v>
      </c>
      <c r="AR376" s="88">
        <f ca="1"/>
        <v>37947</v>
      </c>
      <c r="AS376" s="87">
        <f ca="1"/>
        <v>2350</v>
      </c>
      <c r="AT376" s="87">
        <f ca="1"/>
        <v>2430.46</v>
      </c>
    </row>
    <row r="377" spans="13:46" x14ac:dyDescent="0.25">
      <c r="M377" s="42">
        <v>373</v>
      </c>
      <c r="N377" s="3" t="s">
        <v>433</v>
      </c>
      <c r="O377" s="49">
        <f t="shared" si="40"/>
        <v>37947</v>
      </c>
      <c r="P377" s="42">
        <v>1534.16</v>
      </c>
      <c r="Q377" s="42">
        <v>2350</v>
      </c>
      <c r="R377" s="42">
        <v>1533.94</v>
      </c>
      <c r="S377" s="42">
        <v>2430.46</v>
      </c>
      <c r="T377" s="42"/>
      <c r="U377" s="42"/>
      <c r="V377" s="3"/>
      <c r="W377" s="3"/>
      <c r="X377" s="3"/>
      <c r="Y377" s="3"/>
      <c r="Z377" s="3"/>
      <c r="AA377" s="3"/>
      <c r="AB377" s="3"/>
      <c r="AE377" s="42">
        <f t="shared" si="41"/>
        <v>732861</v>
      </c>
      <c r="AF377" s="42">
        <f t="shared" si="42"/>
        <v>657412.36000000022</v>
      </c>
      <c r="AG377" s="42" t="str">
        <f t="shared" si="43"/>
        <v/>
      </c>
      <c r="AH377" s="42" t="str">
        <f t="shared" si="44"/>
        <v/>
      </c>
      <c r="AI377" s="42" t="str">
        <f t="shared" si="45"/>
        <v/>
      </c>
      <c r="AJ377" s="42" t="str">
        <f t="shared" si="46"/>
        <v/>
      </c>
      <c r="AK377" s="42" t="str">
        <f t="shared" si="47"/>
        <v/>
      </c>
      <c r="AO377" s="86">
        <f ca="1"/>
        <v>37947.041666666664</v>
      </c>
      <c r="AP377" s="87">
        <f ca="1"/>
        <v>1534.1</v>
      </c>
      <c r="AQ377" s="87">
        <f ca="1"/>
        <v>1533.89</v>
      </c>
      <c r="AR377" s="88">
        <f ca="1"/>
        <v>37947.041666666664</v>
      </c>
      <c r="AS377" s="87">
        <f ca="1"/>
        <v>2290</v>
      </c>
      <c r="AT377" s="87">
        <f ca="1"/>
        <v>2382.71</v>
      </c>
    </row>
    <row r="378" spans="13:46" x14ac:dyDescent="0.25">
      <c r="M378" s="42">
        <v>374</v>
      </c>
      <c r="N378" s="3" t="s">
        <v>434</v>
      </c>
      <c r="O378" s="49">
        <f t="shared" si="40"/>
        <v>37947.041666666664</v>
      </c>
      <c r="P378" s="42">
        <v>1534.1</v>
      </c>
      <c r="Q378" s="42">
        <v>2290</v>
      </c>
      <c r="R378" s="42">
        <v>1533.89</v>
      </c>
      <c r="S378" s="42">
        <v>2382.71</v>
      </c>
      <c r="T378" s="42"/>
      <c r="U378" s="42"/>
      <c r="V378" s="3"/>
      <c r="W378" s="3"/>
      <c r="X378" s="3"/>
      <c r="Y378" s="3"/>
      <c r="Z378" s="3"/>
      <c r="AA378" s="3"/>
      <c r="AB378" s="3"/>
      <c r="AE378" s="42">
        <f t="shared" si="41"/>
        <v>735151</v>
      </c>
      <c r="AF378" s="42">
        <f t="shared" si="42"/>
        <v>659795.07000000018</v>
      </c>
      <c r="AG378" s="42" t="str">
        <f t="shared" si="43"/>
        <v/>
      </c>
      <c r="AH378" s="42" t="str">
        <f t="shared" si="44"/>
        <v/>
      </c>
      <c r="AI378" s="42" t="str">
        <f t="shared" si="45"/>
        <v/>
      </c>
      <c r="AJ378" s="42" t="str">
        <f t="shared" si="46"/>
        <v/>
      </c>
      <c r="AK378" s="42" t="str">
        <f t="shared" si="47"/>
        <v/>
      </c>
      <c r="AO378" s="86">
        <f ca="1"/>
        <v>37947.083333333336</v>
      </c>
      <c r="AP378" s="87">
        <f ca="1"/>
        <v>1534.04</v>
      </c>
      <c r="AQ378" s="87">
        <f ca="1"/>
        <v>1533.82</v>
      </c>
      <c r="AR378" s="88">
        <f ca="1"/>
        <v>37947.083333333336</v>
      </c>
      <c r="AS378" s="87">
        <f ca="1"/>
        <v>2230</v>
      </c>
      <c r="AT378" s="87">
        <f ca="1"/>
        <v>2313.67</v>
      </c>
    </row>
    <row r="379" spans="13:46" x14ac:dyDescent="0.25">
      <c r="M379" s="42">
        <v>375</v>
      </c>
      <c r="N379" s="3" t="s">
        <v>435</v>
      </c>
      <c r="O379" s="49">
        <f t="shared" si="40"/>
        <v>37947.083333333336</v>
      </c>
      <c r="P379" s="42">
        <v>1534.04</v>
      </c>
      <c r="Q379" s="42">
        <v>2230</v>
      </c>
      <c r="R379" s="42">
        <v>1533.82</v>
      </c>
      <c r="S379" s="42">
        <v>2313.67</v>
      </c>
      <c r="T379" s="42"/>
      <c r="U379" s="42"/>
      <c r="V379" s="3"/>
      <c r="W379" s="3"/>
      <c r="X379" s="3"/>
      <c r="Y379" s="3"/>
      <c r="Z379" s="3"/>
      <c r="AA379" s="3"/>
      <c r="AB379" s="3"/>
      <c r="AE379" s="42">
        <f t="shared" si="41"/>
        <v>737381</v>
      </c>
      <c r="AF379" s="42">
        <f t="shared" si="42"/>
        <v>662108.74000000022</v>
      </c>
      <c r="AG379" s="42" t="str">
        <f t="shared" si="43"/>
        <v/>
      </c>
      <c r="AH379" s="42" t="str">
        <f t="shared" si="44"/>
        <v/>
      </c>
      <c r="AI379" s="42" t="str">
        <f t="shared" si="45"/>
        <v/>
      </c>
      <c r="AJ379" s="42" t="str">
        <f t="shared" si="46"/>
        <v/>
      </c>
      <c r="AK379" s="42" t="str">
        <f t="shared" si="47"/>
        <v/>
      </c>
      <c r="AO379" s="86">
        <f ca="1"/>
        <v>37947.125</v>
      </c>
      <c r="AP379" s="87">
        <f ca="1"/>
        <v>1533.97</v>
      </c>
      <c r="AQ379" s="87">
        <f ca="1"/>
        <v>1533.78</v>
      </c>
      <c r="AR379" s="88">
        <f ca="1"/>
        <v>37947.125</v>
      </c>
      <c r="AS379" s="87">
        <f ca="1"/>
        <v>2170</v>
      </c>
      <c r="AT379" s="87">
        <f ca="1"/>
        <v>2273.9699999999998</v>
      </c>
    </row>
    <row r="380" spans="13:46" x14ac:dyDescent="0.25">
      <c r="M380" s="42">
        <v>376</v>
      </c>
      <c r="N380" s="3" t="s">
        <v>436</v>
      </c>
      <c r="O380" s="49">
        <f t="shared" si="40"/>
        <v>37947.125</v>
      </c>
      <c r="P380" s="42">
        <v>1533.97</v>
      </c>
      <c r="Q380" s="42">
        <v>2170</v>
      </c>
      <c r="R380" s="42">
        <v>1533.78</v>
      </c>
      <c r="S380" s="42">
        <v>2273.9699999999998</v>
      </c>
      <c r="T380" s="42"/>
      <c r="U380" s="42"/>
      <c r="V380" s="3"/>
      <c r="W380" s="3"/>
      <c r="X380" s="3"/>
      <c r="Y380" s="3"/>
      <c r="Z380" s="3"/>
      <c r="AA380" s="3"/>
      <c r="AB380" s="3"/>
      <c r="AE380" s="42">
        <f t="shared" si="41"/>
        <v>739551</v>
      </c>
      <c r="AF380" s="42">
        <f t="shared" si="42"/>
        <v>664382.7100000002</v>
      </c>
      <c r="AG380" s="42" t="str">
        <f t="shared" si="43"/>
        <v/>
      </c>
      <c r="AH380" s="42" t="str">
        <f t="shared" si="44"/>
        <v/>
      </c>
      <c r="AI380" s="42" t="str">
        <f t="shared" si="45"/>
        <v/>
      </c>
      <c r="AJ380" s="42" t="str">
        <f t="shared" si="46"/>
        <v/>
      </c>
      <c r="AK380" s="42" t="str">
        <f t="shared" si="47"/>
        <v/>
      </c>
      <c r="AO380" s="86">
        <f ca="1"/>
        <v>37947.166666666664</v>
      </c>
      <c r="AP380" s="87">
        <f ca="1"/>
        <v>1533.92</v>
      </c>
      <c r="AQ380" s="87">
        <f ca="1"/>
        <v>1533.73</v>
      </c>
      <c r="AR380" s="88">
        <f ca="1"/>
        <v>37947.166666666664</v>
      </c>
      <c r="AS380" s="87">
        <f ca="1"/>
        <v>2120</v>
      </c>
      <c r="AT380" s="87">
        <f ca="1"/>
        <v>2224.9299999999998</v>
      </c>
    </row>
    <row r="381" spans="13:46" x14ac:dyDescent="0.25">
      <c r="M381" s="42">
        <v>377</v>
      </c>
      <c r="N381" s="3" t="s">
        <v>437</v>
      </c>
      <c r="O381" s="49">
        <f t="shared" si="40"/>
        <v>37947.166666666664</v>
      </c>
      <c r="P381" s="42">
        <v>1533.92</v>
      </c>
      <c r="Q381" s="42">
        <v>2120</v>
      </c>
      <c r="R381" s="42">
        <v>1533.73</v>
      </c>
      <c r="S381" s="42">
        <v>2224.9299999999998</v>
      </c>
      <c r="T381" s="42"/>
      <c r="U381" s="42"/>
      <c r="V381" s="3"/>
      <c r="W381" s="3"/>
      <c r="X381" s="3"/>
      <c r="Y381" s="3"/>
      <c r="Z381" s="3"/>
      <c r="AA381" s="3"/>
      <c r="AB381" s="3"/>
      <c r="AE381" s="42">
        <f t="shared" si="41"/>
        <v>741671</v>
      </c>
      <c r="AF381" s="42">
        <f t="shared" si="42"/>
        <v>666607.64000000025</v>
      </c>
      <c r="AG381" s="42" t="str">
        <f t="shared" si="43"/>
        <v/>
      </c>
      <c r="AH381" s="42" t="str">
        <f t="shared" si="44"/>
        <v/>
      </c>
      <c r="AI381" s="42" t="str">
        <f t="shared" si="45"/>
        <v/>
      </c>
      <c r="AJ381" s="42" t="str">
        <f t="shared" si="46"/>
        <v/>
      </c>
      <c r="AK381" s="42" t="str">
        <f t="shared" si="47"/>
        <v/>
      </c>
      <c r="AO381" s="86">
        <f ca="1"/>
        <v>37947.208333333336</v>
      </c>
      <c r="AP381" s="87">
        <f ca="1"/>
        <v>1533.86</v>
      </c>
      <c r="AQ381" s="87">
        <f ca="1"/>
        <v>1533.7</v>
      </c>
      <c r="AR381" s="88">
        <f ca="1"/>
        <v>37947.208333333336</v>
      </c>
      <c r="AS381" s="87">
        <f ca="1"/>
        <v>2070</v>
      </c>
      <c r="AT381" s="87">
        <f ca="1"/>
        <v>2199.8000000000002</v>
      </c>
    </row>
    <row r="382" spans="13:46" x14ac:dyDescent="0.25">
      <c r="M382" s="42">
        <v>378</v>
      </c>
      <c r="N382" s="3" t="s">
        <v>438</v>
      </c>
      <c r="O382" s="49">
        <f t="shared" si="40"/>
        <v>37947.208333333336</v>
      </c>
      <c r="P382" s="42">
        <v>1533.86</v>
      </c>
      <c r="Q382" s="42">
        <v>2070</v>
      </c>
      <c r="R382" s="42">
        <v>1533.7</v>
      </c>
      <c r="S382" s="42">
        <v>2199.8000000000002</v>
      </c>
      <c r="T382" s="42"/>
      <c r="U382" s="42"/>
      <c r="V382" s="3"/>
      <c r="W382" s="3"/>
      <c r="X382" s="3"/>
      <c r="Y382" s="3"/>
      <c r="Z382" s="3"/>
      <c r="AA382" s="3"/>
      <c r="AB382" s="3"/>
      <c r="AE382" s="42">
        <f t="shared" si="41"/>
        <v>743741</v>
      </c>
      <c r="AF382" s="42">
        <f t="shared" si="42"/>
        <v>668807.44000000029</v>
      </c>
      <c r="AG382" s="42" t="str">
        <f t="shared" si="43"/>
        <v/>
      </c>
      <c r="AH382" s="42" t="str">
        <f t="shared" si="44"/>
        <v/>
      </c>
      <c r="AI382" s="42" t="str">
        <f t="shared" si="45"/>
        <v/>
      </c>
      <c r="AJ382" s="42" t="str">
        <f t="shared" si="46"/>
        <v/>
      </c>
      <c r="AK382" s="42" t="str">
        <f t="shared" si="47"/>
        <v/>
      </c>
      <c r="AO382" s="86">
        <f ca="1"/>
        <v>37947.25</v>
      </c>
      <c r="AP382" s="87">
        <f ca="1"/>
        <v>1533.8</v>
      </c>
      <c r="AQ382" s="87">
        <f ca="1"/>
        <v>1533.65</v>
      </c>
      <c r="AR382" s="88">
        <f ca="1"/>
        <v>37947.25</v>
      </c>
      <c r="AS382" s="87">
        <f ca="1"/>
        <v>2020</v>
      </c>
      <c r="AT382" s="87">
        <f ca="1"/>
        <v>2146.4299999999998</v>
      </c>
    </row>
    <row r="383" spans="13:46" x14ac:dyDescent="0.25">
      <c r="M383" s="42">
        <v>379</v>
      </c>
      <c r="N383" s="3" t="s">
        <v>439</v>
      </c>
      <c r="O383" s="49">
        <f t="shared" si="40"/>
        <v>37947.25</v>
      </c>
      <c r="P383" s="42">
        <v>1533.8</v>
      </c>
      <c r="Q383" s="42">
        <v>2020</v>
      </c>
      <c r="R383" s="42">
        <v>1533.65</v>
      </c>
      <c r="S383" s="42">
        <v>2146.4299999999998</v>
      </c>
      <c r="T383" s="42"/>
      <c r="U383" s="42"/>
      <c r="V383" s="3"/>
      <c r="W383" s="3"/>
      <c r="X383" s="3"/>
      <c r="Y383" s="3"/>
      <c r="Z383" s="3"/>
      <c r="AA383" s="3"/>
      <c r="AB383" s="3"/>
      <c r="AE383" s="42">
        <f t="shared" si="41"/>
        <v>745761</v>
      </c>
      <c r="AF383" s="42">
        <f t="shared" si="42"/>
        <v>670953.87000000034</v>
      </c>
      <c r="AG383" s="42" t="str">
        <f t="shared" si="43"/>
        <v/>
      </c>
      <c r="AH383" s="42" t="str">
        <f t="shared" si="44"/>
        <v/>
      </c>
      <c r="AI383" s="42" t="str">
        <f t="shared" si="45"/>
        <v/>
      </c>
      <c r="AJ383" s="42" t="str">
        <f t="shared" si="46"/>
        <v/>
      </c>
      <c r="AK383" s="42" t="str">
        <f t="shared" si="47"/>
        <v/>
      </c>
      <c r="AO383" s="86">
        <f ca="1"/>
        <v>37947.291666666664</v>
      </c>
      <c r="AP383" s="87">
        <f ca="1"/>
        <v>1533.76</v>
      </c>
      <c r="AQ383" s="87">
        <f ca="1"/>
        <v>1533.59</v>
      </c>
      <c r="AR383" s="88">
        <f ca="1"/>
        <v>37947.291666666664</v>
      </c>
      <c r="AS383" s="87">
        <f ca="1"/>
        <v>1980</v>
      </c>
      <c r="AT383" s="87">
        <f ca="1"/>
        <v>2100.04</v>
      </c>
    </row>
    <row r="384" spans="13:46" x14ac:dyDescent="0.25">
      <c r="M384" s="42">
        <v>380</v>
      </c>
      <c r="N384" s="3" t="s">
        <v>440</v>
      </c>
      <c r="O384" s="49">
        <f t="shared" si="40"/>
        <v>37947.291666666664</v>
      </c>
      <c r="P384" s="42">
        <v>1533.76</v>
      </c>
      <c r="Q384" s="42">
        <v>1980</v>
      </c>
      <c r="R384" s="42">
        <v>1533.59</v>
      </c>
      <c r="S384" s="42">
        <v>2100.04</v>
      </c>
      <c r="T384" s="42"/>
      <c r="U384" s="42"/>
      <c r="V384" s="3"/>
      <c r="W384" s="3"/>
      <c r="X384" s="3"/>
      <c r="Y384" s="3"/>
      <c r="Z384" s="3"/>
      <c r="AA384" s="3"/>
      <c r="AB384" s="3"/>
      <c r="AE384" s="42">
        <f t="shared" si="41"/>
        <v>747741</v>
      </c>
      <c r="AF384" s="42">
        <f t="shared" si="42"/>
        <v>673053.91000000038</v>
      </c>
      <c r="AG384" s="42" t="str">
        <f t="shared" si="43"/>
        <v/>
      </c>
      <c r="AH384" s="42" t="str">
        <f t="shared" si="44"/>
        <v/>
      </c>
      <c r="AI384" s="42" t="str">
        <f t="shared" si="45"/>
        <v/>
      </c>
      <c r="AJ384" s="42" t="str">
        <f t="shared" si="46"/>
        <v/>
      </c>
      <c r="AK384" s="42" t="str">
        <f t="shared" si="47"/>
        <v/>
      </c>
      <c r="AO384" s="86">
        <f ca="1"/>
        <v>37947.333333333336</v>
      </c>
      <c r="AP384" s="87">
        <f ca="1"/>
        <v>1533.71</v>
      </c>
      <c r="AQ384" s="87">
        <f ca="1"/>
        <v>1533.55</v>
      </c>
      <c r="AR384" s="88">
        <f ca="1"/>
        <v>37947.333333333336</v>
      </c>
      <c r="AS384" s="87">
        <f ca="1"/>
        <v>1940</v>
      </c>
      <c r="AT384" s="87">
        <f ca="1"/>
        <v>2069.04</v>
      </c>
    </row>
    <row r="385" spans="13:46" x14ac:dyDescent="0.25">
      <c r="M385" s="42">
        <v>381</v>
      </c>
      <c r="N385" s="3" t="s">
        <v>441</v>
      </c>
      <c r="O385" s="49">
        <f t="shared" si="40"/>
        <v>37947.333333333336</v>
      </c>
      <c r="P385" s="42">
        <v>1533.71</v>
      </c>
      <c r="Q385" s="42">
        <v>1940</v>
      </c>
      <c r="R385" s="42">
        <v>1533.55</v>
      </c>
      <c r="S385" s="42">
        <v>2069.04</v>
      </c>
      <c r="T385" s="42"/>
      <c r="U385" s="42"/>
      <c r="V385" s="3"/>
      <c r="W385" s="3"/>
      <c r="X385" s="3"/>
      <c r="Y385" s="3"/>
      <c r="Z385" s="3"/>
      <c r="AA385" s="3"/>
      <c r="AB385" s="3"/>
      <c r="AE385" s="42">
        <f t="shared" si="41"/>
        <v>749681</v>
      </c>
      <c r="AF385" s="42">
        <f t="shared" si="42"/>
        <v>675122.95000000042</v>
      </c>
      <c r="AG385" s="42" t="str">
        <f t="shared" si="43"/>
        <v/>
      </c>
      <c r="AH385" s="42" t="str">
        <f t="shared" si="44"/>
        <v/>
      </c>
      <c r="AI385" s="42" t="str">
        <f t="shared" si="45"/>
        <v/>
      </c>
      <c r="AJ385" s="42" t="str">
        <f t="shared" si="46"/>
        <v/>
      </c>
      <c r="AK385" s="42" t="str">
        <f t="shared" si="47"/>
        <v/>
      </c>
      <c r="AO385" s="86">
        <f ca="1"/>
        <v>37947.375</v>
      </c>
      <c r="AP385" s="87">
        <f ca="1"/>
        <v>1533.66</v>
      </c>
      <c r="AQ385" s="87">
        <f ca="1"/>
        <v>1533.49</v>
      </c>
      <c r="AR385" s="88">
        <f ca="1"/>
        <v>37947.375</v>
      </c>
      <c r="AS385" s="87">
        <f ca="1"/>
        <v>1900</v>
      </c>
      <c r="AT385" s="87">
        <f ca="1"/>
        <v>2020.64</v>
      </c>
    </row>
    <row r="386" spans="13:46" x14ac:dyDescent="0.25">
      <c r="M386" s="42">
        <v>382</v>
      </c>
      <c r="N386" s="3" t="s">
        <v>442</v>
      </c>
      <c r="O386" s="49">
        <f t="shared" si="40"/>
        <v>37947.375</v>
      </c>
      <c r="P386" s="42">
        <v>1533.66</v>
      </c>
      <c r="Q386" s="42">
        <v>1900</v>
      </c>
      <c r="R386" s="42">
        <v>1533.49</v>
      </c>
      <c r="S386" s="42">
        <v>2020.64</v>
      </c>
      <c r="T386" s="42"/>
      <c r="U386" s="42"/>
      <c r="V386" s="3"/>
      <c r="W386" s="3"/>
      <c r="X386" s="3"/>
      <c r="Y386" s="3"/>
      <c r="Z386" s="3"/>
      <c r="AA386" s="3"/>
      <c r="AB386" s="3"/>
      <c r="AE386" s="42">
        <f t="shared" si="41"/>
        <v>751581</v>
      </c>
      <c r="AF386" s="42">
        <f t="shared" si="42"/>
        <v>677143.59000000043</v>
      </c>
      <c r="AG386" s="42" t="str">
        <f t="shared" si="43"/>
        <v/>
      </c>
      <c r="AH386" s="42" t="str">
        <f t="shared" si="44"/>
        <v/>
      </c>
      <c r="AI386" s="42" t="str">
        <f t="shared" si="45"/>
        <v/>
      </c>
      <c r="AJ386" s="42" t="str">
        <f t="shared" si="46"/>
        <v/>
      </c>
      <c r="AK386" s="42" t="str">
        <f t="shared" si="47"/>
        <v/>
      </c>
      <c r="AO386" s="86">
        <f ca="1"/>
        <v>37947.416666666664</v>
      </c>
      <c r="AP386" s="87">
        <f ca="1"/>
        <v>1533.6</v>
      </c>
      <c r="AQ386" s="87">
        <f ca="1"/>
        <v>1533.45</v>
      </c>
      <c r="AR386" s="88">
        <f ca="1"/>
        <v>37947.416666666664</v>
      </c>
      <c r="AS386" s="87">
        <f ca="1"/>
        <v>1850</v>
      </c>
      <c r="AT386" s="87">
        <f ca="1"/>
        <v>1985.67</v>
      </c>
    </row>
    <row r="387" spans="13:46" x14ac:dyDescent="0.25">
      <c r="M387" s="42">
        <v>383</v>
      </c>
      <c r="N387" s="3" t="s">
        <v>443</v>
      </c>
      <c r="O387" s="49">
        <f t="shared" si="40"/>
        <v>37947.416666666664</v>
      </c>
      <c r="P387" s="42">
        <v>1533.6</v>
      </c>
      <c r="Q387" s="42">
        <v>1850</v>
      </c>
      <c r="R387" s="42">
        <v>1533.45</v>
      </c>
      <c r="S387" s="42">
        <v>1985.67</v>
      </c>
      <c r="T387" s="42"/>
      <c r="U387" s="42"/>
      <c r="V387" s="3"/>
      <c r="W387" s="3"/>
      <c r="X387" s="3"/>
      <c r="Y387" s="3"/>
      <c r="Z387" s="3"/>
      <c r="AA387" s="3"/>
      <c r="AB387" s="3"/>
      <c r="AE387" s="42">
        <f t="shared" si="41"/>
        <v>753431</v>
      </c>
      <c r="AF387" s="42">
        <f t="shared" si="42"/>
        <v>679129.26000000047</v>
      </c>
      <c r="AG387" s="42" t="str">
        <f t="shared" si="43"/>
        <v/>
      </c>
      <c r="AH387" s="42" t="str">
        <f t="shared" si="44"/>
        <v/>
      </c>
      <c r="AI387" s="42" t="str">
        <f t="shared" si="45"/>
        <v/>
      </c>
      <c r="AJ387" s="42" t="str">
        <f t="shared" si="46"/>
        <v/>
      </c>
      <c r="AK387" s="42" t="str">
        <f t="shared" si="47"/>
        <v/>
      </c>
      <c r="AO387" s="86">
        <f ca="1"/>
        <v>37947.458333333336</v>
      </c>
      <c r="AP387" s="87">
        <f ca="1"/>
        <v>1533.55</v>
      </c>
      <c r="AQ387" s="87">
        <f ca="1"/>
        <v>1533.43</v>
      </c>
      <c r="AR387" s="88">
        <f ca="1"/>
        <v>37947.458333333336</v>
      </c>
      <c r="AS387" s="87">
        <f ca="1"/>
        <v>1810</v>
      </c>
      <c r="AT387" s="87">
        <f ca="1"/>
        <v>1970.73</v>
      </c>
    </row>
    <row r="388" spans="13:46" x14ac:dyDescent="0.25">
      <c r="M388" s="42">
        <v>384</v>
      </c>
      <c r="N388" s="3" t="s">
        <v>444</v>
      </c>
      <c r="O388" s="49">
        <f t="shared" si="40"/>
        <v>37947.458333333336</v>
      </c>
      <c r="P388" s="42">
        <v>1533.55</v>
      </c>
      <c r="Q388" s="42">
        <v>1810</v>
      </c>
      <c r="R388" s="42">
        <v>1533.43</v>
      </c>
      <c r="S388" s="42">
        <v>1970.73</v>
      </c>
      <c r="T388" s="42"/>
      <c r="U388" s="42"/>
      <c r="V388" s="3"/>
      <c r="W388" s="3"/>
      <c r="X388" s="3"/>
      <c r="Y388" s="3"/>
      <c r="Z388" s="3"/>
      <c r="AA388" s="3"/>
      <c r="AB388" s="3"/>
      <c r="AE388" s="42">
        <f t="shared" si="41"/>
        <v>755241</v>
      </c>
      <c r="AF388" s="42">
        <f t="shared" si="42"/>
        <v>681099.99000000046</v>
      </c>
      <c r="AG388" s="42" t="str">
        <f t="shared" si="43"/>
        <v/>
      </c>
      <c r="AH388" s="42" t="str">
        <f t="shared" si="44"/>
        <v/>
      </c>
      <c r="AI388" s="42" t="str">
        <f t="shared" si="45"/>
        <v/>
      </c>
      <c r="AJ388" s="42" t="str">
        <f t="shared" si="46"/>
        <v/>
      </c>
      <c r="AK388" s="42" t="str">
        <f t="shared" si="47"/>
        <v/>
      </c>
      <c r="AO388" s="86">
        <f ca="1"/>
        <v>37947.5</v>
      </c>
      <c r="AP388" s="87">
        <f ca="1"/>
        <v>1533.48</v>
      </c>
      <c r="AQ388" s="87">
        <f ca="1"/>
        <v>1533.38</v>
      </c>
      <c r="AR388" s="88">
        <f ca="1"/>
        <v>37947.5</v>
      </c>
      <c r="AS388" s="87">
        <f ca="1"/>
        <v>1750</v>
      </c>
      <c r="AT388" s="87">
        <f ca="1"/>
        <v>1935</v>
      </c>
    </row>
    <row r="389" spans="13:46" x14ac:dyDescent="0.25">
      <c r="M389" s="42">
        <v>385</v>
      </c>
      <c r="N389" s="3" t="s">
        <v>445</v>
      </c>
      <c r="O389" s="49">
        <f t="shared" si="40"/>
        <v>37947.5</v>
      </c>
      <c r="P389" s="42">
        <v>1533.48</v>
      </c>
      <c r="Q389" s="42">
        <v>1750</v>
      </c>
      <c r="R389" s="42">
        <v>1533.38</v>
      </c>
      <c r="S389" s="42">
        <v>1935</v>
      </c>
      <c r="T389" s="42"/>
      <c r="U389" s="42"/>
      <c r="V389" s="3"/>
      <c r="W389" s="3"/>
      <c r="X389" s="3"/>
      <c r="Y389" s="3"/>
      <c r="Z389" s="3"/>
      <c r="AA389" s="3"/>
      <c r="AB389" s="3"/>
      <c r="AE389" s="42">
        <f t="shared" si="41"/>
        <v>756991</v>
      </c>
      <c r="AF389" s="42">
        <f t="shared" si="42"/>
        <v>683034.99000000046</v>
      </c>
      <c r="AG389" s="42" t="str">
        <f t="shared" si="43"/>
        <v/>
      </c>
      <c r="AH389" s="42" t="str">
        <f t="shared" si="44"/>
        <v/>
      </c>
      <c r="AI389" s="42" t="str">
        <f t="shared" si="45"/>
        <v/>
      </c>
      <c r="AJ389" s="42" t="str">
        <f t="shared" si="46"/>
        <v/>
      </c>
      <c r="AK389" s="42" t="str">
        <f t="shared" si="47"/>
        <v/>
      </c>
      <c r="AO389" s="86">
        <f ca="1"/>
        <v>37947.541666666664</v>
      </c>
      <c r="AP389" s="87">
        <f ca="1"/>
        <v>1533.43</v>
      </c>
      <c r="AQ389" s="87">
        <f ca="1"/>
        <v>1533.34</v>
      </c>
      <c r="AR389" s="88">
        <f ca="1"/>
        <v>37947.541666666664</v>
      </c>
      <c r="AS389" s="87">
        <f ca="1"/>
        <v>1710</v>
      </c>
      <c r="AT389" s="87">
        <f ca="1"/>
        <v>1902.61</v>
      </c>
    </row>
    <row r="390" spans="13:46" x14ac:dyDescent="0.25">
      <c r="M390" s="42">
        <v>386</v>
      </c>
      <c r="N390" s="3" t="s">
        <v>446</v>
      </c>
      <c r="O390" s="49">
        <f t="shared" ref="O390:O453" si="48">IF(ISTEXT(N390),IF(MID(N390,11,2)="24",1+DATEVALUE(LEFT(N390,10))+TIMEVALUE(CONCATENATE(MID(N390,11,2),":",MID(N390,13,2))),DATEVALUE(LEFT(N390,10))+TIMEVALUE(CONCATENATE(MID(N390,11,2),":",MID(N390,13,2)))),"")</f>
        <v>37947.541666666664</v>
      </c>
      <c r="P390" s="42">
        <v>1533.43</v>
      </c>
      <c r="Q390" s="42">
        <v>1710</v>
      </c>
      <c r="R390" s="42">
        <v>1533.34</v>
      </c>
      <c r="S390" s="42">
        <v>1902.61</v>
      </c>
      <c r="T390" s="42"/>
      <c r="U390" s="42"/>
      <c r="V390" s="3"/>
      <c r="W390" s="3"/>
      <c r="X390" s="3"/>
      <c r="Y390" s="3"/>
      <c r="Z390" s="3"/>
      <c r="AA390" s="3"/>
      <c r="AB390" s="3"/>
      <c r="AE390" s="42">
        <f t="shared" si="41"/>
        <v>758701</v>
      </c>
      <c r="AF390" s="42">
        <f t="shared" si="42"/>
        <v>684937.60000000044</v>
      </c>
      <c r="AG390" s="42" t="str">
        <f t="shared" si="43"/>
        <v/>
      </c>
      <c r="AH390" s="42" t="str">
        <f t="shared" si="44"/>
        <v/>
      </c>
      <c r="AI390" s="42" t="str">
        <f t="shared" si="45"/>
        <v/>
      </c>
      <c r="AJ390" s="42" t="str">
        <f t="shared" si="46"/>
        <v/>
      </c>
      <c r="AK390" s="42" t="str">
        <f t="shared" si="47"/>
        <v/>
      </c>
      <c r="AO390" s="86">
        <f ca="1"/>
        <v>37947.583333333336</v>
      </c>
      <c r="AP390" s="87">
        <f ca="1"/>
        <v>1533.36</v>
      </c>
      <c r="AQ390" s="87">
        <f ca="1"/>
        <v>1533.31</v>
      </c>
      <c r="AR390" s="88">
        <f ca="1"/>
        <v>37947.583333333336</v>
      </c>
      <c r="AS390" s="87">
        <f ca="1"/>
        <v>1660</v>
      </c>
      <c r="AT390" s="87">
        <f ca="1"/>
        <v>1883.52</v>
      </c>
    </row>
    <row r="391" spans="13:46" x14ac:dyDescent="0.25">
      <c r="M391" s="42">
        <v>387</v>
      </c>
      <c r="N391" s="3" t="s">
        <v>447</v>
      </c>
      <c r="O391" s="49">
        <f t="shared" si="48"/>
        <v>37947.583333333336</v>
      </c>
      <c r="P391" s="42">
        <v>1533.36</v>
      </c>
      <c r="Q391" s="42">
        <v>1660</v>
      </c>
      <c r="R391" s="42">
        <v>1533.31</v>
      </c>
      <c r="S391" s="42">
        <v>1883.52</v>
      </c>
      <c r="T391" s="42"/>
      <c r="U391" s="42"/>
      <c r="V391" s="3"/>
      <c r="W391" s="3"/>
      <c r="X391" s="3"/>
      <c r="Y391" s="3"/>
      <c r="Z391" s="3"/>
      <c r="AA391" s="3"/>
      <c r="AB391" s="3"/>
      <c r="AE391" s="42">
        <f t="shared" ref="AE391:AE454" si="49">IF(ISNUMBER(Q391),AE390+Q391,"")</f>
        <v>760361</v>
      </c>
      <c r="AF391" s="42">
        <f t="shared" ref="AF391:AF454" si="50">IF(ISNUMBER(S391),AF390+S391,"")</f>
        <v>686821.12000000046</v>
      </c>
      <c r="AG391" s="42" t="str">
        <f t="shared" ref="AG391:AG454" si="51">IF(ISNUMBER(U391),AG390+U391,"")</f>
        <v/>
      </c>
      <c r="AH391" s="42" t="str">
        <f t="shared" ref="AH391:AH454" si="52">IF(ISNUMBER(W391),AH390+W391,"")</f>
        <v/>
      </c>
      <c r="AI391" s="42" t="str">
        <f t="shared" ref="AI391:AI454" si="53">IF(ISNUMBER(Y391),AI390+Y391,"")</f>
        <v/>
      </c>
      <c r="AJ391" s="42" t="str">
        <f t="shared" ref="AJ391:AJ454" si="54">IF(ISNUMBER(AA391),AJ390+AA391,"")</f>
        <v/>
      </c>
      <c r="AK391" s="42" t="str">
        <f t="shared" ref="AK391:AK454" si="55">IF(ISNUMBER(AC391),AK390+AC391,"")</f>
        <v/>
      </c>
      <c r="AO391" s="86">
        <f ca="1"/>
        <v>37947.625</v>
      </c>
      <c r="AP391" s="87">
        <f ca="1"/>
        <v>1533.3</v>
      </c>
      <c r="AQ391" s="87">
        <f ca="1"/>
        <v>1533.26</v>
      </c>
      <c r="AR391" s="88">
        <f ca="1"/>
        <v>37947.625</v>
      </c>
      <c r="AS391" s="87">
        <f ca="1"/>
        <v>1610</v>
      </c>
      <c r="AT391" s="87">
        <f ca="1"/>
        <v>1840.93</v>
      </c>
    </row>
    <row r="392" spans="13:46" x14ac:dyDescent="0.25">
      <c r="M392" s="42">
        <v>388</v>
      </c>
      <c r="N392" s="3" t="s">
        <v>448</v>
      </c>
      <c r="O392" s="49">
        <f t="shared" si="48"/>
        <v>37947.625</v>
      </c>
      <c r="P392" s="42">
        <v>1533.3</v>
      </c>
      <c r="Q392" s="42">
        <v>1610</v>
      </c>
      <c r="R392" s="42">
        <v>1533.26</v>
      </c>
      <c r="S392" s="42">
        <v>1840.93</v>
      </c>
      <c r="T392" s="42"/>
      <c r="U392" s="42"/>
      <c r="V392" s="3"/>
      <c r="W392" s="3"/>
      <c r="X392" s="3"/>
      <c r="Y392" s="3"/>
      <c r="Z392" s="3"/>
      <c r="AA392" s="3"/>
      <c r="AB392" s="3"/>
      <c r="AE392" s="42">
        <f t="shared" si="49"/>
        <v>761971</v>
      </c>
      <c r="AF392" s="42">
        <f t="shared" si="50"/>
        <v>688662.05000000051</v>
      </c>
      <c r="AG392" s="42" t="str">
        <f t="shared" si="51"/>
        <v/>
      </c>
      <c r="AH392" s="42" t="str">
        <f t="shared" si="52"/>
        <v/>
      </c>
      <c r="AI392" s="42" t="str">
        <f t="shared" si="53"/>
        <v/>
      </c>
      <c r="AJ392" s="42" t="str">
        <f t="shared" si="54"/>
        <v/>
      </c>
      <c r="AK392" s="42" t="str">
        <f t="shared" si="55"/>
        <v/>
      </c>
      <c r="AO392" s="86">
        <f ca="1"/>
        <v>37947.666666666664</v>
      </c>
      <c r="AP392" s="87">
        <f ca="1"/>
        <v>1533.24</v>
      </c>
      <c r="AQ392" s="87">
        <f ca="1"/>
        <v>1533.23</v>
      </c>
      <c r="AR392" s="88">
        <f ca="1"/>
        <v>37947.666666666664</v>
      </c>
      <c r="AS392" s="87">
        <f ca="1"/>
        <v>1570</v>
      </c>
      <c r="AT392" s="87">
        <f ca="1"/>
        <v>1816.89</v>
      </c>
    </row>
    <row r="393" spans="13:46" x14ac:dyDescent="0.25">
      <c r="M393" s="42">
        <v>389</v>
      </c>
      <c r="N393" s="3" t="s">
        <v>449</v>
      </c>
      <c r="O393" s="49">
        <f t="shared" si="48"/>
        <v>37947.666666666664</v>
      </c>
      <c r="P393" s="42">
        <v>1533.24</v>
      </c>
      <c r="Q393" s="42">
        <v>1570</v>
      </c>
      <c r="R393" s="42">
        <v>1533.23</v>
      </c>
      <c r="S393" s="42">
        <v>1816.89</v>
      </c>
      <c r="T393" s="42"/>
      <c r="U393" s="42"/>
      <c r="V393" s="3"/>
      <c r="W393" s="3"/>
      <c r="X393" s="3"/>
      <c r="Y393" s="3"/>
      <c r="Z393" s="3"/>
      <c r="AA393" s="3"/>
      <c r="AB393" s="3"/>
      <c r="AE393" s="42">
        <f t="shared" si="49"/>
        <v>763541</v>
      </c>
      <c r="AF393" s="42">
        <f t="shared" si="50"/>
        <v>690478.94000000053</v>
      </c>
      <c r="AG393" s="42" t="str">
        <f t="shared" si="51"/>
        <v/>
      </c>
      <c r="AH393" s="42" t="str">
        <f t="shared" si="52"/>
        <v/>
      </c>
      <c r="AI393" s="42" t="str">
        <f t="shared" si="53"/>
        <v/>
      </c>
      <c r="AJ393" s="42" t="str">
        <f t="shared" si="54"/>
        <v/>
      </c>
      <c r="AK393" s="42" t="str">
        <f t="shared" si="55"/>
        <v/>
      </c>
      <c r="AO393" s="86">
        <f ca="1"/>
        <v>37947.708333333336</v>
      </c>
      <c r="AP393" s="87">
        <f ca="1"/>
        <v>1533.19</v>
      </c>
      <c r="AQ393" s="87">
        <f ca="1"/>
        <v>1533.17</v>
      </c>
      <c r="AR393" s="88">
        <f ca="1"/>
        <v>37947.708333333336</v>
      </c>
      <c r="AS393" s="87">
        <f ca="1"/>
        <v>1530</v>
      </c>
      <c r="AT393" s="87">
        <f ca="1"/>
        <v>1775.6</v>
      </c>
    </row>
    <row r="394" spans="13:46" x14ac:dyDescent="0.25">
      <c r="M394" s="42">
        <v>390</v>
      </c>
      <c r="N394" s="3" t="s">
        <v>450</v>
      </c>
      <c r="O394" s="49">
        <f t="shared" si="48"/>
        <v>37947.708333333336</v>
      </c>
      <c r="P394" s="42">
        <v>1533.19</v>
      </c>
      <c r="Q394" s="42">
        <v>1530</v>
      </c>
      <c r="R394" s="42">
        <v>1533.17</v>
      </c>
      <c r="S394" s="42">
        <v>1775.6</v>
      </c>
      <c r="T394" s="42"/>
      <c r="U394" s="42"/>
      <c r="V394" s="3"/>
      <c r="W394" s="3"/>
      <c r="X394" s="3"/>
      <c r="Y394" s="3"/>
      <c r="Z394" s="3"/>
      <c r="AA394" s="3"/>
      <c r="AB394" s="3"/>
      <c r="AE394" s="42">
        <f t="shared" si="49"/>
        <v>765071</v>
      </c>
      <c r="AF394" s="42">
        <f t="shared" si="50"/>
        <v>692254.5400000005</v>
      </c>
      <c r="AG394" s="42" t="str">
        <f t="shared" si="51"/>
        <v/>
      </c>
      <c r="AH394" s="42" t="str">
        <f t="shared" si="52"/>
        <v/>
      </c>
      <c r="AI394" s="42" t="str">
        <f t="shared" si="53"/>
        <v/>
      </c>
      <c r="AJ394" s="42" t="str">
        <f t="shared" si="54"/>
        <v/>
      </c>
      <c r="AK394" s="42" t="str">
        <f t="shared" si="55"/>
        <v/>
      </c>
      <c r="AO394" s="86">
        <f ca="1"/>
        <v>37947.75</v>
      </c>
      <c r="AP394" s="87">
        <f ca="1"/>
        <v>1533.13</v>
      </c>
      <c r="AQ394" s="87">
        <f ca="1"/>
        <v>1533.16</v>
      </c>
      <c r="AR394" s="88">
        <f ca="1"/>
        <v>37947.75</v>
      </c>
      <c r="AS394" s="87">
        <f ca="1"/>
        <v>1490</v>
      </c>
      <c r="AT394" s="87">
        <f ca="1"/>
        <v>1764.62</v>
      </c>
    </row>
    <row r="395" spans="13:46" x14ac:dyDescent="0.25">
      <c r="M395" s="42">
        <v>391</v>
      </c>
      <c r="N395" s="3" t="s">
        <v>451</v>
      </c>
      <c r="O395" s="49">
        <f t="shared" si="48"/>
        <v>37947.75</v>
      </c>
      <c r="P395" s="42">
        <v>1533.13</v>
      </c>
      <c r="Q395" s="42">
        <v>1490</v>
      </c>
      <c r="R395" s="42">
        <v>1533.16</v>
      </c>
      <c r="S395" s="42">
        <v>1764.62</v>
      </c>
      <c r="T395" s="42"/>
      <c r="U395" s="42"/>
      <c r="V395" s="3"/>
      <c r="W395" s="3"/>
      <c r="X395" s="3"/>
      <c r="Y395" s="3"/>
      <c r="Z395" s="3"/>
      <c r="AA395" s="3"/>
      <c r="AB395" s="3"/>
      <c r="AE395" s="42">
        <f t="shared" si="49"/>
        <v>766561</v>
      </c>
      <c r="AF395" s="42">
        <f t="shared" si="50"/>
        <v>694019.1600000005</v>
      </c>
      <c r="AG395" s="42" t="str">
        <f t="shared" si="51"/>
        <v/>
      </c>
      <c r="AH395" s="42" t="str">
        <f t="shared" si="52"/>
        <v/>
      </c>
      <c r="AI395" s="42" t="str">
        <f t="shared" si="53"/>
        <v/>
      </c>
      <c r="AJ395" s="42" t="str">
        <f t="shared" si="54"/>
        <v/>
      </c>
      <c r="AK395" s="42" t="str">
        <f t="shared" si="55"/>
        <v/>
      </c>
      <c r="AO395" s="86">
        <f ca="1"/>
        <v>37947.791666666664</v>
      </c>
      <c r="AP395" s="87">
        <f ca="1"/>
        <v>1533.08</v>
      </c>
      <c r="AQ395" s="87">
        <f ca="1"/>
        <v>1533.13</v>
      </c>
      <c r="AR395" s="88">
        <f ca="1"/>
        <v>37947.791666666664</v>
      </c>
      <c r="AS395" s="87">
        <f ca="1"/>
        <v>1460</v>
      </c>
      <c r="AT395" s="87">
        <f ca="1"/>
        <v>1744.01</v>
      </c>
    </row>
    <row r="396" spans="13:46" x14ac:dyDescent="0.25">
      <c r="M396" s="42">
        <v>392</v>
      </c>
      <c r="N396" s="3" t="s">
        <v>452</v>
      </c>
      <c r="O396" s="49">
        <f t="shared" si="48"/>
        <v>37947.791666666664</v>
      </c>
      <c r="P396" s="42">
        <v>1533.08</v>
      </c>
      <c r="Q396" s="42">
        <v>1460</v>
      </c>
      <c r="R396" s="42">
        <v>1533.13</v>
      </c>
      <c r="S396" s="42">
        <v>1744.01</v>
      </c>
      <c r="T396" s="42"/>
      <c r="U396" s="42"/>
      <c r="V396" s="3"/>
      <c r="W396" s="3"/>
      <c r="X396" s="3"/>
      <c r="Y396" s="3"/>
      <c r="Z396" s="3"/>
      <c r="AA396" s="3"/>
      <c r="AB396" s="3"/>
      <c r="AE396" s="42">
        <f t="shared" si="49"/>
        <v>768021</v>
      </c>
      <c r="AF396" s="42">
        <f t="shared" si="50"/>
        <v>695763.17000000051</v>
      </c>
      <c r="AG396" s="42" t="str">
        <f t="shared" si="51"/>
        <v/>
      </c>
      <c r="AH396" s="42" t="str">
        <f t="shared" si="52"/>
        <v/>
      </c>
      <c r="AI396" s="42" t="str">
        <f t="shared" si="53"/>
        <v/>
      </c>
      <c r="AJ396" s="42" t="str">
        <f t="shared" si="54"/>
        <v/>
      </c>
      <c r="AK396" s="42" t="str">
        <f t="shared" si="55"/>
        <v/>
      </c>
      <c r="AO396" s="86">
        <f ca="1"/>
        <v>37947.833333333336</v>
      </c>
      <c r="AP396" s="87">
        <f ca="1"/>
        <v>1533.04</v>
      </c>
      <c r="AQ396" s="87">
        <f ca="1"/>
        <v>1533.08</v>
      </c>
      <c r="AR396" s="88">
        <f ca="1"/>
        <v>37947.833333333336</v>
      </c>
      <c r="AS396" s="87">
        <f ca="1"/>
        <v>1430</v>
      </c>
      <c r="AT396" s="87">
        <f ca="1"/>
        <v>1709.81</v>
      </c>
    </row>
    <row r="397" spans="13:46" x14ac:dyDescent="0.25">
      <c r="M397" s="42">
        <v>393</v>
      </c>
      <c r="N397" s="3" t="s">
        <v>453</v>
      </c>
      <c r="O397" s="49">
        <f t="shared" si="48"/>
        <v>37947.833333333336</v>
      </c>
      <c r="P397" s="42">
        <v>1533.04</v>
      </c>
      <c r="Q397" s="42">
        <v>1430</v>
      </c>
      <c r="R397" s="42">
        <v>1533.08</v>
      </c>
      <c r="S397" s="42">
        <v>1709.81</v>
      </c>
      <c r="T397" s="42"/>
      <c r="U397" s="42"/>
      <c r="V397" s="3"/>
      <c r="W397" s="3"/>
      <c r="X397" s="3"/>
      <c r="Y397" s="3"/>
      <c r="Z397" s="3"/>
      <c r="AA397" s="3"/>
      <c r="AB397" s="3"/>
      <c r="AE397" s="42">
        <f t="shared" si="49"/>
        <v>769451</v>
      </c>
      <c r="AF397" s="42">
        <f t="shared" si="50"/>
        <v>697472.98000000056</v>
      </c>
      <c r="AG397" s="42" t="str">
        <f t="shared" si="51"/>
        <v/>
      </c>
      <c r="AH397" s="42" t="str">
        <f t="shared" si="52"/>
        <v/>
      </c>
      <c r="AI397" s="42" t="str">
        <f t="shared" si="53"/>
        <v/>
      </c>
      <c r="AJ397" s="42" t="str">
        <f t="shared" si="54"/>
        <v/>
      </c>
      <c r="AK397" s="42" t="str">
        <f t="shared" si="55"/>
        <v/>
      </c>
      <c r="AO397" s="86">
        <f ca="1"/>
        <v>37947.875</v>
      </c>
      <c r="AP397" s="87">
        <f ca="1"/>
        <v>1533</v>
      </c>
      <c r="AQ397" s="87">
        <f ca="1"/>
        <v>1533.05</v>
      </c>
      <c r="AR397" s="88">
        <f ca="1"/>
        <v>37947.875</v>
      </c>
      <c r="AS397" s="87">
        <f ca="1"/>
        <v>1400</v>
      </c>
      <c r="AT397" s="87">
        <f ca="1"/>
        <v>1683.2</v>
      </c>
    </row>
    <row r="398" spans="13:46" x14ac:dyDescent="0.25">
      <c r="M398" s="42">
        <v>394</v>
      </c>
      <c r="N398" s="3" t="s">
        <v>454</v>
      </c>
      <c r="O398" s="49">
        <f t="shared" si="48"/>
        <v>37947.875</v>
      </c>
      <c r="P398" s="42">
        <v>1533</v>
      </c>
      <c r="Q398" s="42">
        <v>1400</v>
      </c>
      <c r="R398" s="42">
        <v>1533.05</v>
      </c>
      <c r="S398" s="42">
        <v>1683.2</v>
      </c>
      <c r="T398" s="42"/>
      <c r="U398" s="42"/>
      <c r="V398" s="3"/>
      <c r="W398" s="3"/>
      <c r="X398" s="3"/>
      <c r="Y398" s="3"/>
      <c r="Z398" s="3"/>
      <c r="AA398" s="3"/>
      <c r="AB398" s="3"/>
      <c r="AE398" s="42">
        <f t="shared" si="49"/>
        <v>770851</v>
      </c>
      <c r="AF398" s="42">
        <f t="shared" si="50"/>
        <v>699156.18000000052</v>
      </c>
      <c r="AG398" s="42" t="str">
        <f t="shared" si="51"/>
        <v/>
      </c>
      <c r="AH398" s="42" t="str">
        <f t="shared" si="52"/>
        <v/>
      </c>
      <c r="AI398" s="42" t="str">
        <f t="shared" si="53"/>
        <v/>
      </c>
      <c r="AJ398" s="42" t="str">
        <f t="shared" si="54"/>
        <v/>
      </c>
      <c r="AK398" s="42" t="str">
        <f t="shared" si="55"/>
        <v/>
      </c>
      <c r="AO398" s="86">
        <f ca="1"/>
        <v>37947.916666666664</v>
      </c>
      <c r="AP398" s="87">
        <f ca="1"/>
        <v>1532.96</v>
      </c>
      <c r="AQ398" s="87">
        <f ca="1"/>
        <v>1533.04</v>
      </c>
      <c r="AR398" s="88">
        <f ca="1"/>
        <v>37947.916666666664</v>
      </c>
      <c r="AS398" s="87">
        <f ca="1"/>
        <v>1370</v>
      </c>
      <c r="AT398" s="87">
        <f ca="1"/>
        <v>1676.09</v>
      </c>
    </row>
    <row r="399" spans="13:46" x14ac:dyDescent="0.25">
      <c r="M399" s="42">
        <v>395</v>
      </c>
      <c r="N399" s="3" t="s">
        <v>455</v>
      </c>
      <c r="O399" s="49">
        <f t="shared" si="48"/>
        <v>37947.916666666664</v>
      </c>
      <c r="P399" s="42">
        <v>1532.96</v>
      </c>
      <c r="Q399" s="42">
        <v>1370</v>
      </c>
      <c r="R399" s="42">
        <v>1533.04</v>
      </c>
      <c r="S399" s="42">
        <v>1676.09</v>
      </c>
      <c r="T399" s="42"/>
      <c r="U399" s="42"/>
      <c r="V399" s="3"/>
      <c r="W399" s="3"/>
      <c r="X399" s="3"/>
      <c r="Y399" s="3"/>
      <c r="Z399" s="3"/>
      <c r="AA399" s="3"/>
      <c r="AB399" s="3"/>
      <c r="AE399" s="42">
        <f t="shared" si="49"/>
        <v>772221</v>
      </c>
      <c r="AF399" s="42">
        <f t="shared" si="50"/>
        <v>700832.27000000048</v>
      </c>
      <c r="AG399" s="42" t="str">
        <f t="shared" si="51"/>
        <v/>
      </c>
      <c r="AH399" s="42" t="str">
        <f t="shared" si="52"/>
        <v/>
      </c>
      <c r="AI399" s="42" t="str">
        <f t="shared" si="53"/>
        <v/>
      </c>
      <c r="AJ399" s="42" t="str">
        <f t="shared" si="54"/>
        <v/>
      </c>
      <c r="AK399" s="42" t="str">
        <f t="shared" si="55"/>
        <v/>
      </c>
      <c r="AO399" s="86">
        <f ca="1"/>
        <v>37947.958333333336</v>
      </c>
      <c r="AP399" s="87">
        <f ca="1"/>
        <v>1532.92</v>
      </c>
      <c r="AQ399" s="87">
        <f ca="1"/>
        <v>1533</v>
      </c>
      <c r="AR399" s="88">
        <f ca="1"/>
        <v>37947.958333333336</v>
      </c>
      <c r="AS399" s="87">
        <f ca="1"/>
        <v>1350</v>
      </c>
      <c r="AT399" s="87">
        <f ca="1"/>
        <v>1646.67</v>
      </c>
    </row>
    <row r="400" spans="13:46" x14ac:dyDescent="0.25">
      <c r="M400" s="42">
        <v>396</v>
      </c>
      <c r="N400" s="3" t="s">
        <v>456</v>
      </c>
      <c r="O400" s="49">
        <f t="shared" si="48"/>
        <v>37947.958333333336</v>
      </c>
      <c r="P400" s="42">
        <v>1532.92</v>
      </c>
      <c r="Q400" s="42">
        <v>1350</v>
      </c>
      <c r="R400" s="42">
        <v>1533</v>
      </c>
      <c r="S400" s="42">
        <v>1646.67</v>
      </c>
      <c r="T400" s="42"/>
      <c r="U400" s="42"/>
      <c r="V400" s="3"/>
      <c r="W400" s="3"/>
      <c r="X400" s="3"/>
      <c r="Y400" s="3"/>
      <c r="Z400" s="3"/>
      <c r="AA400" s="3"/>
      <c r="AB400" s="3"/>
      <c r="AE400" s="42">
        <f t="shared" si="49"/>
        <v>773571</v>
      </c>
      <c r="AF400" s="42">
        <f t="shared" si="50"/>
        <v>702478.94000000053</v>
      </c>
      <c r="AG400" s="42" t="str">
        <f t="shared" si="51"/>
        <v/>
      </c>
      <c r="AH400" s="42" t="str">
        <f t="shared" si="52"/>
        <v/>
      </c>
      <c r="AI400" s="42" t="str">
        <f t="shared" si="53"/>
        <v/>
      </c>
      <c r="AJ400" s="42" t="str">
        <f t="shared" si="54"/>
        <v/>
      </c>
      <c r="AK400" s="42" t="str">
        <f t="shared" si="55"/>
        <v/>
      </c>
      <c r="AO400" s="86">
        <f ca="1"/>
        <v>37948</v>
      </c>
      <c r="AP400" s="87">
        <f ca="1"/>
        <v>1532.88</v>
      </c>
      <c r="AQ400" s="87">
        <f ca="1"/>
        <v>1532.97</v>
      </c>
      <c r="AR400" s="88">
        <f ca="1"/>
        <v>37948</v>
      </c>
      <c r="AS400" s="87">
        <f ca="1"/>
        <v>1320</v>
      </c>
      <c r="AT400" s="87">
        <f ca="1"/>
        <v>1624.91</v>
      </c>
    </row>
    <row r="401" spans="13:46" x14ac:dyDescent="0.25">
      <c r="M401" s="42">
        <v>397</v>
      </c>
      <c r="N401" s="3" t="s">
        <v>457</v>
      </c>
      <c r="O401" s="49">
        <f t="shared" si="48"/>
        <v>37948</v>
      </c>
      <c r="P401" s="42">
        <v>1532.88</v>
      </c>
      <c r="Q401" s="42">
        <v>1320</v>
      </c>
      <c r="R401" s="42">
        <v>1532.97</v>
      </c>
      <c r="S401" s="42">
        <v>1624.91</v>
      </c>
      <c r="T401" s="42"/>
      <c r="U401" s="42"/>
      <c r="V401" s="3"/>
      <c r="W401" s="3"/>
      <c r="X401" s="3"/>
      <c r="Y401" s="3"/>
      <c r="Z401" s="3"/>
      <c r="AA401" s="3"/>
      <c r="AB401" s="3"/>
      <c r="AE401" s="42">
        <f t="shared" si="49"/>
        <v>774891</v>
      </c>
      <c r="AF401" s="42">
        <f t="shared" si="50"/>
        <v>704103.85000000056</v>
      </c>
      <c r="AG401" s="42" t="str">
        <f t="shared" si="51"/>
        <v/>
      </c>
      <c r="AH401" s="42" t="str">
        <f t="shared" si="52"/>
        <v/>
      </c>
      <c r="AI401" s="42" t="str">
        <f t="shared" si="53"/>
        <v/>
      </c>
      <c r="AJ401" s="42" t="str">
        <f t="shared" si="54"/>
        <v/>
      </c>
      <c r="AK401" s="42" t="str">
        <f t="shared" si="55"/>
        <v/>
      </c>
      <c r="AO401" s="86">
        <f ca="1"/>
        <v>37948.041666666664</v>
      </c>
      <c r="AP401" s="87">
        <f ca="1"/>
        <v>1532.84</v>
      </c>
      <c r="AQ401" s="87">
        <f ca="1"/>
        <v>1532.94</v>
      </c>
      <c r="AR401" s="88">
        <f ca="1"/>
        <v>37948.041666666664</v>
      </c>
      <c r="AS401" s="87">
        <f ca="1"/>
        <v>1300</v>
      </c>
      <c r="AT401" s="87">
        <f ca="1"/>
        <v>1603.57</v>
      </c>
    </row>
    <row r="402" spans="13:46" x14ac:dyDescent="0.25">
      <c r="M402" s="42">
        <v>398</v>
      </c>
      <c r="N402" s="3" t="s">
        <v>458</v>
      </c>
      <c r="O402" s="49">
        <f t="shared" si="48"/>
        <v>37948.041666666664</v>
      </c>
      <c r="P402" s="42">
        <v>1532.84</v>
      </c>
      <c r="Q402" s="42">
        <v>1300</v>
      </c>
      <c r="R402" s="42">
        <v>1532.94</v>
      </c>
      <c r="S402" s="42">
        <v>1603.57</v>
      </c>
      <c r="T402" s="42"/>
      <c r="U402" s="42"/>
      <c r="V402" s="3"/>
      <c r="W402" s="3"/>
      <c r="X402" s="3"/>
      <c r="Y402" s="3"/>
      <c r="Z402" s="3"/>
      <c r="AA402" s="3"/>
      <c r="AB402" s="3"/>
      <c r="AE402" s="42">
        <f t="shared" si="49"/>
        <v>776191</v>
      </c>
      <c r="AF402" s="42">
        <f t="shared" si="50"/>
        <v>705707.42000000051</v>
      </c>
      <c r="AG402" s="42" t="str">
        <f t="shared" si="51"/>
        <v/>
      </c>
      <c r="AH402" s="42" t="str">
        <f t="shared" si="52"/>
        <v/>
      </c>
      <c r="AI402" s="42" t="str">
        <f t="shared" si="53"/>
        <v/>
      </c>
      <c r="AJ402" s="42" t="str">
        <f t="shared" si="54"/>
        <v/>
      </c>
      <c r="AK402" s="42" t="str">
        <f t="shared" si="55"/>
        <v/>
      </c>
      <c r="AO402" s="86">
        <f ca="1"/>
        <v>37948.083333333336</v>
      </c>
      <c r="AP402" s="87">
        <f ca="1"/>
        <v>1532.8</v>
      </c>
      <c r="AQ402" s="87">
        <f ca="1"/>
        <v>1532.91</v>
      </c>
      <c r="AR402" s="88">
        <f ca="1"/>
        <v>37948.083333333336</v>
      </c>
      <c r="AS402" s="87">
        <f ca="1"/>
        <v>1270</v>
      </c>
      <c r="AT402" s="87">
        <f ca="1"/>
        <v>1584.7</v>
      </c>
    </row>
    <row r="403" spans="13:46" x14ac:dyDescent="0.25">
      <c r="M403" s="42">
        <v>399</v>
      </c>
      <c r="N403" s="3" t="s">
        <v>459</v>
      </c>
      <c r="O403" s="49">
        <f t="shared" si="48"/>
        <v>37948.083333333336</v>
      </c>
      <c r="P403" s="42">
        <v>1532.8</v>
      </c>
      <c r="Q403" s="42">
        <v>1270</v>
      </c>
      <c r="R403" s="42">
        <v>1532.91</v>
      </c>
      <c r="S403" s="42">
        <v>1584.7</v>
      </c>
      <c r="T403" s="42"/>
      <c r="U403" s="42"/>
      <c r="V403" s="3"/>
      <c r="W403" s="3"/>
      <c r="X403" s="3"/>
      <c r="Y403" s="3"/>
      <c r="Z403" s="3"/>
      <c r="AA403" s="3"/>
      <c r="AB403" s="3"/>
      <c r="AE403" s="42">
        <f t="shared" si="49"/>
        <v>777461</v>
      </c>
      <c r="AF403" s="42">
        <f t="shared" si="50"/>
        <v>707292.12000000046</v>
      </c>
      <c r="AG403" s="42" t="str">
        <f t="shared" si="51"/>
        <v/>
      </c>
      <c r="AH403" s="42" t="str">
        <f t="shared" si="52"/>
        <v/>
      </c>
      <c r="AI403" s="42" t="str">
        <f t="shared" si="53"/>
        <v/>
      </c>
      <c r="AJ403" s="42" t="str">
        <f t="shared" si="54"/>
        <v/>
      </c>
      <c r="AK403" s="42" t="str">
        <f t="shared" si="55"/>
        <v/>
      </c>
      <c r="AO403" s="86">
        <f ca="1"/>
        <v>37948.125</v>
      </c>
      <c r="AP403" s="87">
        <f ca="1"/>
        <v>1532.76</v>
      </c>
      <c r="AQ403" s="87">
        <f ca="1"/>
        <v>1532.89</v>
      </c>
      <c r="AR403" s="88">
        <f ca="1"/>
        <v>37948.125</v>
      </c>
      <c r="AS403" s="87">
        <f ca="1"/>
        <v>1250</v>
      </c>
      <c r="AT403" s="87">
        <f ca="1"/>
        <v>1567.83</v>
      </c>
    </row>
    <row r="404" spans="13:46" x14ac:dyDescent="0.25">
      <c r="M404" s="42">
        <v>400</v>
      </c>
      <c r="N404" s="3" t="s">
        <v>460</v>
      </c>
      <c r="O404" s="49">
        <f t="shared" si="48"/>
        <v>37948.125</v>
      </c>
      <c r="P404" s="42">
        <v>1532.76</v>
      </c>
      <c r="Q404" s="42">
        <v>1250</v>
      </c>
      <c r="R404" s="42">
        <v>1532.89</v>
      </c>
      <c r="S404" s="42">
        <v>1567.83</v>
      </c>
      <c r="T404" s="42"/>
      <c r="U404" s="42"/>
      <c r="V404" s="3"/>
      <c r="W404" s="3"/>
      <c r="X404" s="3"/>
      <c r="Y404" s="3"/>
      <c r="Z404" s="3"/>
      <c r="AA404" s="3"/>
      <c r="AB404" s="3"/>
      <c r="AE404" s="42">
        <f t="shared" si="49"/>
        <v>778711</v>
      </c>
      <c r="AF404" s="42">
        <f t="shared" si="50"/>
        <v>708859.95000000042</v>
      </c>
      <c r="AG404" s="42" t="str">
        <f t="shared" si="51"/>
        <v/>
      </c>
      <c r="AH404" s="42" t="str">
        <f t="shared" si="52"/>
        <v/>
      </c>
      <c r="AI404" s="42" t="str">
        <f t="shared" si="53"/>
        <v/>
      </c>
      <c r="AJ404" s="42" t="str">
        <f t="shared" si="54"/>
        <v/>
      </c>
      <c r="AK404" s="42" t="str">
        <f t="shared" si="55"/>
        <v/>
      </c>
      <c r="AO404" s="86">
        <f ca="1"/>
        <v>37948.166666666664</v>
      </c>
      <c r="AP404" s="87">
        <f ca="1"/>
        <v>1532.73</v>
      </c>
      <c r="AQ404" s="87">
        <f ca="1"/>
        <v>1532.86</v>
      </c>
      <c r="AR404" s="88">
        <f ca="1"/>
        <v>37948.166666666664</v>
      </c>
      <c r="AS404" s="87">
        <f ca="1"/>
        <v>1230</v>
      </c>
      <c r="AT404" s="87">
        <f ca="1"/>
        <v>1546.84</v>
      </c>
    </row>
    <row r="405" spans="13:46" x14ac:dyDescent="0.25">
      <c r="M405" s="42">
        <v>401</v>
      </c>
      <c r="N405" s="3" t="s">
        <v>461</v>
      </c>
      <c r="O405" s="49">
        <f t="shared" si="48"/>
        <v>37948.166666666664</v>
      </c>
      <c r="P405" s="42">
        <v>1532.73</v>
      </c>
      <c r="Q405" s="42">
        <v>1230</v>
      </c>
      <c r="R405" s="42">
        <v>1532.86</v>
      </c>
      <c r="S405" s="42">
        <v>1546.84</v>
      </c>
      <c r="T405" s="42"/>
      <c r="U405" s="42"/>
      <c r="V405" s="3"/>
      <c r="W405" s="3"/>
      <c r="X405" s="3"/>
      <c r="Y405" s="3"/>
      <c r="Z405" s="3"/>
      <c r="AA405" s="3"/>
      <c r="AB405" s="3"/>
      <c r="AE405" s="42">
        <f t="shared" si="49"/>
        <v>779941</v>
      </c>
      <c r="AF405" s="42">
        <f t="shared" si="50"/>
        <v>710406.79000000039</v>
      </c>
      <c r="AG405" s="42" t="str">
        <f t="shared" si="51"/>
        <v/>
      </c>
      <c r="AH405" s="42" t="str">
        <f t="shared" si="52"/>
        <v/>
      </c>
      <c r="AI405" s="42" t="str">
        <f t="shared" si="53"/>
        <v/>
      </c>
      <c r="AJ405" s="42" t="str">
        <f t="shared" si="54"/>
        <v/>
      </c>
      <c r="AK405" s="42" t="str">
        <f t="shared" si="55"/>
        <v/>
      </c>
      <c r="AO405" s="86">
        <f ca="1"/>
        <v>37948.208333333336</v>
      </c>
      <c r="AP405" s="87">
        <f ca="1"/>
        <v>1532.7</v>
      </c>
      <c r="AQ405" s="87">
        <f ca="1"/>
        <v>1532.84</v>
      </c>
      <c r="AR405" s="88">
        <f ca="1"/>
        <v>37948.208333333336</v>
      </c>
      <c r="AS405" s="87">
        <f ca="1"/>
        <v>1210</v>
      </c>
      <c r="AT405" s="87">
        <f ca="1"/>
        <v>1534.38</v>
      </c>
    </row>
    <row r="406" spans="13:46" x14ac:dyDescent="0.25">
      <c r="M406" s="42">
        <v>402</v>
      </c>
      <c r="N406" s="3" t="s">
        <v>462</v>
      </c>
      <c r="O406" s="49">
        <f t="shared" si="48"/>
        <v>37948.208333333336</v>
      </c>
      <c r="P406" s="42">
        <v>1532.7</v>
      </c>
      <c r="Q406" s="42">
        <v>1210</v>
      </c>
      <c r="R406" s="42">
        <v>1532.84</v>
      </c>
      <c r="S406" s="42">
        <v>1534.38</v>
      </c>
      <c r="T406" s="42"/>
      <c r="U406" s="42"/>
      <c r="V406" s="3"/>
      <c r="W406" s="3"/>
      <c r="X406" s="3"/>
      <c r="Y406" s="3"/>
      <c r="Z406" s="3"/>
      <c r="AA406" s="3"/>
      <c r="AB406" s="3"/>
      <c r="AE406" s="42">
        <f t="shared" si="49"/>
        <v>781151</v>
      </c>
      <c r="AF406" s="42">
        <f t="shared" si="50"/>
        <v>711941.17000000039</v>
      </c>
      <c r="AG406" s="42" t="str">
        <f t="shared" si="51"/>
        <v/>
      </c>
      <c r="AH406" s="42" t="str">
        <f t="shared" si="52"/>
        <v/>
      </c>
      <c r="AI406" s="42" t="str">
        <f t="shared" si="53"/>
        <v/>
      </c>
      <c r="AJ406" s="42" t="str">
        <f t="shared" si="54"/>
        <v/>
      </c>
      <c r="AK406" s="42" t="str">
        <f t="shared" si="55"/>
        <v/>
      </c>
      <c r="AO406" s="86">
        <f ca="1"/>
        <v>37948.25</v>
      </c>
      <c r="AP406" s="87">
        <f ca="1"/>
        <v>1532.67</v>
      </c>
      <c r="AQ406" s="87">
        <f ca="1"/>
        <v>1532.81</v>
      </c>
      <c r="AR406" s="88">
        <f ca="1"/>
        <v>37948.25</v>
      </c>
      <c r="AS406" s="87">
        <f ca="1"/>
        <v>1190</v>
      </c>
      <c r="AT406" s="87">
        <f ca="1"/>
        <v>1511.89</v>
      </c>
    </row>
    <row r="407" spans="13:46" x14ac:dyDescent="0.25">
      <c r="M407" s="42">
        <v>403</v>
      </c>
      <c r="N407" s="3" t="s">
        <v>463</v>
      </c>
      <c r="O407" s="49">
        <f t="shared" si="48"/>
        <v>37948.25</v>
      </c>
      <c r="P407" s="42">
        <v>1532.67</v>
      </c>
      <c r="Q407" s="42">
        <v>1190</v>
      </c>
      <c r="R407" s="42">
        <v>1532.81</v>
      </c>
      <c r="S407" s="42">
        <v>1511.89</v>
      </c>
      <c r="T407" s="42"/>
      <c r="U407" s="42"/>
      <c r="V407" s="3"/>
      <c r="W407" s="3"/>
      <c r="X407" s="3"/>
      <c r="Y407" s="3"/>
      <c r="Z407" s="3"/>
      <c r="AA407" s="3"/>
      <c r="AB407" s="3"/>
      <c r="AE407" s="42">
        <f t="shared" si="49"/>
        <v>782341</v>
      </c>
      <c r="AF407" s="42">
        <f t="shared" si="50"/>
        <v>713453.06000000041</v>
      </c>
      <c r="AG407" s="42" t="str">
        <f t="shared" si="51"/>
        <v/>
      </c>
      <c r="AH407" s="42" t="str">
        <f t="shared" si="52"/>
        <v/>
      </c>
      <c r="AI407" s="42" t="str">
        <f t="shared" si="53"/>
        <v/>
      </c>
      <c r="AJ407" s="42" t="str">
        <f t="shared" si="54"/>
        <v/>
      </c>
      <c r="AK407" s="42" t="str">
        <f t="shared" si="55"/>
        <v/>
      </c>
      <c r="AO407" s="86">
        <f ca="1"/>
        <v>37948.291666666664</v>
      </c>
      <c r="AP407" s="87">
        <f ca="1"/>
        <v>1532.64</v>
      </c>
      <c r="AQ407" s="87">
        <f ca="1"/>
        <v>1532.77</v>
      </c>
      <c r="AR407" s="88">
        <f ca="1"/>
        <v>37948.291666666664</v>
      </c>
      <c r="AS407" s="87">
        <f ca="1"/>
        <v>1170</v>
      </c>
      <c r="AT407" s="87">
        <f ca="1"/>
        <v>1488.75</v>
      </c>
    </row>
    <row r="408" spans="13:46" x14ac:dyDescent="0.25">
      <c r="M408" s="42">
        <v>404</v>
      </c>
      <c r="N408" s="3" t="s">
        <v>464</v>
      </c>
      <c r="O408" s="49">
        <f t="shared" si="48"/>
        <v>37948.291666666664</v>
      </c>
      <c r="P408" s="42">
        <v>1532.64</v>
      </c>
      <c r="Q408" s="42">
        <v>1170</v>
      </c>
      <c r="R408" s="42">
        <v>1532.77</v>
      </c>
      <c r="S408" s="42">
        <v>1488.75</v>
      </c>
      <c r="T408" s="42"/>
      <c r="U408" s="42"/>
      <c r="V408" s="3"/>
      <c r="W408" s="3"/>
      <c r="X408" s="3"/>
      <c r="Y408" s="3"/>
      <c r="Z408" s="3"/>
      <c r="AA408" s="3"/>
      <c r="AB408" s="3"/>
      <c r="AE408" s="42">
        <f t="shared" si="49"/>
        <v>783511</v>
      </c>
      <c r="AF408" s="42">
        <f t="shared" si="50"/>
        <v>714941.81000000041</v>
      </c>
      <c r="AG408" s="42" t="str">
        <f t="shared" si="51"/>
        <v/>
      </c>
      <c r="AH408" s="42" t="str">
        <f t="shared" si="52"/>
        <v/>
      </c>
      <c r="AI408" s="42" t="str">
        <f t="shared" si="53"/>
        <v/>
      </c>
      <c r="AJ408" s="42" t="str">
        <f t="shared" si="54"/>
        <v/>
      </c>
      <c r="AK408" s="42" t="str">
        <f t="shared" si="55"/>
        <v/>
      </c>
      <c r="AO408" s="86">
        <f ca="1"/>
        <v>37948.333333333336</v>
      </c>
      <c r="AP408" s="87">
        <f ca="1"/>
        <v>1532.61</v>
      </c>
      <c r="AQ408" s="87">
        <f ca="1"/>
        <v>1532.76</v>
      </c>
      <c r="AR408" s="88">
        <f ca="1"/>
        <v>37948.333333333336</v>
      </c>
      <c r="AS408" s="87">
        <f ca="1"/>
        <v>1150</v>
      </c>
      <c r="AT408" s="87">
        <f ca="1"/>
        <v>1481.47</v>
      </c>
    </row>
    <row r="409" spans="13:46" x14ac:dyDescent="0.25">
      <c r="M409" s="42">
        <v>405</v>
      </c>
      <c r="N409" s="3" t="s">
        <v>465</v>
      </c>
      <c r="O409" s="49">
        <f t="shared" si="48"/>
        <v>37948.333333333336</v>
      </c>
      <c r="P409" s="42">
        <v>1532.61</v>
      </c>
      <c r="Q409" s="42">
        <v>1150</v>
      </c>
      <c r="R409" s="42">
        <v>1532.76</v>
      </c>
      <c r="S409" s="42">
        <v>1481.47</v>
      </c>
      <c r="T409" s="42"/>
      <c r="U409" s="42"/>
      <c r="V409" s="3"/>
      <c r="W409" s="3"/>
      <c r="X409" s="3"/>
      <c r="Y409" s="3"/>
      <c r="Z409" s="3"/>
      <c r="AA409" s="3"/>
      <c r="AB409" s="3"/>
      <c r="AE409" s="42">
        <f t="shared" si="49"/>
        <v>784661</v>
      </c>
      <c r="AF409" s="42">
        <f t="shared" si="50"/>
        <v>716423.28000000038</v>
      </c>
      <c r="AG409" s="42" t="str">
        <f t="shared" si="51"/>
        <v/>
      </c>
      <c r="AH409" s="42" t="str">
        <f t="shared" si="52"/>
        <v/>
      </c>
      <c r="AI409" s="42" t="str">
        <f t="shared" si="53"/>
        <v/>
      </c>
      <c r="AJ409" s="42" t="str">
        <f t="shared" si="54"/>
        <v/>
      </c>
      <c r="AK409" s="42" t="str">
        <f t="shared" si="55"/>
        <v/>
      </c>
      <c r="AO409" s="86">
        <f ca="1"/>
        <v>37948.375</v>
      </c>
      <c r="AP409" s="87">
        <f ca="1"/>
        <v>1532.58</v>
      </c>
      <c r="AQ409" s="87">
        <f ca="1"/>
        <v>1532.74</v>
      </c>
      <c r="AR409" s="88">
        <f ca="1"/>
        <v>37948.375</v>
      </c>
      <c r="AS409" s="87">
        <f ca="1"/>
        <v>1140</v>
      </c>
      <c r="AT409" s="87">
        <f ca="1"/>
        <v>1462.41</v>
      </c>
    </row>
    <row r="410" spans="13:46" x14ac:dyDescent="0.25">
      <c r="M410" s="42">
        <v>406</v>
      </c>
      <c r="N410" s="3" t="s">
        <v>466</v>
      </c>
      <c r="O410" s="49">
        <f t="shared" si="48"/>
        <v>37948.375</v>
      </c>
      <c r="P410" s="42">
        <v>1532.58</v>
      </c>
      <c r="Q410" s="42">
        <v>1140</v>
      </c>
      <c r="R410" s="42">
        <v>1532.74</v>
      </c>
      <c r="S410" s="42">
        <v>1462.41</v>
      </c>
      <c r="T410" s="42"/>
      <c r="U410" s="42"/>
      <c r="V410" s="3"/>
      <c r="W410" s="3"/>
      <c r="X410" s="3"/>
      <c r="Y410" s="3"/>
      <c r="Z410" s="3"/>
      <c r="AA410" s="3"/>
      <c r="AB410" s="3"/>
      <c r="AE410" s="42">
        <f t="shared" si="49"/>
        <v>785801</v>
      </c>
      <c r="AF410" s="42">
        <f t="shared" si="50"/>
        <v>717885.69000000041</v>
      </c>
      <c r="AG410" s="42" t="str">
        <f t="shared" si="51"/>
        <v/>
      </c>
      <c r="AH410" s="42" t="str">
        <f t="shared" si="52"/>
        <v/>
      </c>
      <c r="AI410" s="42" t="str">
        <f t="shared" si="53"/>
        <v/>
      </c>
      <c r="AJ410" s="42" t="str">
        <f t="shared" si="54"/>
        <v/>
      </c>
      <c r="AK410" s="42" t="str">
        <f t="shared" si="55"/>
        <v/>
      </c>
      <c r="AO410" s="86">
        <f ca="1"/>
        <v>37948.416666666664</v>
      </c>
      <c r="AP410" s="87">
        <f ca="1"/>
        <v>1532.55</v>
      </c>
      <c r="AQ410" s="87">
        <f ca="1"/>
        <v>1532.71</v>
      </c>
      <c r="AR410" s="88">
        <f ca="1"/>
        <v>37948.416666666664</v>
      </c>
      <c r="AS410" s="87">
        <f ca="1"/>
        <v>1120</v>
      </c>
      <c r="AT410" s="87">
        <f ca="1"/>
        <v>1447.63</v>
      </c>
    </row>
    <row r="411" spans="13:46" x14ac:dyDescent="0.25">
      <c r="M411" s="42">
        <v>407</v>
      </c>
      <c r="N411" s="3" t="s">
        <v>467</v>
      </c>
      <c r="O411" s="49">
        <f t="shared" si="48"/>
        <v>37948.416666666664</v>
      </c>
      <c r="P411" s="42">
        <v>1532.55</v>
      </c>
      <c r="Q411" s="42">
        <v>1120</v>
      </c>
      <c r="R411" s="42">
        <v>1532.71</v>
      </c>
      <c r="S411" s="42">
        <v>1447.63</v>
      </c>
      <c r="T411" s="42"/>
      <c r="U411" s="42"/>
      <c r="V411" s="3"/>
      <c r="W411" s="3"/>
      <c r="X411" s="3"/>
      <c r="Y411" s="3"/>
      <c r="Z411" s="3"/>
      <c r="AA411" s="3"/>
      <c r="AB411" s="3"/>
      <c r="AE411" s="42">
        <f t="shared" si="49"/>
        <v>786921</v>
      </c>
      <c r="AF411" s="42">
        <f t="shared" si="50"/>
        <v>719333.32000000041</v>
      </c>
      <c r="AG411" s="42" t="str">
        <f t="shared" si="51"/>
        <v/>
      </c>
      <c r="AH411" s="42" t="str">
        <f t="shared" si="52"/>
        <v/>
      </c>
      <c r="AI411" s="42" t="str">
        <f t="shared" si="53"/>
        <v/>
      </c>
      <c r="AJ411" s="42" t="str">
        <f t="shared" si="54"/>
        <v/>
      </c>
      <c r="AK411" s="42" t="str">
        <f t="shared" si="55"/>
        <v/>
      </c>
      <c r="AO411" s="86">
        <f ca="1"/>
        <v>37948.458333333336</v>
      </c>
      <c r="AP411" s="87">
        <f ca="1"/>
        <v>1532.52</v>
      </c>
      <c r="AQ411" s="87">
        <f ca="1"/>
        <v>1532.7</v>
      </c>
      <c r="AR411" s="88">
        <f ca="1"/>
        <v>37948.458333333336</v>
      </c>
      <c r="AS411" s="87">
        <f ca="1"/>
        <v>1100</v>
      </c>
      <c r="AT411" s="87">
        <f ca="1"/>
        <v>1435.82</v>
      </c>
    </row>
    <row r="412" spans="13:46" x14ac:dyDescent="0.25">
      <c r="M412" s="42">
        <v>408</v>
      </c>
      <c r="N412" s="3" t="s">
        <v>468</v>
      </c>
      <c r="O412" s="49">
        <f t="shared" si="48"/>
        <v>37948.458333333336</v>
      </c>
      <c r="P412" s="42">
        <v>1532.52</v>
      </c>
      <c r="Q412" s="42">
        <v>1100</v>
      </c>
      <c r="R412" s="42">
        <v>1532.7</v>
      </c>
      <c r="S412" s="42">
        <v>1435.82</v>
      </c>
      <c r="T412" s="42"/>
      <c r="U412" s="42"/>
      <c r="V412" s="3"/>
      <c r="W412" s="3"/>
      <c r="X412" s="3"/>
      <c r="Y412" s="3"/>
      <c r="Z412" s="3"/>
      <c r="AA412" s="3"/>
      <c r="AB412" s="3"/>
      <c r="AE412" s="42">
        <f t="shared" si="49"/>
        <v>788021</v>
      </c>
      <c r="AF412" s="42">
        <f t="shared" si="50"/>
        <v>720769.14000000036</v>
      </c>
      <c r="AG412" s="42" t="str">
        <f t="shared" si="51"/>
        <v/>
      </c>
      <c r="AH412" s="42" t="str">
        <f t="shared" si="52"/>
        <v/>
      </c>
      <c r="AI412" s="42" t="str">
        <f t="shared" si="53"/>
        <v/>
      </c>
      <c r="AJ412" s="42" t="str">
        <f t="shared" si="54"/>
        <v/>
      </c>
      <c r="AK412" s="42" t="str">
        <f t="shared" si="55"/>
        <v/>
      </c>
      <c r="AO412" s="86">
        <f ca="1"/>
        <v>37948.5</v>
      </c>
      <c r="AP412" s="87">
        <f ca="1"/>
        <v>1532.5</v>
      </c>
      <c r="AQ412" s="87">
        <f ca="1"/>
        <v>1532.67</v>
      </c>
      <c r="AR412" s="88">
        <f ca="1"/>
        <v>37948.5</v>
      </c>
      <c r="AS412" s="87">
        <f ca="1"/>
        <v>1090</v>
      </c>
      <c r="AT412" s="87">
        <f ca="1"/>
        <v>1415.93</v>
      </c>
    </row>
    <row r="413" spans="13:46" x14ac:dyDescent="0.25">
      <c r="M413" s="42">
        <v>409</v>
      </c>
      <c r="N413" s="3" t="s">
        <v>469</v>
      </c>
      <c r="O413" s="49">
        <f t="shared" si="48"/>
        <v>37948.5</v>
      </c>
      <c r="P413" s="42">
        <v>1532.5</v>
      </c>
      <c r="Q413" s="42">
        <v>1090</v>
      </c>
      <c r="R413" s="42">
        <v>1532.67</v>
      </c>
      <c r="S413" s="42">
        <v>1415.93</v>
      </c>
      <c r="T413" s="42"/>
      <c r="U413" s="42"/>
      <c r="V413" s="3"/>
      <c r="W413" s="3"/>
      <c r="X413" s="3"/>
      <c r="Y413" s="3"/>
      <c r="Z413" s="3"/>
      <c r="AA413" s="3"/>
      <c r="AB413" s="3"/>
      <c r="AE413" s="42">
        <f t="shared" si="49"/>
        <v>789111</v>
      </c>
      <c r="AF413" s="42">
        <f t="shared" si="50"/>
        <v>722185.07000000041</v>
      </c>
      <c r="AG413" s="42" t="str">
        <f t="shared" si="51"/>
        <v/>
      </c>
      <c r="AH413" s="42" t="str">
        <f t="shared" si="52"/>
        <v/>
      </c>
      <c r="AI413" s="42" t="str">
        <f t="shared" si="53"/>
        <v/>
      </c>
      <c r="AJ413" s="42" t="str">
        <f t="shared" si="54"/>
        <v/>
      </c>
      <c r="AK413" s="42" t="str">
        <f t="shared" si="55"/>
        <v/>
      </c>
      <c r="AO413" s="86">
        <f ca="1"/>
        <v>37948.541666666664</v>
      </c>
      <c r="AP413" s="87">
        <f ca="1"/>
        <v>1532.47</v>
      </c>
      <c r="AQ413" s="87">
        <f ca="1"/>
        <v>1532.64</v>
      </c>
      <c r="AR413" s="88">
        <f ca="1"/>
        <v>37948.541666666664</v>
      </c>
      <c r="AS413" s="87">
        <f ca="1"/>
        <v>1070</v>
      </c>
      <c r="AT413" s="87">
        <f ca="1"/>
        <v>1399.91</v>
      </c>
    </row>
    <row r="414" spans="13:46" x14ac:dyDescent="0.25">
      <c r="M414" s="42">
        <v>410</v>
      </c>
      <c r="N414" s="3" t="s">
        <v>470</v>
      </c>
      <c r="O414" s="49">
        <f t="shared" si="48"/>
        <v>37948.541666666664</v>
      </c>
      <c r="P414" s="42">
        <v>1532.47</v>
      </c>
      <c r="Q414" s="42">
        <v>1070</v>
      </c>
      <c r="R414" s="42">
        <v>1532.64</v>
      </c>
      <c r="S414" s="42">
        <v>1399.91</v>
      </c>
      <c r="T414" s="42"/>
      <c r="U414" s="42"/>
      <c r="V414" s="3"/>
      <c r="W414" s="3"/>
      <c r="X414" s="3"/>
      <c r="Y414" s="3"/>
      <c r="Z414" s="3"/>
      <c r="AA414" s="3"/>
      <c r="AB414" s="3"/>
      <c r="AE414" s="42">
        <f t="shared" si="49"/>
        <v>790181</v>
      </c>
      <c r="AF414" s="42">
        <f t="shared" si="50"/>
        <v>723584.98000000045</v>
      </c>
      <c r="AG414" s="42" t="str">
        <f t="shared" si="51"/>
        <v/>
      </c>
      <c r="AH414" s="42" t="str">
        <f t="shared" si="52"/>
        <v/>
      </c>
      <c r="AI414" s="42" t="str">
        <f t="shared" si="53"/>
        <v/>
      </c>
      <c r="AJ414" s="42" t="str">
        <f t="shared" si="54"/>
        <v/>
      </c>
      <c r="AK414" s="42" t="str">
        <f t="shared" si="55"/>
        <v/>
      </c>
      <c r="AO414" s="86">
        <f ca="1"/>
        <v>37948.583333333336</v>
      </c>
      <c r="AP414" s="87">
        <f ca="1"/>
        <v>1532.44</v>
      </c>
      <c r="AQ414" s="87">
        <f ca="1"/>
        <v>1532.63</v>
      </c>
      <c r="AR414" s="88">
        <f ca="1"/>
        <v>37948.583333333336</v>
      </c>
      <c r="AS414" s="87">
        <f ca="1"/>
        <v>1060</v>
      </c>
      <c r="AT414" s="87">
        <f ca="1"/>
        <v>1393.17</v>
      </c>
    </row>
    <row r="415" spans="13:46" x14ac:dyDescent="0.25">
      <c r="M415" s="42">
        <v>411</v>
      </c>
      <c r="N415" s="3" t="s">
        <v>471</v>
      </c>
      <c r="O415" s="49">
        <f t="shared" si="48"/>
        <v>37948.583333333336</v>
      </c>
      <c r="P415" s="42">
        <v>1532.44</v>
      </c>
      <c r="Q415" s="42">
        <v>1060</v>
      </c>
      <c r="R415" s="42">
        <v>1532.63</v>
      </c>
      <c r="S415" s="42">
        <v>1393.17</v>
      </c>
      <c r="T415" s="42"/>
      <c r="U415" s="42"/>
      <c r="V415" s="3"/>
      <c r="W415" s="3"/>
      <c r="X415" s="3"/>
      <c r="Y415" s="3"/>
      <c r="Z415" s="3"/>
      <c r="AA415" s="3"/>
      <c r="AB415" s="3"/>
      <c r="AE415" s="42">
        <f t="shared" si="49"/>
        <v>791241</v>
      </c>
      <c r="AF415" s="42">
        <f t="shared" si="50"/>
        <v>724978.15000000049</v>
      </c>
      <c r="AG415" s="42" t="str">
        <f t="shared" si="51"/>
        <v/>
      </c>
      <c r="AH415" s="42" t="str">
        <f t="shared" si="52"/>
        <v/>
      </c>
      <c r="AI415" s="42" t="str">
        <f t="shared" si="53"/>
        <v/>
      </c>
      <c r="AJ415" s="42" t="str">
        <f t="shared" si="54"/>
        <v/>
      </c>
      <c r="AK415" s="42" t="str">
        <f t="shared" si="55"/>
        <v/>
      </c>
      <c r="AO415" s="86">
        <f ca="1"/>
        <v>37948.625</v>
      </c>
      <c r="AP415" s="87">
        <f ca="1"/>
        <v>1532.42</v>
      </c>
      <c r="AQ415" s="87">
        <f ca="1"/>
        <v>1532.6</v>
      </c>
      <c r="AR415" s="88">
        <f ca="1"/>
        <v>37948.625</v>
      </c>
      <c r="AS415" s="87">
        <f ca="1"/>
        <v>1050</v>
      </c>
      <c r="AT415" s="87">
        <f ca="1"/>
        <v>1373.31</v>
      </c>
    </row>
    <row r="416" spans="13:46" x14ac:dyDescent="0.25">
      <c r="M416" s="42">
        <v>412</v>
      </c>
      <c r="N416" s="3" t="s">
        <v>472</v>
      </c>
      <c r="O416" s="49">
        <f t="shared" si="48"/>
        <v>37948.625</v>
      </c>
      <c r="P416" s="42">
        <v>1532.42</v>
      </c>
      <c r="Q416" s="42">
        <v>1050</v>
      </c>
      <c r="R416" s="42">
        <v>1532.6</v>
      </c>
      <c r="S416" s="42">
        <v>1373.31</v>
      </c>
      <c r="T416" s="42"/>
      <c r="U416" s="42"/>
      <c r="V416" s="3"/>
      <c r="W416" s="3"/>
      <c r="X416" s="3"/>
      <c r="Y416" s="3"/>
      <c r="Z416" s="3"/>
      <c r="AA416" s="3"/>
      <c r="AB416" s="3"/>
      <c r="AE416" s="42">
        <f t="shared" si="49"/>
        <v>792291</v>
      </c>
      <c r="AF416" s="42">
        <f t="shared" si="50"/>
        <v>726351.46000000054</v>
      </c>
      <c r="AG416" s="42" t="str">
        <f t="shared" si="51"/>
        <v/>
      </c>
      <c r="AH416" s="42" t="str">
        <f t="shared" si="52"/>
        <v/>
      </c>
      <c r="AI416" s="42" t="str">
        <f t="shared" si="53"/>
        <v/>
      </c>
      <c r="AJ416" s="42" t="str">
        <f t="shared" si="54"/>
        <v/>
      </c>
      <c r="AK416" s="42" t="str">
        <f t="shared" si="55"/>
        <v/>
      </c>
      <c r="AO416" s="86">
        <f ca="1"/>
        <v>37948.666666666664</v>
      </c>
      <c r="AP416" s="87">
        <f ca="1"/>
        <v>1532.39</v>
      </c>
      <c r="AQ416" s="87">
        <f ca="1"/>
        <v>1532.58</v>
      </c>
      <c r="AR416" s="88">
        <f ca="1"/>
        <v>37948.666666666664</v>
      </c>
      <c r="AS416" s="87">
        <f ca="1"/>
        <v>1030</v>
      </c>
      <c r="AT416" s="87">
        <f ca="1"/>
        <v>1359.02</v>
      </c>
    </row>
    <row r="417" spans="13:46" x14ac:dyDescent="0.25">
      <c r="M417" s="42">
        <v>413</v>
      </c>
      <c r="N417" s="3" t="s">
        <v>473</v>
      </c>
      <c r="O417" s="49">
        <f t="shared" si="48"/>
        <v>37948.666666666664</v>
      </c>
      <c r="P417" s="42">
        <v>1532.39</v>
      </c>
      <c r="Q417" s="42">
        <v>1030</v>
      </c>
      <c r="R417" s="42">
        <v>1532.58</v>
      </c>
      <c r="S417" s="42">
        <v>1359.02</v>
      </c>
      <c r="T417" s="42"/>
      <c r="U417" s="42"/>
      <c r="V417" s="3"/>
      <c r="W417" s="3"/>
      <c r="X417" s="3"/>
      <c r="Y417" s="3"/>
      <c r="Z417" s="3"/>
      <c r="AA417" s="3"/>
      <c r="AB417" s="3"/>
      <c r="AE417" s="42">
        <f t="shared" si="49"/>
        <v>793321</v>
      </c>
      <c r="AF417" s="42">
        <f t="shared" si="50"/>
        <v>727710.48000000056</v>
      </c>
      <c r="AG417" s="42" t="str">
        <f t="shared" si="51"/>
        <v/>
      </c>
      <c r="AH417" s="42" t="str">
        <f t="shared" si="52"/>
        <v/>
      </c>
      <c r="AI417" s="42" t="str">
        <f t="shared" si="53"/>
        <v/>
      </c>
      <c r="AJ417" s="42" t="str">
        <f t="shared" si="54"/>
        <v/>
      </c>
      <c r="AK417" s="42" t="str">
        <f t="shared" si="55"/>
        <v/>
      </c>
      <c r="AO417" s="86">
        <f ca="1"/>
        <v>37948.708333333336</v>
      </c>
      <c r="AP417" s="87">
        <f ca="1"/>
        <v>1532.36</v>
      </c>
      <c r="AQ417" s="87">
        <f ca="1"/>
        <v>1532.57</v>
      </c>
      <c r="AR417" s="88">
        <f ca="1"/>
        <v>37948.708333333336</v>
      </c>
      <c r="AS417" s="87">
        <f ca="1"/>
        <v>1010</v>
      </c>
      <c r="AT417" s="87">
        <f ca="1"/>
        <v>1347.78</v>
      </c>
    </row>
    <row r="418" spans="13:46" x14ac:dyDescent="0.25">
      <c r="M418" s="42">
        <v>414</v>
      </c>
      <c r="N418" s="3" t="s">
        <v>474</v>
      </c>
      <c r="O418" s="49">
        <f t="shared" si="48"/>
        <v>37948.708333333336</v>
      </c>
      <c r="P418" s="42">
        <v>1532.36</v>
      </c>
      <c r="Q418" s="42">
        <v>1010</v>
      </c>
      <c r="R418" s="42">
        <v>1532.57</v>
      </c>
      <c r="S418" s="42">
        <v>1347.78</v>
      </c>
      <c r="T418" s="42"/>
      <c r="U418" s="42"/>
      <c r="V418" s="3"/>
      <c r="W418" s="3"/>
      <c r="X418" s="3"/>
      <c r="Y418" s="3"/>
      <c r="Z418" s="3"/>
      <c r="AA418" s="3"/>
      <c r="AB418" s="3"/>
      <c r="AE418" s="42">
        <f t="shared" si="49"/>
        <v>794331</v>
      </c>
      <c r="AF418" s="42">
        <f t="shared" si="50"/>
        <v>729058.26000000059</v>
      </c>
      <c r="AG418" s="42" t="str">
        <f t="shared" si="51"/>
        <v/>
      </c>
      <c r="AH418" s="42" t="str">
        <f t="shared" si="52"/>
        <v/>
      </c>
      <c r="AI418" s="42" t="str">
        <f t="shared" si="53"/>
        <v/>
      </c>
      <c r="AJ418" s="42" t="str">
        <f t="shared" si="54"/>
        <v/>
      </c>
      <c r="AK418" s="42" t="str">
        <f t="shared" si="55"/>
        <v/>
      </c>
      <c r="AO418" s="86">
        <f ca="1"/>
        <v>37948.75</v>
      </c>
      <c r="AP418" s="87">
        <f ca="1"/>
        <v>1532.34</v>
      </c>
      <c r="AQ418" s="87">
        <f ca="1"/>
        <v>1532.53</v>
      </c>
      <c r="AR418" s="88">
        <f ca="1"/>
        <v>37948.75</v>
      </c>
      <c r="AS418" s="87">
        <f ca="1"/>
        <v>1000</v>
      </c>
      <c r="AT418" s="87">
        <f ca="1"/>
        <v>1322.93</v>
      </c>
    </row>
    <row r="419" spans="13:46" x14ac:dyDescent="0.25">
      <c r="M419" s="42">
        <v>415</v>
      </c>
      <c r="N419" s="3" t="s">
        <v>475</v>
      </c>
      <c r="O419" s="49">
        <f t="shared" si="48"/>
        <v>37948.75</v>
      </c>
      <c r="P419" s="42">
        <v>1532.34</v>
      </c>
      <c r="Q419" s="42">
        <v>1000</v>
      </c>
      <c r="R419" s="42">
        <v>1532.53</v>
      </c>
      <c r="S419" s="42">
        <v>1322.93</v>
      </c>
      <c r="T419" s="42"/>
      <c r="U419" s="42"/>
      <c r="V419" s="3"/>
      <c r="W419" s="3"/>
      <c r="X419" s="3"/>
      <c r="Y419" s="3"/>
      <c r="Z419" s="3"/>
      <c r="AA419" s="3"/>
      <c r="AB419" s="3"/>
      <c r="AE419" s="42">
        <f t="shared" si="49"/>
        <v>795331</v>
      </c>
      <c r="AF419" s="42">
        <f t="shared" si="50"/>
        <v>730381.19000000064</v>
      </c>
      <c r="AG419" s="42" t="str">
        <f t="shared" si="51"/>
        <v/>
      </c>
      <c r="AH419" s="42" t="str">
        <f t="shared" si="52"/>
        <v/>
      </c>
      <c r="AI419" s="42" t="str">
        <f t="shared" si="53"/>
        <v/>
      </c>
      <c r="AJ419" s="42" t="str">
        <f t="shared" si="54"/>
        <v/>
      </c>
      <c r="AK419" s="42" t="str">
        <f t="shared" si="55"/>
        <v/>
      </c>
      <c r="AO419" s="86">
        <f ca="1"/>
        <v>37948.791666666664</v>
      </c>
      <c r="AP419" s="87">
        <f ca="1"/>
        <v>1532.32</v>
      </c>
      <c r="AQ419" s="87">
        <f ca="1"/>
        <v>1532.53</v>
      </c>
      <c r="AR419" s="88">
        <f ca="1"/>
        <v>37948.791666666664</v>
      </c>
      <c r="AS419" s="87">
        <f ca="1"/>
        <v>994</v>
      </c>
      <c r="AT419" s="87">
        <f ca="1"/>
        <v>1321.6</v>
      </c>
    </row>
    <row r="420" spans="13:46" x14ac:dyDescent="0.25">
      <c r="M420" s="42">
        <v>416</v>
      </c>
      <c r="N420" s="3" t="s">
        <v>476</v>
      </c>
      <c r="O420" s="49">
        <f t="shared" si="48"/>
        <v>37948.791666666664</v>
      </c>
      <c r="P420" s="42">
        <v>1532.32</v>
      </c>
      <c r="Q420" s="42">
        <v>994</v>
      </c>
      <c r="R420" s="42">
        <v>1532.53</v>
      </c>
      <c r="S420" s="42">
        <v>1321.6</v>
      </c>
      <c r="T420" s="42"/>
      <c r="U420" s="42"/>
      <c r="V420" s="3"/>
      <c r="W420" s="3"/>
      <c r="X420" s="3"/>
      <c r="Y420" s="3"/>
      <c r="Z420" s="3"/>
      <c r="AA420" s="3"/>
      <c r="AB420" s="3"/>
      <c r="AE420" s="42">
        <f t="shared" si="49"/>
        <v>796325</v>
      </c>
      <c r="AF420" s="42">
        <f t="shared" si="50"/>
        <v>731702.79000000062</v>
      </c>
      <c r="AG420" s="42" t="str">
        <f t="shared" si="51"/>
        <v/>
      </c>
      <c r="AH420" s="42" t="str">
        <f t="shared" si="52"/>
        <v/>
      </c>
      <c r="AI420" s="42" t="str">
        <f t="shared" si="53"/>
        <v/>
      </c>
      <c r="AJ420" s="42" t="str">
        <f t="shared" si="54"/>
        <v/>
      </c>
      <c r="AK420" s="42" t="str">
        <f t="shared" si="55"/>
        <v/>
      </c>
      <c r="AO420" s="86">
        <f ca="1"/>
        <v>37948.833333333336</v>
      </c>
      <c r="AP420" s="87">
        <f ca="1"/>
        <v>1532.3</v>
      </c>
      <c r="AQ420" s="87">
        <f ca="1"/>
        <v>1532.48</v>
      </c>
      <c r="AR420" s="88">
        <f ca="1"/>
        <v>37948.833333333336</v>
      </c>
      <c r="AS420" s="87">
        <f ca="1"/>
        <v>983</v>
      </c>
      <c r="AT420" s="87">
        <f ca="1"/>
        <v>1290.6199999999999</v>
      </c>
    </row>
    <row r="421" spans="13:46" x14ac:dyDescent="0.25">
      <c r="M421" s="42">
        <v>417</v>
      </c>
      <c r="N421" s="3" t="s">
        <v>477</v>
      </c>
      <c r="O421" s="49">
        <f t="shared" si="48"/>
        <v>37948.833333333336</v>
      </c>
      <c r="P421" s="42">
        <v>1532.3</v>
      </c>
      <c r="Q421" s="42">
        <v>983</v>
      </c>
      <c r="R421" s="42">
        <v>1532.48</v>
      </c>
      <c r="S421" s="42">
        <v>1290.6199999999999</v>
      </c>
      <c r="T421" s="42"/>
      <c r="U421" s="42"/>
      <c r="V421" s="3"/>
      <c r="W421" s="3"/>
      <c r="X421" s="3"/>
      <c r="Y421" s="3"/>
      <c r="Z421" s="3"/>
      <c r="AA421" s="3"/>
      <c r="AB421" s="3"/>
      <c r="AE421" s="42">
        <f t="shared" si="49"/>
        <v>797308</v>
      </c>
      <c r="AF421" s="42">
        <f t="shared" si="50"/>
        <v>732993.41000000061</v>
      </c>
      <c r="AG421" s="42" t="str">
        <f t="shared" si="51"/>
        <v/>
      </c>
      <c r="AH421" s="42" t="str">
        <f t="shared" si="52"/>
        <v/>
      </c>
      <c r="AI421" s="42" t="str">
        <f t="shared" si="53"/>
        <v/>
      </c>
      <c r="AJ421" s="42" t="str">
        <f t="shared" si="54"/>
        <v/>
      </c>
      <c r="AK421" s="42" t="str">
        <f t="shared" si="55"/>
        <v/>
      </c>
      <c r="AO421" s="86">
        <f ca="1"/>
        <v>37948.875</v>
      </c>
      <c r="AP421" s="87">
        <f ca="1"/>
        <v>1532.27</v>
      </c>
      <c r="AQ421" s="87">
        <f ca="1"/>
        <v>1532.48</v>
      </c>
      <c r="AR421" s="88">
        <f ca="1"/>
        <v>37948.875</v>
      </c>
      <c r="AS421" s="87">
        <f ca="1"/>
        <v>968</v>
      </c>
      <c r="AT421" s="87">
        <f ca="1"/>
        <v>1286.97</v>
      </c>
    </row>
    <row r="422" spans="13:46" x14ac:dyDescent="0.25">
      <c r="M422" s="42">
        <v>418</v>
      </c>
      <c r="N422" s="3" t="s">
        <v>478</v>
      </c>
      <c r="O422" s="49">
        <f t="shared" si="48"/>
        <v>37948.875</v>
      </c>
      <c r="P422" s="42">
        <v>1532.27</v>
      </c>
      <c r="Q422" s="42">
        <v>968</v>
      </c>
      <c r="R422" s="42">
        <v>1532.48</v>
      </c>
      <c r="S422" s="42">
        <v>1286.97</v>
      </c>
      <c r="T422" s="42"/>
      <c r="U422" s="42"/>
      <c r="V422" s="3"/>
      <c r="W422" s="3"/>
      <c r="X422" s="3"/>
      <c r="Y422" s="3"/>
      <c r="Z422" s="3"/>
      <c r="AA422" s="3"/>
      <c r="AB422" s="3"/>
      <c r="AE422" s="42">
        <f t="shared" si="49"/>
        <v>798276</v>
      </c>
      <c r="AF422" s="42">
        <f t="shared" si="50"/>
        <v>734280.38000000059</v>
      </c>
      <c r="AG422" s="42" t="str">
        <f t="shared" si="51"/>
        <v/>
      </c>
      <c r="AH422" s="42" t="str">
        <f t="shared" si="52"/>
        <v/>
      </c>
      <c r="AI422" s="42" t="str">
        <f t="shared" si="53"/>
        <v/>
      </c>
      <c r="AJ422" s="42" t="str">
        <f t="shared" si="54"/>
        <v/>
      </c>
      <c r="AK422" s="42" t="str">
        <f t="shared" si="55"/>
        <v/>
      </c>
      <c r="AO422" s="86">
        <f ca="1"/>
        <v>37948.916666666664</v>
      </c>
      <c r="AP422" s="87">
        <f ca="1"/>
        <v>1532.25</v>
      </c>
      <c r="AQ422" s="87">
        <f ca="1"/>
        <v>1532.44</v>
      </c>
      <c r="AR422" s="88">
        <f ca="1"/>
        <v>37948.916666666664</v>
      </c>
      <c r="AS422" s="87">
        <f ca="1"/>
        <v>958</v>
      </c>
      <c r="AT422" s="87">
        <f ca="1"/>
        <v>1264.78</v>
      </c>
    </row>
    <row r="423" spans="13:46" x14ac:dyDescent="0.25">
      <c r="M423" s="42">
        <v>419</v>
      </c>
      <c r="N423" s="3" t="s">
        <v>479</v>
      </c>
      <c r="O423" s="49">
        <f t="shared" si="48"/>
        <v>37948.916666666664</v>
      </c>
      <c r="P423" s="42">
        <v>1532.25</v>
      </c>
      <c r="Q423" s="42">
        <v>958</v>
      </c>
      <c r="R423" s="42">
        <v>1532.44</v>
      </c>
      <c r="S423" s="42">
        <v>1264.78</v>
      </c>
      <c r="T423" s="42"/>
      <c r="U423" s="42"/>
      <c r="V423" s="3"/>
      <c r="W423" s="3"/>
      <c r="X423" s="3"/>
      <c r="Y423" s="3"/>
      <c r="Z423" s="3"/>
      <c r="AA423" s="3"/>
      <c r="AB423" s="3"/>
      <c r="AE423" s="42">
        <f t="shared" si="49"/>
        <v>799234</v>
      </c>
      <c r="AF423" s="42">
        <f t="shared" si="50"/>
        <v>735545.16000000061</v>
      </c>
      <c r="AG423" s="42" t="str">
        <f t="shared" si="51"/>
        <v/>
      </c>
      <c r="AH423" s="42" t="str">
        <f t="shared" si="52"/>
        <v/>
      </c>
      <c r="AI423" s="42" t="str">
        <f t="shared" si="53"/>
        <v/>
      </c>
      <c r="AJ423" s="42" t="str">
        <f t="shared" si="54"/>
        <v/>
      </c>
      <c r="AK423" s="42" t="str">
        <f t="shared" si="55"/>
        <v/>
      </c>
      <c r="AO423" s="86">
        <f ca="1"/>
        <v>37948.958333333336</v>
      </c>
      <c r="AP423" s="87">
        <f ca="1"/>
        <v>1532.23</v>
      </c>
      <c r="AQ423" s="87">
        <f ca="1"/>
        <v>1532.45</v>
      </c>
      <c r="AR423" s="88">
        <f ca="1"/>
        <v>37948.958333333336</v>
      </c>
      <c r="AS423" s="87">
        <f ca="1"/>
        <v>948</v>
      </c>
      <c r="AT423" s="87">
        <f ca="1"/>
        <v>1267.97</v>
      </c>
    </row>
    <row r="424" spans="13:46" x14ac:dyDescent="0.25">
      <c r="M424" s="42">
        <v>420</v>
      </c>
      <c r="N424" s="3" t="s">
        <v>480</v>
      </c>
      <c r="O424" s="49">
        <f t="shared" si="48"/>
        <v>37948.958333333336</v>
      </c>
      <c r="P424" s="42">
        <v>1532.23</v>
      </c>
      <c r="Q424" s="42">
        <v>948</v>
      </c>
      <c r="R424" s="42">
        <v>1532.45</v>
      </c>
      <c r="S424" s="42">
        <v>1267.97</v>
      </c>
      <c r="T424" s="42"/>
      <c r="U424" s="42"/>
      <c r="V424" s="3"/>
      <c r="W424" s="3"/>
      <c r="X424" s="3"/>
      <c r="Y424" s="3"/>
      <c r="Z424" s="3"/>
      <c r="AA424" s="3"/>
      <c r="AB424" s="3"/>
      <c r="AE424" s="42">
        <f t="shared" si="49"/>
        <v>800182</v>
      </c>
      <c r="AF424" s="42">
        <f t="shared" si="50"/>
        <v>736813.13000000059</v>
      </c>
      <c r="AG424" s="42" t="str">
        <f t="shared" si="51"/>
        <v/>
      </c>
      <c r="AH424" s="42" t="str">
        <f t="shared" si="52"/>
        <v/>
      </c>
      <c r="AI424" s="42" t="str">
        <f t="shared" si="53"/>
        <v/>
      </c>
      <c r="AJ424" s="42" t="str">
        <f t="shared" si="54"/>
        <v/>
      </c>
      <c r="AK424" s="42" t="str">
        <f t="shared" si="55"/>
        <v/>
      </c>
      <c r="AO424" s="86">
        <f ca="1"/>
        <v>37949</v>
      </c>
      <c r="AP424" s="87">
        <f ca="1"/>
        <v>1532.21</v>
      </c>
      <c r="AQ424" s="87">
        <f ca="1"/>
        <v>1532.41</v>
      </c>
      <c r="AR424" s="88">
        <f ca="1"/>
        <v>37949</v>
      </c>
      <c r="AS424" s="87">
        <f ca="1"/>
        <v>939</v>
      </c>
      <c r="AT424" s="87">
        <f ca="1"/>
        <v>1244.76</v>
      </c>
    </row>
    <row r="425" spans="13:46" x14ac:dyDescent="0.25">
      <c r="M425" s="42">
        <v>421</v>
      </c>
      <c r="N425" s="3" t="s">
        <v>481</v>
      </c>
      <c r="O425" s="49">
        <f t="shared" si="48"/>
        <v>37949</v>
      </c>
      <c r="P425" s="42">
        <v>1532.21</v>
      </c>
      <c r="Q425" s="42">
        <v>939</v>
      </c>
      <c r="R425" s="42">
        <v>1532.41</v>
      </c>
      <c r="S425" s="42">
        <v>1244.76</v>
      </c>
      <c r="T425" s="42"/>
      <c r="U425" s="42"/>
      <c r="V425" s="3"/>
      <c r="W425" s="3"/>
      <c r="X425" s="3"/>
      <c r="Y425" s="3"/>
      <c r="Z425" s="3"/>
      <c r="AA425" s="3"/>
      <c r="AB425" s="3"/>
      <c r="AE425" s="42">
        <f t="shared" si="49"/>
        <v>801121</v>
      </c>
      <c r="AF425" s="42">
        <f t="shared" si="50"/>
        <v>738057.8900000006</v>
      </c>
      <c r="AG425" s="42" t="str">
        <f t="shared" si="51"/>
        <v/>
      </c>
      <c r="AH425" s="42" t="str">
        <f t="shared" si="52"/>
        <v/>
      </c>
      <c r="AI425" s="42" t="str">
        <f t="shared" si="53"/>
        <v/>
      </c>
      <c r="AJ425" s="42" t="str">
        <f t="shared" si="54"/>
        <v/>
      </c>
      <c r="AK425" s="42" t="str">
        <f t="shared" si="55"/>
        <v/>
      </c>
      <c r="AO425" s="86">
        <f ca="1"/>
        <v>37949.041666666664</v>
      </c>
      <c r="AP425" s="87">
        <f ca="1"/>
        <v>1532.2</v>
      </c>
      <c r="AQ425" s="87">
        <f ca="1"/>
        <v>1532.39</v>
      </c>
      <c r="AR425" s="88">
        <f ca="1"/>
        <v>37949.041666666664</v>
      </c>
      <c r="AS425" s="87">
        <f ca="1"/>
        <v>934</v>
      </c>
      <c r="AT425" s="87">
        <f ca="1"/>
        <v>1229.07</v>
      </c>
    </row>
    <row r="426" spans="13:46" x14ac:dyDescent="0.25">
      <c r="M426" s="42">
        <v>422</v>
      </c>
      <c r="N426" s="3" t="s">
        <v>482</v>
      </c>
      <c r="O426" s="49">
        <f t="shared" si="48"/>
        <v>37949.041666666664</v>
      </c>
      <c r="P426" s="42">
        <v>1532.2</v>
      </c>
      <c r="Q426" s="42">
        <v>934</v>
      </c>
      <c r="R426" s="42">
        <v>1532.39</v>
      </c>
      <c r="S426" s="42">
        <v>1229.07</v>
      </c>
      <c r="T426" s="42"/>
      <c r="U426" s="42"/>
      <c r="V426" s="3"/>
      <c r="W426" s="3"/>
      <c r="X426" s="3"/>
      <c r="Y426" s="3"/>
      <c r="Z426" s="3"/>
      <c r="AA426" s="3"/>
      <c r="AB426" s="3"/>
      <c r="AE426" s="42">
        <f t="shared" si="49"/>
        <v>802055</v>
      </c>
      <c r="AF426" s="42">
        <f t="shared" si="50"/>
        <v>739286.96000000054</v>
      </c>
      <c r="AG426" s="42" t="str">
        <f t="shared" si="51"/>
        <v/>
      </c>
      <c r="AH426" s="42" t="str">
        <f t="shared" si="52"/>
        <v/>
      </c>
      <c r="AI426" s="42" t="str">
        <f t="shared" si="53"/>
        <v/>
      </c>
      <c r="AJ426" s="42" t="str">
        <f t="shared" si="54"/>
        <v/>
      </c>
      <c r="AK426" s="42" t="str">
        <f t="shared" si="55"/>
        <v/>
      </c>
      <c r="AO426" s="86">
        <f ca="1"/>
        <v>37949.083333333336</v>
      </c>
      <c r="AP426" s="87">
        <f ca="1"/>
        <v>1532.18</v>
      </c>
      <c r="AQ426" s="87">
        <f ca="1"/>
        <v>1532.37</v>
      </c>
      <c r="AR426" s="88">
        <f ca="1"/>
        <v>37949.083333333336</v>
      </c>
      <c r="AS426" s="87">
        <f ca="1"/>
        <v>924</v>
      </c>
      <c r="AT426" s="87">
        <f ca="1"/>
        <v>1216.68</v>
      </c>
    </row>
    <row r="427" spans="13:46" x14ac:dyDescent="0.25">
      <c r="M427" s="42">
        <v>423</v>
      </c>
      <c r="N427" s="3" t="s">
        <v>483</v>
      </c>
      <c r="O427" s="49">
        <f t="shared" si="48"/>
        <v>37949.083333333336</v>
      </c>
      <c r="P427" s="42">
        <v>1532.18</v>
      </c>
      <c r="Q427" s="42">
        <v>924</v>
      </c>
      <c r="R427" s="42">
        <v>1532.37</v>
      </c>
      <c r="S427" s="42">
        <v>1216.68</v>
      </c>
      <c r="T427" s="42"/>
      <c r="U427" s="42"/>
      <c r="V427" s="3"/>
      <c r="W427" s="3"/>
      <c r="X427" s="3"/>
      <c r="Y427" s="3"/>
      <c r="Z427" s="3"/>
      <c r="AA427" s="3"/>
      <c r="AB427" s="3"/>
      <c r="AE427" s="42">
        <f t="shared" si="49"/>
        <v>802979</v>
      </c>
      <c r="AF427" s="42">
        <f t="shared" si="50"/>
        <v>740503.6400000006</v>
      </c>
      <c r="AG427" s="42" t="str">
        <f t="shared" si="51"/>
        <v/>
      </c>
      <c r="AH427" s="42" t="str">
        <f t="shared" si="52"/>
        <v/>
      </c>
      <c r="AI427" s="42" t="str">
        <f t="shared" si="53"/>
        <v/>
      </c>
      <c r="AJ427" s="42" t="str">
        <f t="shared" si="54"/>
        <v/>
      </c>
      <c r="AK427" s="42" t="str">
        <f t="shared" si="55"/>
        <v/>
      </c>
      <c r="AO427" s="86">
        <f ca="1"/>
        <v>37949.125</v>
      </c>
      <c r="AP427" s="87">
        <f ca="1"/>
        <v>1532.16</v>
      </c>
      <c r="AQ427" s="87">
        <f ca="1"/>
        <v>1532.36</v>
      </c>
      <c r="AR427" s="88">
        <f ca="1"/>
        <v>37949.125</v>
      </c>
      <c r="AS427" s="87">
        <f ca="1"/>
        <v>914</v>
      </c>
      <c r="AT427" s="87">
        <f ca="1"/>
        <v>1209.8800000000001</v>
      </c>
    </row>
    <row r="428" spans="13:46" x14ac:dyDescent="0.25">
      <c r="M428" s="42">
        <v>424</v>
      </c>
      <c r="N428" s="3" t="s">
        <v>484</v>
      </c>
      <c r="O428" s="49">
        <f t="shared" si="48"/>
        <v>37949.125</v>
      </c>
      <c r="P428" s="42">
        <v>1532.16</v>
      </c>
      <c r="Q428" s="42">
        <v>914</v>
      </c>
      <c r="R428" s="42">
        <v>1532.36</v>
      </c>
      <c r="S428" s="42">
        <v>1209.8800000000001</v>
      </c>
      <c r="T428" s="42"/>
      <c r="U428" s="42"/>
      <c r="V428" s="3"/>
      <c r="W428" s="3"/>
      <c r="X428" s="3"/>
      <c r="Y428" s="3"/>
      <c r="Z428" s="3"/>
      <c r="AA428" s="3"/>
      <c r="AB428" s="3"/>
      <c r="AE428" s="42">
        <f t="shared" si="49"/>
        <v>803893</v>
      </c>
      <c r="AF428" s="42">
        <f t="shared" si="50"/>
        <v>741713.5200000006</v>
      </c>
      <c r="AG428" s="42" t="str">
        <f t="shared" si="51"/>
        <v/>
      </c>
      <c r="AH428" s="42" t="str">
        <f t="shared" si="52"/>
        <v/>
      </c>
      <c r="AI428" s="42" t="str">
        <f t="shared" si="53"/>
        <v/>
      </c>
      <c r="AJ428" s="42" t="str">
        <f t="shared" si="54"/>
        <v/>
      </c>
      <c r="AK428" s="42" t="str">
        <f t="shared" si="55"/>
        <v/>
      </c>
      <c r="AO428" s="86">
        <f ca="1"/>
        <v>37949.166666666664</v>
      </c>
      <c r="AP428" s="87">
        <f ca="1"/>
        <v>1532.15</v>
      </c>
      <c r="AQ428" s="87">
        <f ca="1"/>
        <v>1532.34</v>
      </c>
      <c r="AR428" s="88">
        <f ca="1"/>
        <v>37949.166666666664</v>
      </c>
      <c r="AS428" s="87">
        <f ca="1"/>
        <v>909</v>
      </c>
      <c r="AT428" s="87">
        <f ca="1"/>
        <v>1197.83</v>
      </c>
    </row>
    <row r="429" spans="13:46" x14ac:dyDescent="0.25">
      <c r="M429" s="42">
        <v>425</v>
      </c>
      <c r="N429" s="3" t="s">
        <v>485</v>
      </c>
      <c r="O429" s="49">
        <f t="shared" si="48"/>
        <v>37949.166666666664</v>
      </c>
      <c r="P429" s="42">
        <v>1532.15</v>
      </c>
      <c r="Q429" s="42">
        <v>909</v>
      </c>
      <c r="R429" s="42">
        <v>1532.34</v>
      </c>
      <c r="S429" s="42">
        <v>1197.83</v>
      </c>
      <c r="T429" s="42"/>
      <c r="U429" s="42"/>
      <c r="V429" s="3"/>
      <c r="W429" s="3"/>
      <c r="X429" s="3"/>
      <c r="Y429" s="3"/>
      <c r="Z429" s="3"/>
      <c r="AA429" s="3"/>
      <c r="AB429" s="3"/>
      <c r="AE429" s="42">
        <f t="shared" si="49"/>
        <v>804802</v>
      </c>
      <c r="AF429" s="42">
        <f t="shared" si="50"/>
        <v>742911.35000000056</v>
      </c>
      <c r="AG429" s="42" t="str">
        <f t="shared" si="51"/>
        <v/>
      </c>
      <c r="AH429" s="42" t="str">
        <f t="shared" si="52"/>
        <v/>
      </c>
      <c r="AI429" s="42" t="str">
        <f t="shared" si="53"/>
        <v/>
      </c>
      <c r="AJ429" s="42" t="str">
        <f t="shared" si="54"/>
        <v/>
      </c>
      <c r="AK429" s="42" t="str">
        <f t="shared" si="55"/>
        <v/>
      </c>
      <c r="AO429" s="86">
        <f ca="1"/>
        <v>37949.208333333336</v>
      </c>
      <c r="AP429" s="87">
        <f ca="1"/>
        <v>1532.12</v>
      </c>
      <c r="AQ429" s="87">
        <f ca="1"/>
        <v>1532.3</v>
      </c>
      <c r="AR429" s="88">
        <f ca="1"/>
        <v>37949.208333333336</v>
      </c>
      <c r="AS429" s="87">
        <f ca="1"/>
        <v>895</v>
      </c>
      <c r="AT429" s="87">
        <f ca="1"/>
        <v>1172.05</v>
      </c>
    </row>
    <row r="430" spans="13:46" x14ac:dyDescent="0.25">
      <c r="M430" s="42">
        <v>426</v>
      </c>
      <c r="N430" s="3" t="s">
        <v>486</v>
      </c>
      <c r="O430" s="49">
        <f t="shared" si="48"/>
        <v>37949.208333333336</v>
      </c>
      <c r="P430" s="42">
        <v>1532.12</v>
      </c>
      <c r="Q430" s="42">
        <v>895</v>
      </c>
      <c r="R430" s="42">
        <v>1532.3</v>
      </c>
      <c r="S430" s="42">
        <v>1172.05</v>
      </c>
      <c r="T430" s="42"/>
      <c r="U430" s="42"/>
      <c r="V430" s="3"/>
      <c r="W430" s="3"/>
      <c r="X430" s="3"/>
      <c r="Y430" s="3"/>
      <c r="Z430" s="3"/>
      <c r="AA430" s="3"/>
      <c r="AB430" s="3"/>
      <c r="AE430" s="42">
        <f t="shared" si="49"/>
        <v>805697</v>
      </c>
      <c r="AF430" s="42">
        <f t="shared" si="50"/>
        <v>744083.40000000061</v>
      </c>
      <c r="AG430" s="42" t="str">
        <f t="shared" si="51"/>
        <v/>
      </c>
      <c r="AH430" s="42" t="str">
        <f t="shared" si="52"/>
        <v/>
      </c>
      <c r="AI430" s="42" t="str">
        <f t="shared" si="53"/>
        <v/>
      </c>
      <c r="AJ430" s="42" t="str">
        <f t="shared" si="54"/>
        <v/>
      </c>
      <c r="AK430" s="42" t="str">
        <f t="shared" si="55"/>
        <v/>
      </c>
      <c r="AO430" s="86">
        <f ca="1"/>
        <v>37949.25</v>
      </c>
      <c r="AP430" s="87">
        <f ca="1"/>
        <v>1532.11</v>
      </c>
      <c r="AQ430" s="87">
        <f ca="1"/>
        <v>1532.32</v>
      </c>
      <c r="AR430" s="88">
        <f ca="1"/>
        <v>37949.25</v>
      </c>
      <c r="AS430" s="87">
        <f ca="1"/>
        <v>890</v>
      </c>
      <c r="AT430" s="87">
        <f ca="1"/>
        <v>1187.78</v>
      </c>
    </row>
    <row r="431" spans="13:46" x14ac:dyDescent="0.25">
      <c r="M431" s="42">
        <v>427</v>
      </c>
      <c r="N431" s="3" t="s">
        <v>487</v>
      </c>
      <c r="O431" s="49">
        <f t="shared" si="48"/>
        <v>37949.25</v>
      </c>
      <c r="P431" s="42">
        <v>1532.11</v>
      </c>
      <c r="Q431" s="42">
        <v>890</v>
      </c>
      <c r="R431" s="42">
        <v>1532.32</v>
      </c>
      <c r="S431" s="42">
        <v>1187.78</v>
      </c>
      <c r="T431" s="42"/>
      <c r="U431" s="42"/>
      <c r="V431" s="3"/>
      <c r="W431" s="3"/>
      <c r="X431" s="3"/>
      <c r="Y431" s="3"/>
      <c r="Z431" s="3"/>
      <c r="AA431" s="3"/>
      <c r="AB431" s="3"/>
      <c r="AE431" s="42">
        <f t="shared" si="49"/>
        <v>806587</v>
      </c>
      <c r="AF431" s="42">
        <f t="shared" si="50"/>
        <v>745271.18000000063</v>
      </c>
      <c r="AG431" s="42" t="str">
        <f t="shared" si="51"/>
        <v/>
      </c>
      <c r="AH431" s="42" t="str">
        <f t="shared" si="52"/>
        <v/>
      </c>
      <c r="AI431" s="42" t="str">
        <f t="shared" si="53"/>
        <v/>
      </c>
      <c r="AJ431" s="42" t="str">
        <f t="shared" si="54"/>
        <v/>
      </c>
      <c r="AK431" s="42" t="str">
        <f t="shared" si="55"/>
        <v/>
      </c>
      <c r="AO431" s="86">
        <f ca="1"/>
        <v>37949.291666666664</v>
      </c>
      <c r="AP431" s="87">
        <f ca="1"/>
        <v>1532.08</v>
      </c>
      <c r="AQ431" s="87">
        <f ca="1"/>
        <v>1532.29</v>
      </c>
      <c r="AR431" s="88">
        <f ca="1"/>
        <v>37949.291666666664</v>
      </c>
      <c r="AS431" s="87">
        <f ca="1"/>
        <v>876</v>
      </c>
      <c r="AT431" s="87">
        <f ca="1"/>
        <v>1164.33</v>
      </c>
    </row>
    <row r="432" spans="13:46" x14ac:dyDescent="0.25">
      <c r="M432" s="42">
        <v>428</v>
      </c>
      <c r="N432" s="3" t="s">
        <v>488</v>
      </c>
      <c r="O432" s="49">
        <f t="shared" si="48"/>
        <v>37949.291666666664</v>
      </c>
      <c r="P432" s="42">
        <v>1532.08</v>
      </c>
      <c r="Q432" s="42">
        <v>876</v>
      </c>
      <c r="R432" s="42">
        <v>1532.29</v>
      </c>
      <c r="S432" s="42">
        <v>1164.33</v>
      </c>
      <c r="T432" s="42"/>
      <c r="U432" s="42"/>
      <c r="V432" s="3"/>
      <c r="W432" s="3"/>
      <c r="X432" s="3"/>
      <c r="Y432" s="3"/>
      <c r="Z432" s="3"/>
      <c r="AA432" s="3"/>
      <c r="AB432" s="3"/>
      <c r="AE432" s="42">
        <f t="shared" si="49"/>
        <v>807463</v>
      </c>
      <c r="AF432" s="42">
        <f t="shared" si="50"/>
        <v>746435.51000000059</v>
      </c>
      <c r="AG432" s="42" t="str">
        <f t="shared" si="51"/>
        <v/>
      </c>
      <c r="AH432" s="42" t="str">
        <f t="shared" si="52"/>
        <v/>
      </c>
      <c r="AI432" s="42" t="str">
        <f t="shared" si="53"/>
        <v/>
      </c>
      <c r="AJ432" s="42" t="str">
        <f t="shared" si="54"/>
        <v/>
      </c>
      <c r="AK432" s="42" t="str">
        <f t="shared" si="55"/>
        <v/>
      </c>
      <c r="AO432" s="86">
        <f ca="1"/>
        <v>37949.333333333336</v>
      </c>
      <c r="AP432" s="87">
        <f ca="1"/>
        <v>1532.06</v>
      </c>
      <c r="AQ432" s="87">
        <f ca="1"/>
        <v>1532.27</v>
      </c>
      <c r="AR432" s="88">
        <f ca="1"/>
        <v>37949.333333333336</v>
      </c>
      <c r="AS432" s="87">
        <f ca="1"/>
        <v>866</v>
      </c>
      <c r="AT432" s="87">
        <f ca="1"/>
        <v>1151.23</v>
      </c>
    </row>
    <row r="433" spans="13:46" x14ac:dyDescent="0.25">
      <c r="M433" s="42">
        <v>429</v>
      </c>
      <c r="N433" s="3" t="s">
        <v>489</v>
      </c>
      <c r="O433" s="49">
        <f t="shared" si="48"/>
        <v>37949.333333333336</v>
      </c>
      <c r="P433" s="42">
        <v>1532.06</v>
      </c>
      <c r="Q433" s="42">
        <v>866</v>
      </c>
      <c r="R433" s="42">
        <v>1532.27</v>
      </c>
      <c r="S433" s="42">
        <v>1151.23</v>
      </c>
      <c r="T433" s="42"/>
      <c r="U433" s="42"/>
      <c r="V433" s="3"/>
      <c r="W433" s="3"/>
      <c r="X433" s="3"/>
      <c r="Y433" s="3"/>
      <c r="Z433" s="3"/>
      <c r="AA433" s="3"/>
      <c r="AB433" s="3"/>
      <c r="AE433" s="42">
        <f t="shared" si="49"/>
        <v>808329</v>
      </c>
      <c r="AF433" s="42">
        <f t="shared" si="50"/>
        <v>747586.74000000057</v>
      </c>
      <c r="AG433" s="42" t="str">
        <f t="shared" si="51"/>
        <v/>
      </c>
      <c r="AH433" s="42" t="str">
        <f t="shared" si="52"/>
        <v/>
      </c>
      <c r="AI433" s="42" t="str">
        <f t="shared" si="53"/>
        <v/>
      </c>
      <c r="AJ433" s="42" t="str">
        <f t="shared" si="54"/>
        <v/>
      </c>
      <c r="AK433" s="42" t="str">
        <f t="shared" si="55"/>
        <v/>
      </c>
      <c r="AO433" s="86">
        <f ca="1"/>
        <v>37949.375</v>
      </c>
      <c r="AP433" s="87">
        <f ca="1"/>
        <v>1532.04</v>
      </c>
      <c r="AQ433" s="87">
        <f ca="1"/>
        <v>1532.23</v>
      </c>
      <c r="AR433" s="88">
        <f ca="1"/>
        <v>37949.375</v>
      </c>
      <c r="AS433" s="87">
        <f ca="1"/>
        <v>857</v>
      </c>
      <c r="AT433" s="87">
        <f ca="1"/>
        <v>1129.4100000000001</v>
      </c>
    </row>
    <row r="434" spans="13:46" x14ac:dyDescent="0.25">
      <c r="M434" s="42">
        <v>430</v>
      </c>
      <c r="N434" s="3" t="s">
        <v>490</v>
      </c>
      <c r="O434" s="49">
        <f t="shared" si="48"/>
        <v>37949.375</v>
      </c>
      <c r="P434" s="42">
        <v>1532.04</v>
      </c>
      <c r="Q434" s="42">
        <v>857</v>
      </c>
      <c r="R434" s="42">
        <v>1532.23</v>
      </c>
      <c r="S434" s="42">
        <v>1129.4100000000001</v>
      </c>
      <c r="T434" s="42"/>
      <c r="U434" s="42"/>
      <c r="V434" s="3"/>
      <c r="W434" s="3"/>
      <c r="X434" s="3"/>
      <c r="Y434" s="3"/>
      <c r="Z434" s="3"/>
      <c r="AA434" s="3"/>
      <c r="AB434" s="3"/>
      <c r="AE434" s="42">
        <f t="shared" si="49"/>
        <v>809186</v>
      </c>
      <c r="AF434" s="42">
        <f t="shared" si="50"/>
        <v>748716.15000000061</v>
      </c>
      <c r="AG434" s="42" t="str">
        <f t="shared" si="51"/>
        <v/>
      </c>
      <c r="AH434" s="42" t="str">
        <f t="shared" si="52"/>
        <v/>
      </c>
      <c r="AI434" s="42" t="str">
        <f t="shared" si="53"/>
        <v/>
      </c>
      <c r="AJ434" s="42" t="str">
        <f t="shared" si="54"/>
        <v/>
      </c>
      <c r="AK434" s="42" t="str">
        <f t="shared" si="55"/>
        <v/>
      </c>
      <c r="AO434" s="86">
        <f ca="1"/>
        <v>37949.416666666664</v>
      </c>
      <c r="AP434" s="87">
        <f ca="1"/>
        <v>1532.03</v>
      </c>
      <c r="AQ434" s="87">
        <f ca="1"/>
        <v>1532.22</v>
      </c>
      <c r="AR434" s="88">
        <f ca="1"/>
        <v>37949.416666666664</v>
      </c>
      <c r="AS434" s="87">
        <f ca="1"/>
        <v>852</v>
      </c>
      <c r="AT434" s="87">
        <f ca="1"/>
        <v>1124.3</v>
      </c>
    </row>
    <row r="435" spans="13:46" x14ac:dyDescent="0.25">
      <c r="M435" s="42">
        <v>431</v>
      </c>
      <c r="N435" s="3" t="s">
        <v>491</v>
      </c>
      <c r="O435" s="49">
        <f t="shared" si="48"/>
        <v>37949.416666666664</v>
      </c>
      <c r="P435" s="42">
        <v>1532.03</v>
      </c>
      <c r="Q435" s="42">
        <v>852</v>
      </c>
      <c r="R435" s="42">
        <v>1532.22</v>
      </c>
      <c r="S435" s="42">
        <v>1124.3</v>
      </c>
      <c r="T435" s="42"/>
      <c r="U435" s="42"/>
      <c r="V435" s="3"/>
      <c r="W435" s="3"/>
      <c r="X435" s="3"/>
      <c r="Y435" s="3"/>
      <c r="Z435" s="3"/>
      <c r="AA435" s="3"/>
      <c r="AB435" s="3"/>
      <c r="AE435" s="42">
        <f t="shared" si="49"/>
        <v>810038</v>
      </c>
      <c r="AF435" s="42">
        <f t="shared" si="50"/>
        <v>749840.45000000065</v>
      </c>
      <c r="AG435" s="42" t="str">
        <f t="shared" si="51"/>
        <v/>
      </c>
      <c r="AH435" s="42" t="str">
        <f t="shared" si="52"/>
        <v/>
      </c>
      <c r="AI435" s="42" t="str">
        <f t="shared" si="53"/>
        <v/>
      </c>
      <c r="AJ435" s="42" t="str">
        <f t="shared" si="54"/>
        <v/>
      </c>
      <c r="AK435" s="42" t="str">
        <f t="shared" si="55"/>
        <v/>
      </c>
      <c r="AO435" s="86">
        <f ca="1"/>
        <v>37949.458333333336</v>
      </c>
      <c r="AP435" s="87">
        <f ca="1"/>
        <v>1532.01</v>
      </c>
      <c r="AQ435" s="87">
        <f ca="1"/>
        <v>1532.2</v>
      </c>
      <c r="AR435" s="88">
        <f ca="1"/>
        <v>37949.458333333336</v>
      </c>
      <c r="AS435" s="87">
        <f ca="1"/>
        <v>843</v>
      </c>
      <c r="AT435" s="87">
        <f ca="1"/>
        <v>1113.45</v>
      </c>
    </row>
    <row r="436" spans="13:46" x14ac:dyDescent="0.25">
      <c r="M436" s="42">
        <v>432</v>
      </c>
      <c r="N436" s="3" t="s">
        <v>492</v>
      </c>
      <c r="O436" s="49">
        <f t="shared" si="48"/>
        <v>37949.458333333336</v>
      </c>
      <c r="P436" s="42">
        <v>1532.01</v>
      </c>
      <c r="Q436" s="42">
        <v>843</v>
      </c>
      <c r="R436" s="42">
        <v>1532.2</v>
      </c>
      <c r="S436" s="42">
        <v>1113.45</v>
      </c>
      <c r="T436" s="42"/>
      <c r="U436" s="42"/>
      <c r="V436" s="3"/>
      <c r="W436" s="3"/>
      <c r="X436" s="3"/>
      <c r="Y436" s="3"/>
      <c r="Z436" s="3"/>
      <c r="AA436" s="3"/>
      <c r="AB436" s="3"/>
      <c r="AE436" s="42">
        <f t="shared" si="49"/>
        <v>810881</v>
      </c>
      <c r="AF436" s="42">
        <f t="shared" si="50"/>
        <v>750953.90000000061</v>
      </c>
      <c r="AG436" s="42" t="str">
        <f t="shared" si="51"/>
        <v/>
      </c>
      <c r="AH436" s="42" t="str">
        <f t="shared" si="52"/>
        <v/>
      </c>
      <c r="AI436" s="42" t="str">
        <f t="shared" si="53"/>
        <v/>
      </c>
      <c r="AJ436" s="42" t="str">
        <f t="shared" si="54"/>
        <v/>
      </c>
      <c r="AK436" s="42" t="str">
        <f t="shared" si="55"/>
        <v/>
      </c>
      <c r="AO436" s="86">
        <f ca="1"/>
        <v>37949.5</v>
      </c>
      <c r="AP436" s="87">
        <f ca="1"/>
        <v>1532</v>
      </c>
      <c r="AQ436" s="87">
        <f ca="1"/>
        <v>1532.19</v>
      </c>
      <c r="AR436" s="88">
        <f ca="1"/>
        <v>37949.5</v>
      </c>
      <c r="AS436" s="87">
        <f ca="1"/>
        <v>838</v>
      </c>
      <c r="AT436" s="87">
        <f ca="1"/>
        <v>1104.6500000000001</v>
      </c>
    </row>
    <row r="437" spans="13:46" x14ac:dyDescent="0.25">
      <c r="M437" s="42">
        <v>433</v>
      </c>
      <c r="N437" s="3" t="s">
        <v>493</v>
      </c>
      <c r="O437" s="49">
        <f t="shared" si="48"/>
        <v>37949.5</v>
      </c>
      <c r="P437" s="42">
        <v>1532</v>
      </c>
      <c r="Q437" s="42">
        <v>838</v>
      </c>
      <c r="R437" s="42">
        <v>1532.19</v>
      </c>
      <c r="S437" s="42">
        <v>1104.6500000000001</v>
      </c>
      <c r="T437" s="42"/>
      <c r="U437" s="42"/>
      <c r="V437" s="3"/>
      <c r="W437" s="3"/>
      <c r="X437" s="3"/>
      <c r="Y437" s="3"/>
      <c r="Z437" s="3"/>
      <c r="AA437" s="3"/>
      <c r="AB437" s="3"/>
      <c r="AE437" s="42">
        <f t="shared" si="49"/>
        <v>811719</v>
      </c>
      <c r="AF437" s="42">
        <f t="shared" si="50"/>
        <v>752058.55000000063</v>
      </c>
      <c r="AG437" s="42" t="str">
        <f t="shared" si="51"/>
        <v/>
      </c>
      <c r="AH437" s="42" t="str">
        <f t="shared" si="52"/>
        <v/>
      </c>
      <c r="AI437" s="42" t="str">
        <f t="shared" si="53"/>
        <v/>
      </c>
      <c r="AJ437" s="42" t="str">
        <f t="shared" si="54"/>
        <v/>
      </c>
      <c r="AK437" s="42" t="str">
        <f t="shared" si="55"/>
        <v/>
      </c>
      <c r="AO437" s="86">
        <f ca="1"/>
        <v>37949.541666666664</v>
      </c>
      <c r="AP437" s="87">
        <f ca="1"/>
        <v>1531.98</v>
      </c>
      <c r="AQ437" s="87">
        <f ca="1"/>
        <v>1532.18</v>
      </c>
      <c r="AR437" s="88">
        <f ca="1"/>
        <v>37949.541666666664</v>
      </c>
      <c r="AS437" s="87">
        <f ca="1"/>
        <v>829</v>
      </c>
      <c r="AT437" s="87">
        <f ca="1"/>
        <v>1097.53</v>
      </c>
    </row>
    <row r="438" spans="13:46" x14ac:dyDescent="0.25">
      <c r="M438" s="42">
        <v>434</v>
      </c>
      <c r="N438" s="3" t="s">
        <v>494</v>
      </c>
      <c r="O438" s="49">
        <f t="shared" si="48"/>
        <v>37949.541666666664</v>
      </c>
      <c r="P438" s="42">
        <v>1531.98</v>
      </c>
      <c r="Q438" s="42">
        <v>829</v>
      </c>
      <c r="R438" s="42">
        <v>1532.18</v>
      </c>
      <c r="S438" s="42">
        <v>1097.53</v>
      </c>
      <c r="T438" s="42"/>
      <c r="U438" s="42"/>
      <c r="V438" s="3"/>
      <c r="W438" s="3"/>
      <c r="X438" s="3"/>
      <c r="Y438" s="3"/>
      <c r="Z438" s="3"/>
      <c r="AA438" s="3"/>
      <c r="AB438" s="3"/>
      <c r="AE438" s="42">
        <f t="shared" si="49"/>
        <v>812548</v>
      </c>
      <c r="AF438" s="42">
        <f t="shared" si="50"/>
        <v>753156.08000000066</v>
      </c>
      <c r="AG438" s="42" t="str">
        <f t="shared" si="51"/>
        <v/>
      </c>
      <c r="AH438" s="42" t="str">
        <f t="shared" si="52"/>
        <v/>
      </c>
      <c r="AI438" s="42" t="str">
        <f t="shared" si="53"/>
        <v/>
      </c>
      <c r="AJ438" s="42" t="str">
        <f t="shared" si="54"/>
        <v/>
      </c>
      <c r="AK438" s="42" t="str">
        <f t="shared" si="55"/>
        <v/>
      </c>
      <c r="AO438" s="86">
        <f ca="1"/>
        <v>37949.583333333336</v>
      </c>
      <c r="AP438" s="87">
        <f ca="1"/>
        <v>1531.96</v>
      </c>
      <c r="AQ438" s="87">
        <f ca="1"/>
        <v>1532.17</v>
      </c>
      <c r="AR438" s="88">
        <f ca="1"/>
        <v>37949.583333333336</v>
      </c>
      <c r="AS438" s="87">
        <f ca="1"/>
        <v>820</v>
      </c>
      <c r="AT438" s="87">
        <f ca="1"/>
        <v>1089.76</v>
      </c>
    </row>
    <row r="439" spans="13:46" x14ac:dyDescent="0.25">
      <c r="M439" s="42">
        <v>435</v>
      </c>
      <c r="N439" s="3" t="s">
        <v>495</v>
      </c>
      <c r="O439" s="49">
        <f t="shared" si="48"/>
        <v>37949.583333333336</v>
      </c>
      <c r="P439" s="42">
        <v>1531.96</v>
      </c>
      <c r="Q439" s="42">
        <v>820</v>
      </c>
      <c r="R439" s="42">
        <v>1532.17</v>
      </c>
      <c r="S439" s="42">
        <v>1089.76</v>
      </c>
      <c r="T439" s="42"/>
      <c r="U439" s="42"/>
      <c r="V439" s="3"/>
      <c r="W439" s="3"/>
      <c r="X439" s="3"/>
      <c r="Y439" s="3"/>
      <c r="Z439" s="3"/>
      <c r="AA439" s="3"/>
      <c r="AB439" s="3"/>
      <c r="AE439" s="42">
        <f t="shared" si="49"/>
        <v>813368</v>
      </c>
      <c r="AF439" s="42">
        <f t="shared" si="50"/>
        <v>754245.84000000067</v>
      </c>
      <c r="AG439" s="42" t="str">
        <f t="shared" si="51"/>
        <v/>
      </c>
      <c r="AH439" s="42" t="str">
        <f t="shared" si="52"/>
        <v/>
      </c>
      <c r="AI439" s="42" t="str">
        <f t="shared" si="53"/>
        <v/>
      </c>
      <c r="AJ439" s="42" t="str">
        <f t="shared" si="54"/>
        <v/>
      </c>
      <c r="AK439" s="42" t="str">
        <f t="shared" si="55"/>
        <v/>
      </c>
      <c r="AO439" s="86">
        <f ca="1"/>
        <v>37949.625</v>
      </c>
      <c r="AP439" s="87">
        <f ca="1"/>
        <v>1531.95</v>
      </c>
      <c r="AQ439" s="87">
        <f ca="1"/>
        <v>1532.14</v>
      </c>
      <c r="AR439" s="88">
        <f ca="1"/>
        <v>37949.625</v>
      </c>
      <c r="AS439" s="87">
        <f ca="1"/>
        <v>815</v>
      </c>
      <c r="AT439" s="87">
        <f ca="1"/>
        <v>1074.8</v>
      </c>
    </row>
    <row r="440" spans="13:46" x14ac:dyDescent="0.25">
      <c r="M440" s="42">
        <v>436</v>
      </c>
      <c r="N440" s="3" t="s">
        <v>496</v>
      </c>
      <c r="O440" s="49">
        <f t="shared" si="48"/>
        <v>37949.625</v>
      </c>
      <c r="P440" s="42">
        <v>1531.95</v>
      </c>
      <c r="Q440" s="42">
        <v>815</v>
      </c>
      <c r="R440" s="42">
        <v>1532.14</v>
      </c>
      <c r="S440" s="42">
        <v>1074.8</v>
      </c>
      <c r="T440" s="42"/>
      <c r="U440" s="42"/>
      <c r="V440" s="3"/>
      <c r="W440" s="3"/>
      <c r="X440" s="3"/>
      <c r="Y440" s="3"/>
      <c r="Z440" s="3"/>
      <c r="AA440" s="3"/>
      <c r="AB440" s="3"/>
      <c r="AE440" s="42">
        <f t="shared" si="49"/>
        <v>814183</v>
      </c>
      <c r="AF440" s="42">
        <f t="shared" si="50"/>
        <v>755320.64000000071</v>
      </c>
      <c r="AG440" s="42" t="str">
        <f t="shared" si="51"/>
        <v/>
      </c>
      <c r="AH440" s="42" t="str">
        <f t="shared" si="52"/>
        <v/>
      </c>
      <c r="AI440" s="42" t="str">
        <f t="shared" si="53"/>
        <v/>
      </c>
      <c r="AJ440" s="42" t="str">
        <f t="shared" si="54"/>
        <v/>
      </c>
      <c r="AK440" s="42" t="str">
        <f t="shared" si="55"/>
        <v/>
      </c>
      <c r="AO440" s="86">
        <f ca="1"/>
        <v>37949.666666666664</v>
      </c>
      <c r="AP440" s="87">
        <f ca="1"/>
        <v>1531.94</v>
      </c>
      <c r="AQ440" s="87">
        <f ca="1"/>
        <v>1532.14</v>
      </c>
      <c r="AR440" s="88">
        <f ca="1"/>
        <v>37949.666666666664</v>
      </c>
      <c r="AS440" s="87">
        <f ca="1"/>
        <v>811</v>
      </c>
      <c r="AT440" s="87">
        <f ca="1"/>
        <v>1070.6600000000001</v>
      </c>
    </row>
    <row r="441" spans="13:46" x14ac:dyDescent="0.25">
      <c r="M441" s="42">
        <v>437</v>
      </c>
      <c r="N441" s="3" t="s">
        <v>497</v>
      </c>
      <c r="O441" s="49">
        <f t="shared" si="48"/>
        <v>37949.666666666664</v>
      </c>
      <c r="P441" s="42">
        <v>1531.94</v>
      </c>
      <c r="Q441" s="42">
        <v>811</v>
      </c>
      <c r="R441" s="42">
        <v>1532.14</v>
      </c>
      <c r="S441" s="42">
        <v>1070.6600000000001</v>
      </c>
      <c r="T441" s="42"/>
      <c r="U441" s="42"/>
      <c r="V441" s="3"/>
      <c r="W441" s="3"/>
      <c r="X441" s="3"/>
      <c r="Y441" s="3"/>
      <c r="Z441" s="3"/>
      <c r="AA441" s="3"/>
      <c r="AB441" s="3"/>
      <c r="AE441" s="42">
        <f t="shared" si="49"/>
        <v>814994</v>
      </c>
      <c r="AF441" s="42">
        <f t="shared" si="50"/>
        <v>756391.30000000075</v>
      </c>
      <c r="AG441" s="42" t="str">
        <f t="shared" si="51"/>
        <v/>
      </c>
      <c r="AH441" s="42" t="str">
        <f t="shared" si="52"/>
        <v/>
      </c>
      <c r="AI441" s="42" t="str">
        <f t="shared" si="53"/>
        <v/>
      </c>
      <c r="AJ441" s="42" t="str">
        <f t="shared" si="54"/>
        <v/>
      </c>
      <c r="AK441" s="42" t="str">
        <f t="shared" si="55"/>
        <v/>
      </c>
      <c r="AO441" s="86">
        <f ca="1"/>
        <v>37949.708333333336</v>
      </c>
      <c r="AP441" s="87">
        <f ca="1"/>
        <v>1531.92</v>
      </c>
      <c r="AQ441" s="87">
        <f ca="1"/>
        <v>1532.1</v>
      </c>
      <c r="AR441" s="88">
        <f ca="1"/>
        <v>37949.708333333336</v>
      </c>
      <c r="AS441" s="87">
        <f ca="1"/>
        <v>802</v>
      </c>
      <c r="AT441" s="87">
        <f ca="1"/>
        <v>1049.9100000000001</v>
      </c>
    </row>
    <row r="442" spans="13:46" x14ac:dyDescent="0.25">
      <c r="M442" s="42">
        <v>438</v>
      </c>
      <c r="N442" s="3" t="s">
        <v>498</v>
      </c>
      <c r="O442" s="49">
        <f t="shared" si="48"/>
        <v>37949.708333333336</v>
      </c>
      <c r="P442" s="42">
        <v>1531.92</v>
      </c>
      <c r="Q442" s="42">
        <v>802</v>
      </c>
      <c r="R442" s="42">
        <v>1532.1</v>
      </c>
      <c r="S442" s="42">
        <v>1049.9100000000001</v>
      </c>
      <c r="T442" s="42"/>
      <c r="U442" s="42"/>
      <c r="V442" s="3"/>
      <c r="W442" s="3"/>
      <c r="X442" s="3"/>
      <c r="Y442" s="3"/>
      <c r="Z442" s="3"/>
      <c r="AA442" s="3"/>
      <c r="AB442" s="3"/>
      <c r="AE442" s="42">
        <f t="shared" si="49"/>
        <v>815796</v>
      </c>
      <c r="AF442" s="42">
        <f t="shared" si="50"/>
        <v>757441.21000000078</v>
      </c>
      <c r="AG442" s="42" t="str">
        <f t="shared" si="51"/>
        <v/>
      </c>
      <c r="AH442" s="42" t="str">
        <f t="shared" si="52"/>
        <v/>
      </c>
      <c r="AI442" s="42" t="str">
        <f t="shared" si="53"/>
        <v/>
      </c>
      <c r="AJ442" s="42" t="str">
        <f t="shared" si="54"/>
        <v/>
      </c>
      <c r="AK442" s="42" t="str">
        <f t="shared" si="55"/>
        <v/>
      </c>
      <c r="AO442" s="86">
        <f ca="1"/>
        <v>37949.75</v>
      </c>
      <c r="AP442" s="87">
        <f ca="1"/>
        <v>1531.91</v>
      </c>
      <c r="AQ442" s="87">
        <f ca="1"/>
        <v>1532.11</v>
      </c>
      <c r="AR442" s="88">
        <f ca="1"/>
        <v>37949.75</v>
      </c>
      <c r="AS442" s="87">
        <f ca="1"/>
        <v>797</v>
      </c>
      <c r="AT442" s="87">
        <f ca="1"/>
        <v>1052.96</v>
      </c>
    </row>
    <row r="443" spans="13:46" x14ac:dyDescent="0.25">
      <c r="M443" s="42">
        <v>439</v>
      </c>
      <c r="N443" s="3" t="s">
        <v>499</v>
      </c>
      <c r="O443" s="49">
        <f t="shared" si="48"/>
        <v>37949.75</v>
      </c>
      <c r="P443" s="42">
        <v>1531.91</v>
      </c>
      <c r="Q443" s="42">
        <v>797</v>
      </c>
      <c r="R443" s="42">
        <v>1532.11</v>
      </c>
      <c r="S443" s="42">
        <v>1052.96</v>
      </c>
      <c r="T443" s="42"/>
      <c r="U443" s="42"/>
      <c r="V443" s="3"/>
      <c r="W443" s="3"/>
      <c r="X443" s="3"/>
      <c r="Y443" s="3"/>
      <c r="Z443" s="3"/>
      <c r="AA443" s="3"/>
      <c r="AB443" s="3"/>
      <c r="AE443" s="42">
        <f t="shared" si="49"/>
        <v>816593</v>
      </c>
      <c r="AF443" s="42">
        <f t="shared" si="50"/>
        <v>758494.17000000074</v>
      </c>
      <c r="AG443" s="42" t="str">
        <f t="shared" si="51"/>
        <v/>
      </c>
      <c r="AH443" s="42" t="str">
        <f t="shared" si="52"/>
        <v/>
      </c>
      <c r="AI443" s="42" t="str">
        <f t="shared" si="53"/>
        <v/>
      </c>
      <c r="AJ443" s="42" t="str">
        <f t="shared" si="54"/>
        <v/>
      </c>
      <c r="AK443" s="42" t="str">
        <f t="shared" si="55"/>
        <v/>
      </c>
      <c r="AO443" s="86">
        <f ca="1"/>
        <v>37949.791666666664</v>
      </c>
      <c r="AP443" s="87">
        <f ca="1"/>
        <v>1531.91</v>
      </c>
      <c r="AQ443" s="87">
        <f ca="1"/>
        <v>1532.08</v>
      </c>
      <c r="AR443" s="88">
        <f ca="1"/>
        <v>37949.791666666664</v>
      </c>
      <c r="AS443" s="87">
        <f ca="1"/>
        <v>797</v>
      </c>
      <c r="AT443" s="87">
        <f ca="1"/>
        <v>1037.6199999999999</v>
      </c>
    </row>
    <row r="444" spans="13:46" x14ac:dyDescent="0.25">
      <c r="M444" s="42">
        <v>440</v>
      </c>
      <c r="N444" s="3" t="s">
        <v>500</v>
      </c>
      <c r="O444" s="49">
        <f t="shared" si="48"/>
        <v>37949.791666666664</v>
      </c>
      <c r="P444" s="42">
        <v>1531.91</v>
      </c>
      <c r="Q444" s="42">
        <v>797</v>
      </c>
      <c r="R444" s="42">
        <v>1532.08</v>
      </c>
      <c r="S444" s="42">
        <v>1037.6199999999999</v>
      </c>
      <c r="T444" s="42"/>
      <c r="U444" s="42"/>
      <c r="V444" s="3"/>
      <c r="W444" s="3"/>
      <c r="X444" s="3"/>
      <c r="Y444" s="3"/>
      <c r="Z444" s="3"/>
      <c r="AA444" s="3"/>
      <c r="AB444" s="3"/>
      <c r="AE444" s="42">
        <f t="shared" si="49"/>
        <v>817390</v>
      </c>
      <c r="AF444" s="42">
        <f t="shared" si="50"/>
        <v>759531.79000000074</v>
      </c>
      <c r="AG444" s="42" t="str">
        <f t="shared" si="51"/>
        <v/>
      </c>
      <c r="AH444" s="42" t="str">
        <f t="shared" si="52"/>
        <v/>
      </c>
      <c r="AI444" s="42" t="str">
        <f t="shared" si="53"/>
        <v/>
      </c>
      <c r="AJ444" s="42" t="str">
        <f t="shared" si="54"/>
        <v/>
      </c>
      <c r="AK444" s="42" t="str">
        <f t="shared" si="55"/>
        <v/>
      </c>
      <c r="AO444" s="86">
        <f ca="1"/>
        <v>37949.833333333336</v>
      </c>
      <c r="AP444" s="87">
        <f ca="1"/>
        <v>1531.9</v>
      </c>
      <c r="AQ444" s="87">
        <f ca="1"/>
        <v>1532.07</v>
      </c>
      <c r="AR444" s="88">
        <f ca="1"/>
        <v>37949.833333333336</v>
      </c>
      <c r="AS444" s="87">
        <f ca="1"/>
        <v>793</v>
      </c>
      <c r="AT444" s="87">
        <f ca="1"/>
        <v>1030.52</v>
      </c>
    </row>
    <row r="445" spans="13:46" x14ac:dyDescent="0.25">
      <c r="M445" s="42">
        <v>441</v>
      </c>
      <c r="N445" s="3" t="s">
        <v>501</v>
      </c>
      <c r="O445" s="49">
        <f t="shared" si="48"/>
        <v>37949.833333333336</v>
      </c>
      <c r="P445" s="42">
        <v>1531.9</v>
      </c>
      <c r="Q445" s="42">
        <v>793</v>
      </c>
      <c r="R445" s="42">
        <v>1532.07</v>
      </c>
      <c r="S445" s="42">
        <v>1030.52</v>
      </c>
      <c r="T445" s="42"/>
      <c r="U445" s="42"/>
      <c r="V445" s="3"/>
      <c r="W445" s="3"/>
      <c r="X445" s="3"/>
      <c r="Y445" s="3"/>
      <c r="Z445" s="3"/>
      <c r="AA445" s="3"/>
      <c r="AB445" s="3"/>
      <c r="AE445" s="42">
        <f t="shared" si="49"/>
        <v>818183</v>
      </c>
      <c r="AF445" s="42">
        <f t="shared" si="50"/>
        <v>760562.31000000075</v>
      </c>
      <c r="AG445" s="42" t="str">
        <f t="shared" si="51"/>
        <v/>
      </c>
      <c r="AH445" s="42" t="str">
        <f t="shared" si="52"/>
        <v/>
      </c>
      <c r="AI445" s="42" t="str">
        <f t="shared" si="53"/>
        <v/>
      </c>
      <c r="AJ445" s="42" t="str">
        <f t="shared" si="54"/>
        <v/>
      </c>
      <c r="AK445" s="42" t="str">
        <f t="shared" si="55"/>
        <v/>
      </c>
      <c r="AO445" s="86">
        <f ca="1"/>
        <v>37949.875</v>
      </c>
      <c r="AP445" s="87">
        <f ca="1"/>
        <v>1531.9</v>
      </c>
      <c r="AQ445" s="87">
        <f ca="1"/>
        <v>1532.06</v>
      </c>
      <c r="AR445" s="88">
        <f ca="1"/>
        <v>37949.875</v>
      </c>
      <c r="AS445" s="87">
        <f ca="1"/>
        <v>793</v>
      </c>
      <c r="AT445" s="87">
        <f ca="1"/>
        <v>1026.26</v>
      </c>
    </row>
    <row r="446" spans="13:46" x14ac:dyDescent="0.25">
      <c r="M446" s="42">
        <v>442</v>
      </c>
      <c r="N446" s="3" t="s">
        <v>502</v>
      </c>
      <c r="O446" s="49">
        <f t="shared" si="48"/>
        <v>37949.875</v>
      </c>
      <c r="P446" s="42">
        <v>1531.9</v>
      </c>
      <c r="Q446" s="42">
        <v>793</v>
      </c>
      <c r="R446" s="42">
        <v>1532.06</v>
      </c>
      <c r="S446" s="42">
        <v>1026.26</v>
      </c>
      <c r="T446" s="42"/>
      <c r="U446" s="42"/>
      <c r="V446" s="3"/>
      <c r="W446" s="3"/>
      <c r="X446" s="3"/>
      <c r="Y446" s="3"/>
      <c r="Z446" s="3"/>
      <c r="AA446" s="3"/>
      <c r="AB446" s="3"/>
      <c r="AE446" s="42">
        <f t="shared" si="49"/>
        <v>818976</v>
      </c>
      <c r="AF446" s="42">
        <f t="shared" si="50"/>
        <v>761588.57000000076</v>
      </c>
      <c r="AG446" s="42" t="str">
        <f t="shared" si="51"/>
        <v/>
      </c>
      <c r="AH446" s="42" t="str">
        <f t="shared" si="52"/>
        <v/>
      </c>
      <c r="AI446" s="42" t="str">
        <f t="shared" si="53"/>
        <v/>
      </c>
      <c r="AJ446" s="42" t="str">
        <f t="shared" si="54"/>
        <v/>
      </c>
      <c r="AK446" s="42" t="str">
        <f t="shared" si="55"/>
        <v/>
      </c>
      <c r="AO446" s="86">
        <f ca="1"/>
        <v>37949.916666666664</v>
      </c>
      <c r="AP446" s="87">
        <f ca="1"/>
        <v>1531.89</v>
      </c>
      <c r="AQ446" s="87">
        <f ca="1"/>
        <v>1532.04</v>
      </c>
      <c r="AR446" s="88">
        <f ca="1"/>
        <v>37949.916666666664</v>
      </c>
      <c r="AS446" s="87">
        <f ca="1"/>
        <v>788</v>
      </c>
      <c r="AT446" s="87">
        <f ca="1"/>
        <v>1012.86</v>
      </c>
    </row>
    <row r="447" spans="13:46" x14ac:dyDescent="0.25">
      <c r="M447" s="42">
        <v>443</v>
      </c>
      <c r="N447" s="3" t="s">
        <v>503</v>
      </c>
      <c r="O447" s="49">
        <f t="shared" si="48"/>
        <v>37949.916666666664</v>
      </c>
      <c r="P447" s="42">
        <v>1531.89</v>
      </c>
      <c r="Q447" s="42">
        <v>788</v>
      </c>
      <c r="R447" s="42">
        <v>1532.04</v>
      </c>
      <c r="S447" s="42">
        <v>1012.86</v>
      </c>
      <c r="T447" s="42"/>
      <c r="U447" s="42"/>
      <c r="V447" s="3"/>
      <c r="W447" s="3"/>
      <c r="X447" s="3"/>
      <c r="Y447" s="3"/>
      <c r="Z447" s="3"/>
      <c r="AA447" s="3"/>
      <c r="AB447" s="3"/>
      <c r="AE447" s="42">
        <f t="shared" si="49"/>
        <v>819764</v>
      </c>
      <c r="AF447" s="42">
        <f t="shared" si="50"/>
        <v>762601.43000000075</v>
      </c>
      <c r="AG447" s="42" t="str">
        <f t="shared" si="51"/>
        <v/>
      </c>
      <c r="AH447" s="42" t="str">
        <f t="shared" si="52"/>
        <v/>
      </c>
      <c r="AI447" s="42" t="str">
        <f t="shared" si="53"/>
        <v/>
      </c>
      <c r="AJ447" s="42" t="str">
        <f t="shared" si="54"/>
        <v/>
      </c>
      <c r="AK447" s="42" t="str">
        <f t="shared" si="55"/>
        <v/>
      </c>
      <c r="AO447" s="86">
        <f ca="1"/>
        <v>37949.958333333336</v>
      </c>
      <c r="AP447" s="87">
        <f ca="1"/>
        <v>1531.89</v>
      </c>
      <c r="AQ447" s="87">
        <f ca="1"/>
        <v>1532.03</v>
      </c>
      <c r="AR447" s="88">
        <f ca="1"/>
        <v>37949.958333333336</v>
      </c>
      <c r="AS447" s="87">
        <f ca="1"/>
        <v>788</v>
      </c>
      <c r="AT447" s="87">
        <f ca="1"/>
        <v>1006.57</v>
      </c>
    </row>
    <row r="448" spans="13:46" x14ac:dyDescent="0.25">
      <c r="M448" s="42">
        <v>444</v>
      </c>
      <c r="N448" s="3" t="s">
        <v>504</v>
      </c>
      <c r="O448" s="49">
        <f t="shared" si="48"/>
        <v>37949.958333333336</v>
      </c>
      <c r="P448" s="42">
        <v>1531.89</v>
      </c>
      <c r="Q448" s="42">
        <v>788</v>
      </c>
      <c r="R448" s="42">
        <v>1532.03</v>
      </c>
      <c r="S448" s="42">
        <v>1006.57</v>
      </c>
      <c r="T448" s="42"/>
      <c r="U448" s="42"/>
      <c r="V448" s="3"/>
      <c r="W448" s="3"/>
      <c r="X448" s="3"/>
      <c r="Y448" s="3"/>
      <c r="Z448" s="3"/>
      <c r="AA448" s="3"/>
      <c r="AB448" s="3"/>
      <c r="AE448" s="42">
        <f t="shared" si="49"/>
        <v>820552</v>
      </c>
      <c r="AF448" s="42">
        <f t="shared" si="50"/>
        <v>763608.0000000007</v>
      </c>
      <c r="AG448" s="42" t="str">
        <f t="shared" si="51"/>
        <v/>
      </c>
      <c r="AH448" s="42" t="str">
        <f t="shared" si="52"/>
        <v/>
      </c>
      <c r="AI448" s="42" t="str">
        <f t="shared" si="53"/>
        <v/>
      </c>
      <c r="AJ448" s="42" t="str">
        <f t="shared" si="54"/>
        <v/>
      </c>
      <c r="AK448" s="42" t="str">
        <f t="shared" si="55"/>
        <v/>
      </c>
      <c r="AO448" s="86">
        <f ca="1"/>
        <v>37950</v>
      </c>
      <c r="AP448" s="87">
        <f ca="1"/>
        <v>1531.88</v>
      </c>
      <c r="AQ448" s="87">
        <f ca="1"/>
        <v>1532.01</v>
      </c>
      <c r="AR448" s="88">
        <f ca="1"/>
        <v>37950</v>
      </c>
      <c r="AS448" s="87">
        <f ca="1"/>
        <v>784</v>
      </c>
      <c r="AT448" s="87">
        <f ca="1"/>
        <v>993.54</v>
      </c>
    </row>
    <row r="449" spans="13:46" x14ac:dyDescent="0.25">
      <c r="M449" s="42">
        <v>445</v>
      </c>
      <c r="N449" s="3" t="s">
        <v>505</v>
      </c>
      <c r="O449" s="49">
        <f t="shared" si="48"/>
        <v>37950</v>
      </c>
      <c r="P449" s="42">
        <v>1531.88</v>
      </c>
      <c r="Q449" s="42">
        <v>784</v>
      </c>
      <c r="R449" s="42">
        <v>1532.01</v>
      </c>
      <c r="S449" s="42">
        <v>993.54</v>
      </c>
      <c r="T449" s="42"/>
      <c r="U449" s="42"/>
      <c r="V449" s="3"/>
      <c r="W449" s="3"/>
      <c r="X449" s="3"/>
      <c r="Y449" s="3"/>
      <c r="Z449" s="3"/>
      <c r="AA449" s="3"/>
      <c r="AB449" s="3"/>
      <c r="AE449" s="42">
        <f t="shared" si="49"/>
        <v>821336</v>
      </c>
      <c r="AF449" s="42">
        <f t="shared" si="50"/>
        <v>764601.54000000074</v>
      </c>
      <c r="AG449" s="42" t="str">
        <f t="shared" si="51"/>
        <v/>
      </c>
      <c r="AH449" s="42" t="str">
        <f t="shared" si="52"/>
        <v/>
      </c>
      <c r="AI449" s="42" t="str">
        <f t="shared" si="53"/>
        <v/>
      </c>
      <c r="AJ449" s="42" t="str">
        <f t="shared" si="54"/>
        <v/>
      </c>
      <c r="AK449" s="42" t="str">
        <f t="shared" si="55"/>
        <v/>
      </c>
      <c r="AO449" s="86">
        <f ca="1"/>
        <v>37950.041666666664</v>
      </c>
      <c r="AP449" s="87">
        <f ca="1"/>
        <v>1531.87</v>
      </c>
      <c r="AQ449" s="87">
        <f ca="1"/>
        <v>1531.98</v>
      </c>
      <c r="AR449" s="88">
        <f ca="1"/>
        <v>37950.041666666664</v>
      </c>
      <c r="AS449" s="87">
        <f ca="1"/>
        <v>779</v>
      </c>
      <c r="AT449" s="87">
        <f ca="1"/>
        <v>979.25</v>
      </c>
    </row>
    <row r="450" spans="13:46" x14ac:dyDescent="0.25">
      <c r="M450" s="42">
        <v>446</v>
      </c>
      <c r="N450" s="3" t="s">
        <v>506</v>
      </c>
      <c r="O450" s="49">
        <f t="shared" si="48"/>
        <v>37950.041666666664</v>
      </c>
      <c r="P450" s="42">
        <v>1531.87</v>
      </c>
      <c r="Q450" s="42">
        <v>779</v>
      </c>
      <c r="R450" s="42">
        <v>1531.98</v>
      </c>
      <c r="S450" s="42">
        <v>979.25</v>
      </c>
      <c r="T450" s="42"/>
      <c r="U450" s="42"/>
      <c r="V450" s="3"/>
      <c r="W450" s="3"/>
      <c r="X450" s="3"/>
      <c r="Y450" s="3"/>
      <c r="Z450" s="3"/>
      <c r="AA450" s="3"/>
      <c r="AB450" s="3"/>
      <c r="AE450" s="42">
        <f t="shared" si="49"/>
        <v>822115</v>
      </c>
      <c r="AF450" s="42">
        <f t="shared" si="50"/>
        <v>765580.79000000074</v>
      </c>
      <c r="AG450" s="42" t="str">
        <f t="shared" si="51"/>
        <v/>
      </c>
      <c r="AH450" s="42" t="str">
        <f t="shared" si="52"/>
        <v/>
      </c>
      <c r="AI450" s="42" t="str">
        <f t="shared" si="53"/>
        <v/>
      </c>
      <c r="AJ450" s="42" t="str">
        <f t="shared" si="54"/>
        <v/>
      </c>
      <c r="AK450" s="42" t="str">
        <f t="shared" si="55"/>
        <v/>
      </c>
      <c r="AO450" s="86">
        <f ca="1"/>
        <v>37950.083333333336</v>
      </c>
      <c r="AP450" s="87">
        <f ca="1"/>
        <v>1531.86</v>
      </c>
      <c r="AQ450" s="87">
        <f ca="1"/>
        <v>1531.99</v>
      </c>
      <c r="AR450" s="88">
        <f ca="1"/>
        <v>37950.083333333336</v>
      </c>
      <c r="AS450" s="87">
        <f ca="1"/>
        <v>775</v>
      </c>
      <c r="AT450" s="87">
        <f ca="1"/>
        <v>980.51</v>
      </c>
    </row>
    <row r="451" spans="13:46" x14ac:dyDescent="0.25">
      <c r="M451" s="42">
        <v>447</v>
      </c>
      <c r="N451" s="3" t="s">
        <v>507</v>
      </c>
      <c r="O451" s="49">
        <f t="shared" si="48"/>
        <v>37950.083333333336</v>
      </c>
      <c r="P451" s="42">
        <v>1531.86</v>
      </c>
      <c r="Q451" s="42">
        <v>775</v>
      </c>
      <c r="R451" s="42">
        <v>1531.99</v>
      </c>
      <c r="S451" s="42">
        <v>980.51</v>
      </c>
      <c r="T451" s="42"/>
      <c r="U451" s="42"/>
      <c r="V451" s="3"/>
      <c r="W451" s="3"/>
      <c r="X451" s="3"/>
      <c r="Y451" s="3"/>
      <c r="Z451" s="3"/>
      <c r="AA451" s="3"/>
      <c r="AB451" s="3"/>
      <c r="AE451" s="42">
        <f t="shared" si="49"/>
        <v>822890</v>
      </c>
      <c r="AF451" s="42">
        <f t="shared" si="50"/>
        <v>766561.30000000075</v>
      </c>
      <c r="AG451" s="42" t="str">
        <f t="shared" si="51"/>
        <v/>
      </c>
      <c r="AH451" s="42" t="str">
        <f t="shared" si="52"/>
        <v/>
      </c>
      <c r="AI451" s="42" t="str">
        <f t="shared" si="53"/>
        <v/>
      </c>
      <c r="AJ451" s="42" t="str">
        <f t="shared" si="54"/>
        <v/>
      </c>
      <c r="AK451" s="42" t="str">
        <f t="shared" si="55"/>
        <v/>
      </c>
      <c r="AO451" s="86">
        <f ca="1"/>
        <v>37950.125</v>
      </c>
      <c r="AP451" s="87">
        <f ca="1"/>
        <v>1531.84</v>
      </c>
      <c r="AQ451" s="87">
        <f ca="1"/>
        <v>1531.96</v>
      </c>
      <c r="AR451" s="88">
        <f ca="1"/>
        <v>37950.125</v>
      </c>
      <c r="AS451" s="87">
        <f ca="1"/>
        <v>766</v>
      </c>
      <c r="AT451" s="87">
        <f ca="1"/>
        <v>966.43</v>
      </c>
    </row>
    <row r="452" spans="13:46" x14ac:dyDescent="0.25">
      <c r="M452" s="42">
        <v>448</v>
      </c>
      <c r="N452" s="3" t="s">
        <v>508</v>
      </c>
      <c r="O452" s="49">
        <f t="shared" si="48"/>
        <v>37950.125</v>
      </c>
      <c r="P452" s="42">
        <v>1531.84</v>
      </c>
      <c r="Q452" s="42">
        <v>766</v>
      </c>
      <c r="R452" s="42">
        <v>1531.96</v>
      </c>
      <c r="S452" s="42">
        <v>966.43</v>
      </c>
      <c r="T452" s="42"/>
      <c r="U452" s="42"/>
      <c r="V452" s="3"/>
      <c r="W452" s="3"/>
      <c r="X452" s="3"/>
      <c r="Y452" s="3"/>
      <c r="Z452" s="3"/>
      <c r="AA452" s="3"/>
      <c r="AB452" s="3"/>
      <c r="AE452" s="42">
        <f t="shared" si="49"/>
        <v>823656</v>
      </c>
      <c r="AF452" s="42">
        <f t="shared" si="50"/>
        <v>767527.7300000008</v>
      </c>
      <c r="AG452" s="42" t="str">
        <f t="shared" si="51"/>
        <v/>
      </c>
      <c r="AH452" s="42" t="str">
        <f t="shared" si="52"/>
        <v/>
      </c>
      <c r="AI452" s="42" t="str">
        <f t="shared" si="53"/>
        <v/>
      </c>
      <c r="AJ452" s="42" t="str">
        <f t="shared" si="54"/>
        <v/>
      </c>
      <c r="AK452" s="42" t="str">
        <f t="shared" si="55"/>
        <v/>
      </c>
      <c r="AO452" s="86">
        <f ca="1"/>
        <v>37950.166666666664</v>
      </c>
      <c r="AP452" s="87">
        <f ca="1"/>
        <v>1531.84</v>
      </c>
      <c r="AQ452" s="87">
        <f ca="1"/>
        <v>1531.95</v>
      </c>
      <c r="AR452" s="88">
        <f ca="1"/>
        <v>37950.166666666664</v>
      </c>
      <c r="AS452" s="87">
        <f ca="1"/>
        <v>766</v>
      </c>
      <c r="AT452" s="87">
        <f ca="1"/>
        <v>961.36</v>
      </c>
    </row>
    <row r="453" spans="13:46" x14ac:dyDescent="0.25">
      <c r="M453" s="42">
        <v>449</v>
      </c>
      <c r="N453" s="3" t="s">
        <v>509</v>
      </c>
      <c r="O453" s="49">
        <f t="shared" si="48"/>
        <v>37950.166666666664</v>
      </c>
      <c r="P453" s="42">
        <v>1531.84</v>
      </c>
      <c r="Q453" s="42">
        <v>766</v>
      </c>
      <c r="R453" s="42">
        <v>1531.95</v>
      </c>
      <c r="S453" s="42">
        <v>961.36</v>
      </c>
      <c r="T453" s="42"/>
      <c r="U453" s="42"/>
      <c r="V453" s="3"/>
      <c r="W453" s="3"/>
      <c r="X453" s="3"/>
      <c r="Y453" s="3"/>
      <c r="Z453" s="3"/>
      <c r="AA453" s="3"/>
      <c r="AB453" s="3"/>
      <c r="AE453" s="42">
        <f t="shared" si="49"/>
        <v>824422</v>
      </c>
      <c r="AF453" s="42">
        <f t="shared" si="50"/>
        <v>768489.09000000078</v>
      </c>
      <c r="AG453" s="42" t="str">
        <f t="shared" si="51"/>
        <v/>
      </c>
      <c r="AH453" s="42" t="str">
        <f t="shared" si="52"/>
        <v/>
      </c>
      <c r="AI453" s="42" t="str">
        <f t="shared" si="53"/>
        <v/>
      </c>
      <c r="AJ453" s="42" t="str">
        <f t="shared" si="54"/>
        <v/>
      </c>
      <c r="AK453" s="42" t="str">
        <f t="shared" si="55"/>
        <v/>
      </c>
      <c r="AO453" s="86">
        <f ca="1"/>
        <v>37950.208333333336</v>
      </c>
      <c r="AP453" s="87">
        <f ca="1"/>
        <v>1531.84</v>
      </c>
      <c r="AQ453" s="87">
        <f ca="1"/>
        <v>1531.94</v>
      </c>
      <c r="AR453" s="88">
        <f ca="1"/>
        <v>37950.208333333336</v>
      </c>
      <c r="AS453" s="87">
        <f ca="1"/>
        <v>766</v>
      </c>
      <c r="AT453" s="87">
        <f ca="1"/>
        <v>951.83</v>
      </c>
    </row>
    <row r="454" spans="13:46" x14ac:dyDescent="0.25">
      <c r="M454" s="42">
        <v>450</v>
      </c>
      <c r="N454" s="3" t="s">
        <v>510</v>
      </c>
      <c r="O454" s="49">
        <f t="shared" ref="O454:O517" si="56">IF(ISTEXT(N454),IF(MID(N454,11,2)="24",1+DATEVALUE(LEFT(N454,10))+TIMEVALUE(CONCATENATE(MID(N454,11,2),":",MID(N454,13,2))),DATEVALUE(LEFT(N454,10))+TIMEVALUE(CONCATENATE(MID(N454,11,2),":",MID(N454,13,2)))),"")</f>
        <v>37950.208333333336</v>
      </c>
      <c r="P454" s="42">
        <v>1531.84</v>
      </c>
      <c r="Q454" s="42">
        <v>766</v>
      </c>
      <c r="R454" s="42">
        <v>1531.94</v>
      </c>
      <c r="S454" s="42">
        <v>951.83</v>
      </c>
      <c r="T454" s="42"/>
      <c r="U454" s="42"/>
      <c r="V454" s="3"/>
      <c r="W454" s="3"/>
      <c r="X454" s="3"/>
      <c r="Y454" s="3"/>
      <c r="Z454" s="3"/>
      <c r="AA454" s="3"/>
      <c r="AB454" s="3"/>
      <c r="AE454" s="42">
        <f t="shared" si="49"/>
        <v>825188</v>
      </c>
      <c r="AF454" s="42">
        <f t="shared" si="50"/>
        <v>769440.92000000074</v>
      </c>
      <c r="AG454" s="42" t="str">
        <f t="shared" si="51"/>
        <v/>
      </c>
      <c r="AH454" s="42" t="str">
        <f t="shared" si="52"/>
        <v/>
      </c>
      <c r="AI454" s="42" t="str">
        <f t="shared" si="53"/>
        <v/>
      </c>
      <c r="AJ454" s="42" t="str">
        <f t="shared" si="54"/>
        <v/>
      </c>
      <c r="AK454" s="42" t="str">
        <f t="shared" si="55"/>
        <v/>
      </c>
      <c r="AO454" s="86">
        <f ca="1"/>
        <v>37950.25</v>
      </c>
      <c r="AP454" s="87">
        <f ca="1"/>
        <v>1531.84</v>
      </c>
      <c r="AQ454" s="87">
        <f ca="1"/>
        <v>1531.92</v>
      </c>
      <c r="AR454" s="88">
        <f ca="1"/>
        <v>37950.25</v>
      </c>
      <c r="AS454" s="87">
        <f ca="1"/>
        <v>766</v>
      </c>
      <c r="AT454" s="87">
        <f ca="1"/>
        <v>941.82</v>
      </c>
    </row>
    <row r="455" spans="13:46" x14ac:dyDescent="0.25">
      <c r="M455" s="42">
        <v>451</v>
      </c>
      <c r="N455" s="3" t="s">
        <v>511</v>
      </c>
      <c r="O455" s="49">
        <f t="shared" si="56"/>
        <v>37950.25</v>
      </c>
      <c r="P455" s="42">
        <v>1531.84</v>
      </c>
      <c r="Q455" s="42">
        <v>766</v>
      </c>
      <c r="R455" s="42">
        <v>1531.92</v>
      </c>
      <c r="S455" s="42">
        <v>941.82</v>
      </c>
      <c r="T455" s="42"/>
      <c r="U455" s="42"/>
      <c r="V455" s="3"/>
      <c r="W455" s="3"/>
      <c r="X455" s="3"/>
      <c r="Y455" s="3"/>
      <c r="Z455" s="3"/>
      <c r="AA455" s="3"/>
      <c r="AB455" s="3"/>
      <c r="AE455" s="42">
        <f t="shared" ref="AE455:AE518" si="57">IF(ISNUMBER(Q455),AE454+Q455,"")</f>
        <v>825954</v>
      </c>
      <c r="AF455" s="42">
        <f t="shared" ref="AF455:AF518" si="58">IF(ISNUMBER(S455),AF454+S455,"")</f>
        <v>770382.74000000069</v>
      </c>
      <c r="AG455" s="42" t="str">
        <f t="shared" ref="AG455:AG518" si="59">IF(ISNUMBER(U455),AG454+U455,"")</f>
        <v/>
      </c>
      <c r="AH455" s="42" t="str">
        <f t="shared" ref="AH455:AH518" si="60">IF(ISNUMBER(W455),AH454+W455,"")</f>
        <v/>
      </c>
      <c r="AI455" s="42" t="str">
        <f t="shared" ref="AI455:AI518" si="61">IF(ISNUMBER(Y455),AI454+Y455,"")</f>
        <v/>
      </c>
      <c r="AJ455" s="42" t="str">
        <f t="shared" ref="AJ455:AJ518" si="62">IF(ISNUMBER(AA455),AJ454+AA455,"")</f>
        <v/>
      </c>
      <c r="AK455" s="42" t="str">
        <f t="shared" ref="AK455:AK518" si="63">IF(ISNUMBER(AC455),AK454+AC455,"")</f>
        <v/>
      </c>
      <c r="AO455" s="86">
        <f ca="1"/>
        <v>37950.291666666664</v>
      </c>
      <c r="AP455" s="87">
        <f ca="1"/>
        <v>1531.83</v>
      </c>
      <c r="AQ455" s="87">
        <f ca="1"/>
        <v>1531.91</v>
      </c>
      <c r="AR455" s="88">
        <f ca="1"/>
        <v>37950.291666666664</v>
      </c>
      <c r="AS455" s="87">
        <f ca="1"/>
        <v>762</v>
      </c>
      <c r="AT455" s="87">
        <f ca="1"/>
        <v>935.01</v>
      </c>
    </row>
    <row r="456" spans="13:46" x14ac:dyDescent="0.25">
      <c r="M456" s="42">
        <v>452</v>
      </c>
      <c r="N456" s="3" t="s">
        <v>512</v>
      </c>
      <c r="O456" s="49">
        <f t="shared" si="56"/>
        <v>37950.291666666664</v>
      </c>
      <c r="P456" s="42">
        <v>1531.83</v>
      </c>
      <c r="Q456" s="42">
        <v>762</v>
      </c>
      <c r="R456" s="42">
        <v>1531.91</v>
      </c>
      <c r="S456" s="42">
        <v>935.01</v>
      </c>
      <c r="T456" s="42"/>
      <c r="U456" s="42"/>
      <c r="V456" s="3"/>
      <c r="W456" s="3"/>
      <c r="X456" s="3"/>
      <c r="Y456" s="3"/>
      <c r="Z456" s="3"/>
      <c r="AA456" s="3"/>
      <c r="AB456" s="3"/>
      <c r="AE456" s="42">
        <f t="shared" si="57"/>
        <v>826716</v>
      </c>
      <c r="AF456" s="42">
        <f t="shared" si="58"/>
        <v>771317.7500000007</v>
      </c>
      <c r="AG456" s="42" t="str">
        <f t="shared" si="59"/>
        <v/>
      </c>
      <c r="AH456" s="42" t="str">
        <f t="shared" si="60"/>
        <v/>
      </c>
      <c r="AI456" s="42" t="str">
        <f t="shared" si="61"/>
        <v/>
      </c>
      <c r="AJ456" s="42" t="str">
        <f t="shared" si="62"/>
        <v/>
      </c>
      <c r="AK456" s="42" t="str">
        <f t="shared" si="63"/>
        <v/>
      </c>
      <c r="AO456" s="86">
        <f ca="1"/>
        <v>37950.333333333336</v>
      </c>
      <c r="AP456" s="87">
        <f ca="1"/>
        <v>1531.81</v>
      </c>
      <c r="AQ456" s="87">
        <f ca="1"/>
        <v>1531.9</v>
      </c>
      <c r="AR456" s="88">
        <f ca="1"/>
        <v>37950.333333333336</v>
      </c>
      <c r="AS456" s="87">
        <f ca="1"/>
        <v>753</v>
      </c>
      <c r="AT456" s="87">
        <f ca="1"/>
        <v>930.04</v>
      </c>
    </row>
    <row r="457" spans="13:46" x14ac:dyDescent="0.25">
      <c r="M457" s="42">
        <v>453</v>
      </c>
      <c r="N457" s="3" t="s">
        <v>513</v>
      </c>
      <c r="O457" s="49">
        <f t="shared" si="56"/>
        <v>37950.333333333336</v>
      </c>
      <c r="P457" s="42">
        <v>1531.81</v>
      </c>
      <c r="Q457" s="42">
        <v>753</v>
      </c>
      <c r="R457" s="42">
        <v>1531.9</v>
      </c>
      <c r="S457" s="42">
        <v>930.04</v>
      </c>
      <c r="T457" s="42"/>
      <c r="U457" s="42"/>
      <c r="V457" s="3"/>
      <c r="W457" s="3"/>
      <c r="X457" s="3"/>
      <c r="Y457" s="3"/>
      <c r="Z457" s="3"/>
      <c r="AA457" s="3"/>
      <c r="AB457" s="3"/>
      <c r="AE457" s="42">
        <f t="shared" si="57"/>
        <v>827469</v>
      </c>
      <c r="AF457" s="42">
        <f t="shared" si="58"/>
        <v>772247.79000000074</v>
      </c>
      <c r="AG457" s="42" t="str">
        <f t="shared" si="59"/>
        <v/>
      </c>
      <c r="AH457" s="42" t="str">
        <f t="shared" si="60"/>
        <v/>
      </c>
      <c r="AI457" s="42" t="str">
        <f t="shared" si="61"/>
        <v/>
      </c>
      <c r="AJ457" s="42" t="str">
        <f t="shared" si="62"/>
        <v/>
      </c>
      <c r="AK457" s="42" t="str">
        <f t="shared" si="63"/>
        <v/>
      </c>
      <c r="AO457" s="86">
        <f ca="1"/>
        <v>37950.375</v>
      </c>
      <c r="AP457" s="87">
        <f ca="1"/>
        <v>1531.8</v>
      </c>
      <c r="AQ457" s="87">
        <f ca="1"/>
        <v>1531.88</v>
      </c>
      <c r="AR457" s="88">
        <f ca="1"/>
        <v>37950.375</v>
      </c>
      <c r="AS457" s="87">
        <f ca="1"/>
        <v>749</v>
      </c>
      <c r="AT457" s="87">
        <f ca="1"/>
        <v>921.09</v>
      </c>
    </row>
    <row r="458" spans="13:46" x14ac:dyDescent="0.25">
      <c r="M458" s="42">
        <v>454</v>
      </c>
      <c r="N458" s="3" t="s">
        <v>514</v>
      </c>
      <c r="O458" s="49">
        <f t="shared" si="56"/>
        <v>37950.375</v>
      </c>
      <c r="P458" s="42">
        <v>1531.8</v>
      </c>
      <c r="Q458" s="42">
        <v>749</v>
      </c>
      <c r="R458" s="42">
        <v>1531.88</v>
      </c>
      <c r="S458" s="42">
        <v>921.09</v>
      </c>
      <c r="T458" s="42"/>
      <c r="U458" s="42"/>
      <c r="V458" s="3"/>
      <c r="W458" s="3"/>
      <c r="X458" s="3"/>
      <c r="Y458" s="3"/>
      <c r="Z458" s="3"/>
      <c r="AA458" s="3"/>
      <c r="AB458" s="3"/>
      <c r="AE458" s="42">
        <f t="shared" si="57"/>
        <v>828218</v>
      </c>
      <c r="AF458" s="42">
        <f t="shared" si="58"/>
        <v>773168.8800000007</v>
      </c>
      <c r="AG458" s="42" t="str">
        <f t="shared" si="59"/>
        <v/>
      </c>
      <c r="AH458" s="42" t="str">
        <f t="shared" si="60"/>
        <v/>
      </c>
      <c r="AI458" s="42" t="str">
        <f t="shared" si="61"/>
        <v/>
      </c>
      <c r="AJ458" s="42" t="str">
        <f t="shared" si="62"/>
        <v/>
      </c>
      <c r="AK458" s="42" t="str">
        <f t="shared" si="63"/>
        <v/>
      </c>
      <c r="AO458" s="86">
        <f ca="1"/>
        <v>37950.416666666664</v>
      </c>
      <c r="AP458" s="87">
        <f ca="1"/>
        <v>1531.78</v>
      </c>
      <c r="AQ458" s="87">
        <f ca="1"/>
        <v>1531.87</v>
      </c>
      <c r="AR458" s="88">
        <f ca="1"/>
        <v>37950.416666666664</v>
      </c>
      <c r="AS458" s="87">
        <f ca="1"/>
        <v>740</v>
      </c>
      <c r="AT458" s="87">
        <f ca="1"/>
        <v>911.61</v>
      </c>
    </row>
    <row r="459" spans="13:46" x14ac:dyDescent="0.25">
      <c r="M459" s="42">
        <v>455</v>
      </c>
      <c r="N459" s="3" t="s">
        <v>515</v>
      </c>
      <c r="O459" s="49">
        <f t="shared" si="56"/>
        <v>37950.416666666664</v>
      </c>
      <c r="P459" s="42">
        <v>1531.78</v>
      </c>
      <c r="Q459" s="42">
        <v>740</v>
      </c>
      <c r="R459" s="42">
        <v>1531.87</v>
      </c>
      <c r="S459" s="42">
        <v>911.61</v>
      </c>
      <c r="T459" s="42"/>
      <c r="U459" s="42"/>
      <c r="V459" s="3"/>
      <c r="W459" s="3"/>
      <c r="X459" s="3"/>
      <c r="Y459" s="3"/>
      <c r="Z459" s="3"/>
      <c r="AA459" s="3"/>
      <c r="AB459" s="3"/>
      <c r="AE459" s="42">
        <f t="shared" si="57"/>
        <v>828958</v>
      </c>
      <c r="AF459" s="42">
        <f t="shared" si="58"/>
        <v>774080.49000000069</v>
      </c>
      <c r="AG459" s="42" t="str">
        <f t="shared" si="59"/>
        <v/>
      </c>
      <c r="AH459" s="42" t="str">
        <f t="shared" si="60"/>
        <v/>
      </c>
      <c r="AI459" s="42" t="str">
        <f t="shared" si="61"/>
        <v/>
      </c>
      <c r="AJ459" s="42" t="str">
        <f t="shared" si="62"/>
        <v/>
      </c>
      <c r="AK459" s="42" t="str">
        <f t="shared" si="63"/>
        <v/>
      </c>
      <c r="AO459" s="86">
        <f ca="1"/>
        <v>37950.458333333336</v>
      </c>
      <c r="AP459" s="87">
        <f ca="1"/>
        <v>1531.76</v>
      </c>
      <c r="AQ459" s="87">
        <f ca="1"/>
        <v>1531.85</v>
      </c>
      <c r="AR459" s="88">
        <f ca="1"/>
        <v>37950.458333333336</v>
      </c>
      <c r="AS459" s="87">
        <f ca="1"/>
        <v>731</v>
      </c>
      <c r="AT459" s="87">
        <f ca="1"/>
        <v>902.15</v>
      </c>
    </row>
    <row r="460" spans="13:46" x14ac:dyDescent="0.25">
      <c r="M460" s="42">
        <v>456</v>
      </c>
      <c r="N460" s="3" t="s">
        <v>516</v>
      </c>
      <c r="O460" s="49">
        <f t="shared" si="56"/>
        <v>37950.458333333336</v>
      </c>
      <c r="P460" s="42">
        <v>1531.76</v>
      </c>
      <c r="Q460" s="42">
        <v>731</v>
      </c>
      <c r="R460" s="42">
        <v>1531.85</v>
      </c>
      <c r="S460" s="42">
        <v>902.15</v>
      </c>
      <c r="T460" s="42"/>
      <c r="U460" s="42"/>
      <c r="V460" s="3"/>
      <c r="W460" s="3"/>
      <c r="X460" s="3"/>
      <c r="Y460" s="3"/>
      <c r="Z460" s="3"/>
      <c r="AA460" s="3"/>
      <c r="AB460" s="3"/>
      <c r="AE460" s="42">
        <f t="shared" si="57"/>
        <v>829689</v>
      </c>
      <c r="AF460" s="42">
        <f t="shared" si="58"/>
        <v>774982.64000000071</v>
      </c>
      <c r="AG460" s="42" t="str">
        <f t="shared" si="59"/>
        <v/>
      </c>
      <c r="AH460" s="42" t="str">
        <f t="shared" si="60"/>
        <v/>
      </c>
      <c r="AI460" s="42" t="str">
        <f t="shared" si="61"/>
        <v/>
      </c>
      <c r="AJ460" s="42" t="str">
        <f t="shared" si="62"/>
        <v/>
      </c>
      <c r="AK460" s="42" t="str">
        <f t="shared" si="63"/>
        <v/>
      </c>
      <c r="AO460" s="86">
        <f ca="1"/>
        <v>37950.5</v>
      </c>
      <c r="AP460" s="87">
        <f ca="1"/>
        <v>1531.74</v>
      </c>
      <c r="AQ460" s="87">
        <f ca="1"/>
        <v>1531.84</v>
      </c>
      <c r="AR460" s="88">
        <f ca="1"/>
        <v>37950.5</v>
      </c>
      <c r="AS460" s="87">
        <f ca="1"/>
        <v>723</v>
      </c>
      <c r="AT460" s="87">
        <f ca="1"/>
        <v>895.75</v>
      </c>
    </row>
    <row r="461" spans="13:46" x14ac:dyDescent="0.25">
      <c r="M461" s="42">
        <v>457</v>
      </c>
      <c r="N461" s="3" t="s">
        <v>517</v>
      </c>
      <c r="O461" s="49">
        <f t="shared" si="56"/>
        <v>37950.5</v>
      </c>
      <c r="P461" s="42">
        <v>1531.74</v>
      </c>
      <c r="Q461" s="42">
        <v>723</v>
      </c>
      <c r="R461" s="42">
        <v>1531.84</v>
      </c>
      <c r="S461" s="42">
        <v>895.75</v>
      </c>
      <c r="T461" s="42"/>
      <c r="U461" s="42"/>
      <c r="V461" s="3"/>
      <c r="W461" s="3"/>
      <c r="X461" s="3"/>
      <c r="Y461" s="3"/>
      <c r="Z461" s="3"/>
      <c r="AA461" s="3"/>
      <c r="AB461" s="3"/>
      <c r="AE461" s="42">
        <f t="shared" si="57"/>
        <v>830412</v>
      </c>
      <c r="AF461" s="42">
        <f t="shared" si="58"/>
        <v>775878.39000000071</v>
      </c>
      <c r="AG461" s="42" t="str">
        <f t="shared" si="59"/>
        <v/>
      </c>
      <c r="AH461" s="42" t="str">
        <f t="shared" si="60"/>
        <v/>
      </c>
      <c r="AI461" s="42" t="str">
        <f t="shared" si="61"/>
        <v/>
      </c>
      <c r="AJ461" s="42" t="str">
        <f t="shared" si="62"/>
        <v/>
      </c>
      <c r="AK461" s="42" t="str">
        <f t="shared" si="63"/>
        <v/>
      </c>
      <c r="AO461" s="86">
        <f ca="1"/>
        <v>37950.541666666664</v>
      </c>
      <c r="AP461" s="87">
        <f ca="1"/>
        <v>1531.72</v>
      </c>
      <c r="AQ461" s="87">
        <f ca="1"/>
        <v>1531.83</v>
      </c>
      <c r="AR461" s="88">
        <f ca="1"/>
        <v>37950.541666666664</v>
      </c>
      <c r="AS461" s="87">
        <f ca="1"/>
        <v>714</v>
      </c>
      <c r="AT461" s="87">
        <f ca="1"/>
        <v>890.45</v>
      </c>
    </row>
    <row r="462" spans="13:46" x14ac:dyDescent="0.25">
      <c r="M462" s="42">
        <v>458</v>
      </c>
      <c r="N462" s="3" t="s">
        <v>518</v>
      </c>
      <c r="O462" s="49">
        <f t="shared" si="56"/>
        <v>37950.541666666664</v>
      </c>
      <c r="P462" s="42">
        <v>1531.72</v>
      </c>
      <c r="Q462" s="42">
        <v>714</v>
      </c>
      <c r="R462" s="42">
        <v>1531.83</v>
      </c>
      <c r="S462" s="42">
        <v>890.45</v>
      </c>
      <c r="T462" s="42"/>
      <c r="U462" s="42"/>
      <c r="V462" s="3"/>
      <c r="W462" s="3"/>
      <c r="X462" s="3"/>
      <c r="Y462" s="3"/>
      <c r="Z462" s="3"/>
      <c r="AA462" s="3"/>
      <c r="AB462" s="3"/>
      <c r="AE462" s="42">
        <f t="shared" si="57"/>
        <v>831126</v>
      </c>
      <c r="AF462" s="42">
        <f t="shared" si="58"/>
        <v>776768.84000000067</v>
      </c>
      <c r="AG462" s="42" t="str">
        <f t="shared" si="59"/>
        <v/>
      </c>
      <c r="AH462" s="42" t="str">
        <f t="shared" si="60"/>
        <v/>
      </c>
      <c r="AI462" s="42" t="str">
        <f t="shared" si="61"/>
        <v/>
      </c>
      <c r="AJ462" s="42" t="str">
        <f t="shared" si="62"/>
        <v/>
      </c>
      <c r="AK462" s="42" t="str">
        <f t="shared" si="63"/>
        <v/>
      </c>
      <c r="AO462" s="86">
        <f ca="1"/>
        <v>37950.583333333336</v>
      </c>
      <c r="AP462" s="87">
        <f ca="1"/>
        <v>1531.71</v>
      </c>
      <c r="AQ462" s="87">
        <f ca="1"/>
        <v>1531.82</v>
      </c>
      <c r="AR462" s="88">
        <f ca="1"/>
        <v>37950.583333333336</v>
      </c>
      <c r="AS462" s="87">
        <f ca="1"/>
        <v>710</v>
      </c>
      <c r="AT462" s="87">
        <f ca="1"/>
        <v>883.73</v>
      </c>
    </row>
    <row r="463" spans="13:46" x14ac:dyDescent="0.25">
      <c r="M463" s="42">
        <v>459</v>
      </c>
      <c r="N463" s="3" t="s">
        <v>519</v>
      </c>
      <c r="O463" s="49">
        <f t="shared" si="56"/>
        <v>37950.583333333336</v>
      </c>
      <c r="P463" s="42">
        <v>1531.71</v>
      </c>
      <c r="Q463" s="42">
        <v>710</v>
      </c>
      <c r="R463" s="42">
        <v>1531.82</v>
      </c>
      <c r="S463" s="42">
        <v>883.73</v>
      </c>
      <c r="T463" s="42"/>
      <c r="U463" s="42"/>
      <c r="V463" s="3"/>
      <c r="W463" s="3"/>
      <c r="X463" s="3"/>
      <c r="Y463" s="3"/>
      <c r="Z463" s="3"/>
      <c r="AA463" s="3"/>
      <c r="AB463" s="3"/>
      <c r="AE463" s="42">
        <f t="shared" si="57"/>
        <v>831836</v>
      </c>
      <c r="AF463" s="42">
        <f t="shared" si="58"/>
        <v>777652.57000000065</v>
      </c>
      <c r="AG463" s="42" t="str">
        <f t="shared" si="59"/>
        <v/>
      </c>
      <c r="AH463" s="42" t="str">
        <f t="shared" si="60"/>
        <v/>
      </c>
      <c r="AI463" s="42" t="str">
        <f t="shared" si="61"/>
        <v/>
      </c>
      <c r="AJ463" s="42" t="str">
        <f t="shared" si="62"/>
        <v/>
      </c>
      <c r="AK463" s="42" t="str">
        <f t="shared" si="63"/>
        <v/>
      </c>
      <c r="AO463" s="86">
        <f ca="1"/>
        <v>37950.625</v>
      </c>
      <c r="AP463" s="87">
        <f ca="1"/>
        <v>1531.7</v>
      </c>
      <c r="AQ463" s="87">
        <f ca="1"/>
        <v>1531.81</v>
      </c>
      <c r="AR463" s="88">
        <f ca="1"/>
        <v>37950.625</v>
      </c>
      <c r="AS463" s="87">
        <f ca="1"/>
        <v>701</v>
      </c>
      <c r="AT463" s="87">
        <f ca="1"/>
        <v>878.82</v>
      </c>
    </row>
    <row r="464" spans="13:46" x14ac:dyDescent="0.25">
      <c r="M464" s="42">
        <v>460</v>
      </c>
      <c r="N464" s="3" t="s">
        <v>520</v>
      </c>
      <c r="O464" s="49">
        <f t="shared" si="56"/>
        <v>37950.625</v>
      </c>
      <c r="P464" s="42">
        <v>1531.7</v>
      </c>
      <c r="Q464" s="42">
        <v>701</v>
      </c>
      <c r="R464" s="42">
        <v>1531.81</v>
      </c>
      <c r="S464" s="42">
        <v>878.82</v>
      </c>
      <c r="T464" s="42"/>
      <c r="U464" s="42"/>
      <c r="V464" s="3"/>
      <c r="W464" s="3"/>
      <c r="X464" s="3"/>
      <c r="Y464" s="3"/>
      <c r="Z464" s="3"/>
      <c r="AA464" s="3"/>
      <c r="AB464" s="3"/>
      <c r="AE464" s="42">
        <f t="shared" si="57"/>
        <v>832537</v>
      </c>
      <c r="AF464" s="42">
        <f t="shared" si="58"/>
        <v>778531.3900000006</v>
      </c>
      <c r="AG464" s="42" t="str">
        <f t="shared" si="59"/>
        <v/>
      </c>
      <c r="AH464" s="42" t="str">
        <f t="shared" si="60"/>
        <v/>
      </c>
      <c r="AI464" s="42" t="str">
        <f t="shared" si="61"/>
        <v/>
      </c>
      <c r="AJ464" s="42" t="str">
        <f t="shared" si="62"/>
        <v/>
      </c>
      <c r="AK464" s="42" t="str">
        <f t="shared" si="63"/>
        <v/>
      </c>
      <c r="AO464" s="86">
        <f ca="1"/>
        <v>37950.666666666664</v>
      </c>
      <c r="AP464" s="87">
        <f ca="1"/>
        <v>1531.68</v>
      </c>
      <c r="AQ464" s="87">
        <f ca="1"/>
        <v>1531.8</v>
      </c>
      <c r="AR464" s="88">
        <f ca="1"/>
        <v>37950.666666666664</v>
      </c>
      <c r="AS464" s="87">
        <f ca="1"/>
        <v>693</v>
      </c>
      <c r="AT464" s="87">
        <f ca="1"/>
        <v>871.77</v>
      </c>
    </row>
    <row r="465" spans="13:46" x14ac:dyDescent="0.25">
      <c r="M465" s="42">
        <v>461</v>
      </c>
      <c r="N465" s="3" t="s">
        <v>521</v>
      </c>
      <c r="O465" s="49">
        <f t="shared" si="56"/>
        <v>37950.666666666664</v>
      </c>
      <c r="P465" s="42">
        <v>1531.68</v>
      </c>
      <c r="Q465" s="42">
        <v>693</v>
      </c>
      <c r="R465" s="42">
        <v>1531.8</v>
      </c>
      <c r="S465" s="42">
        <v>871.77</v>
      </c>
      <c r="T465" s="42"/>
      <c r="U465" s="42"/>
      <c r="V465" s="3"/>
      <c r="W465" s="3"/>
      <c r="X465" s="3"/>
      <c r="Y465" s="3"/>
      <c r="Z465" s="3"/>
      <c r="AA465" s="3"/>
      <c r="AB465" s="3"/>
      <c r="AE465" s="42">
        <f t="shared" si="57"/>
        <v>833230</v>
      </c>
      <c r="AF465" s="42">
        <f t="shared" si="58"/>
        <v>779403.16000000061</v>
      </c>
      <c r="AG465" s="42" t="str">
        <f t="shared" si="59"/>
        <v/>
      </c>
      <c r="AH465" s="42" t="str">
        <f t="shared" si="60"/>
        <v/>
      </c>
      <c r="AI465" s="42" t="str">
        <f t="shared" si="61"/>
        <v/>
      </c>
      <c r="AJ465" s="42" t="str">
        <f t="shared" si="62"/>
        <v/>
      </c>
      <c r="AK465" s="42" t="str">
        <f t="shared" si="63"/>
        <v/>
      </c>
      <c r="AO465" s="86">
        <f ca="1"/>
        <v>37950.708333333336</v>
      </c>
      <c r="AP465" s="87">
        <f ca="1"/>
        <v>1531.66</v>
      </c>
      <c r="AQ465" s="87">
        <f ca="1"/>
        <v>1531.78</v>
      </c>
      <c r="AR465" s="88">
        <f ca="1"/>
        <v>37950.708333333336</v>
      </c>
      <c r="AS465" s="87">
        <f ca="1"/>
        <v>688</v>
      </c>
      <c r="AT465" s="87">
        <f ca="1"/>
        <v>861.12</v>
      </c>
    </row>
    <row r="466" spans="13:46" x14ac:dyDescent="0.25">
      <c r="M466" s="42">
        <v>462</v>
      </c>
      <c r="N466" s="3" t="s">
        <v>522</v>
      </c>
      <c r="O466" s="49">
        <f t="shared" si="56"/>
        <v>37950.708333333336</v>
      </c>
      <c r="P466" s="42">
        <v>1531.66</v>
      </c>
      <c r="Q466" s="42">
        <v>688</v>
      </c>
      <c r="R466" s="42">
        <v>1531.78</v>
      </c>
      <c r="S466" s="42">
        <v>861.12</v>
      </c>
      <c r="T466" s="42"/>
      <c r="U466" s="42"/>
      <c r="V466" s="3"/>
      <c r="W466" s="3"/>
      <c r="X466" s="3"/>
      <c r="Y466" s="3"/>
      <c r="Z466" s="3"/>
      <c r="AA466" s="3"/>
      <c r="AB466" s="3"/>
      <c r="AE466" s="42">
        <f t="shared" si="57"/>
        <v>833918</v>
      </c>
      <c r="AF466" s="42">
        <f t="shared" si="58"/>
        <v>780264.28000000061</v>
      </c>
      <c r="AG466" s="42" t="str">
        <f t="shared" si="59"/>
        <v/>
      </c>
      <c r="AH466" s="42" t="str">
        <f t="shared" si="60"/>
        <v/>
      </c>
      <c r="AI466" s="42" t="str">
        <f t="shared" si="61"/>
        <v/>
      </c>
      <c r="AJ466" s="42" t="str">
        <f t="shared" si="62"/>
        <v/>
      </c>
      <c r="AK466" s="42" t="str">
        <f t="shared" si="63"/>
        <v/>
      </c>
      <c r="AO466" s="86">
        <f ca="1"/>
        <v>37950.75</v>
      </c>
      <c r="AP466" s="87">
        <f ca="1"/>
        <v>1531.64</v>
      </c>
      <c r="AQ466" s="87">
        <f ca="1"/>
        <v>1531.76</v>
      </c>
      <c r="AR466" s="88">
        <f ca="1"/>
        <v>37950.75</v>
      </c>
      <c r="AS466" s="87">
        <f ca="1"/>
        <v>680</v>
      </c>
      <c r="AT466" s="87">
        <f ca="1"/>
        <v>853.16</v>
      </c>
    </row>
    <row r="467" spans="13:46" x14ac:dyDescent="0.25">
      <c r="M467" s="42">
        <v>463</v>
      </c>
      <c r="N467" s="3" t="s">
        <v>523</v>
      </c>
      <c r="O467" s="49">
        <f t="shared" si="56"/>
        <v>37950.75</v>
      </c>
      <c r="P467" s="42">
        <v>1531.64</v>
      </c>
      <c r="Q467" s="42">
        <v>680</v>
      </c>
      <c r="R467" s="42">
        <v>1531.76</v>
      </c>
      <c r="S467" s="42">
        <v>853.16</v>
      </c>
      <c r="T467" s="42"/>
      <c r="U467" s="42"/>
      <c r="V467" s="3"/>
      <c r="W467" s="3"/>
      <c r="X467" s="3"/>
      <c r="Y467" s="3"/>
      <c r="Z467" s="3"/>
      <c r="AA467" s="3"/>
      <c r="AB467" s="3"/>
      <c r="AE467" s="42">
        <f t="shared" si="57"/>
        <v>834598</v>
      </c>
      <c r="AF467" s="42">
        <f t="shared" si="58"/>
        <v>781117.44000000064</v>
      </c>
      <c r="AG467" s="42" t="str">
        <f t="shared" si="59"/>
        <v/>
      </c>
      <c r="AH467" s="42" t="str">
        <f t="shared" si="60"/>
        <v/>
      </c>
      <c r="AI467" s="42" t="str">
        <f t="shared" si="61"/>
        <v/>
      </c>
      <c r="AJ467" s="42" t="str">
        <f t="shared" si="62"/>
        <v/>
      </c>
      <c r="AK467" s="42" t="str">
        <f t="shared" si="63"/>
        <v/>
      </c>
      <c r="AO467" s="86">
        <f ca="1"/>
        <v>37950.791666666664</v>
      </c>
      <c r="AP467" s="87">
        <f ca="1"/>
        <v>1531.64</v>
      </c>
      <c r="AQ467" s="87">
        <f ca="1"/>
        <v>1531.75</v>
      </c>
      <c r="AR467" s="88">
        <f ca="1"/>
        <v>37950.791666666664</v>
      </c>
      <c r="AS467" s="87">
        <f ca="1"/>
        <v>680</v>
      </c>
      <c r="AT467" s="87">
        <f ca="1"/>
        <v>846</v>
      </c>
    </row>
    <row r="468" spans="13:46" x14ac:dyDescent="0.25">
      <c r="M468" s="42">
        <v>464</v>
      </c>
      <c r="N468" s="3" t="s">
        <v>524</v>
      </c>
      <c r="O468" s="49">
        <f t="shared" si="56"/>
        <v>37950.791666666664</v>
      </c>
      <c r="P468" s="42">
        <v>1531.64</v>
      </c>
      <c r="Q468" s="42">
        <v>680</v>
      </c>
      <c r="R468" s="42">
        <v>1531.75</v>
      </c>
      <c r="S468" s="42">
        <v>846</v>
      </c>
      <c r="T468" s="42"/>
      <c r="U468" s="42"/>
      <c r="V468" s="3"/>
      <c r="W468" s="3"/>
      <c r="X468" s="3"/>
      <c r="Y468" s="3"/>
      <c r="Z468" s="3"/>
      <c r="AA468" s="3"/>
      <c r="AB468" s="3"/>
      <c r="AE468" s="42">
        <f t="shared" si="57"/>
        <v>835278</v>
      </c>
      <c r="AF468" s="42">
        <f t="shared" si="58"/>
        <v>781963.44000000064</v>
      </c>
      <c r="AG468" s="42" t="str">
        <f t="shared" si="59"/>
        <v/>
      </c>
      <c r="AH468" s="42" t="str">
        <f t="shared" si="60"/>
        <v/>
      </c>
      <c r="AI468" s="42" t="str">
        <f t="shared" si="61"/>
        <v/>
      </c>
      <c r="AJ468" s="42" t="str">
        <f t="shared" si="62"/>
        <v/>
      </c>
      <c r="AK468" s="42" t="str">
        <f t="shared" si="63"/>
        <v/>
      </c>
      <c r="AO468" s="86">
        <f ca="1"/>
        <v>37950.833333333336</v>
      </c>
      <c r="AP468" s="87">
        <f ca="1"/>
        <v>1531.63</v>
      </c>
      <c r="AQ468" s="87">
        <f ca="1"/>
        <v>1531.74</v>
      </c>
      <c r="AR468" s="88">
        <f ca="1"/>
        <v>37950.833333333336</v>
      </c>
      <c r="AS468" s="87">
        <f ca="1"/>
        <v>675</v>
      </c>
      <c r="AT468" s="87">
        <f ca="1"/>
        <v>838.25</v>
      </c>
    </row>
    <row r="469" spans="13:46" x14ac:dyDescent="0.25">
      <c r="M469" s="42">
        <v>465</v>
      </c>
      <c r="N469" s="3" t="s">
        <v>525</v>
      </c>
      <c r="O469" s="49">
        <f t="shared" si="56"/>
        <v>37950.833333333336</v>
      </c>
      <c r="P469" s="42">
        <v>1531.63</v>
      </c>
      <c r="Q469" s="42">
        <v>675</v>
      </c>
      <c r="R469" s="42">
        <v>1531.74</v>
      </c>
      <c r="S469" s="42">
        <v>838.25</v>
      </c>
      <c r="T469" s="42"/>
      <c r="U469" s="42"/>
      <c r="V469" s="3"/>
      <c r="W469" s="3"/>
      <c r="X469" s="3"/>
      <c r="Y469" s="3"/>
      <c r="Z469" s="3"/>
      <c r="AA469" s="3"/>
      <c r="AB469" s="3"/>
      <c r="AE469" s="42">
        <f t="shared" si="57"/>
        <v>835953</v>
      </c>
      <c r="AF469" s="42">
        <f t="shared" si="58"/>
        <v>782801.69000000064</v>
      </c>
      <c r="AG469" s="42" t="str">
        <f t="shared" si="59"/>
        <v/>
      </c>
      <c r="AH469" s="42" t="str">
        <f t="shared" si="60"/>
        <v/>
      </c>
      <c r="AI469" s="42" t="str">
        <f t="shared" si="61"/>
        <v/>
      </c>
      <c r="AJ469" s="42" t="str">
        <f t="shared" si="62"/>
        <v/>
      </c>
      <c r="AK469" s="42" t="str">
        <f t="shared" si="63"/>
        <v/>
      </c>
      <c r="AO469" s="86">
        <f ca="1"/>
        <v>37950.875</v>
      </c>
      <c r="AP469" s="87">
        <f ca="1"/>
        <v>1531.62</v>
      </c>
      <c r="AQ469" s="87">
        <f ca="1"/>
        <v>1531.72</v>
      </c>
      <c r="AR469" s="88">
        <f ca="1"/>
        <v>37950.875</v>
      </c>
      <c r="AS469" s="87">
        <f ca="1"/>
        <v>671</v>
      </c>
      <c r="AT469" s="87">
        <f ca="1"/>
        <v>828.35</v>
      </c>
    </row>
    <row r="470" spans="13:46" x14ac:dyDescent="0.25">
      <c r="M470" s="42">
        <v>466</v>
      </c>
      <c r="N470" s="3" t="s">
        <v>526</v>
      </c>
      <c r="O470" s="49">
        <f t="shared" si="56"/>
        <v>37950.875</v>
      </c>
      <c r="P470" s="42">
        <v>1531.62</v>
      </c>
      <c r="Q470" s="42">
        <v>671</v>
      </c>
      <c r="R470" s="42">
        <v>1531.72</v>
      </c>
      <c r="S470" s="42">
        <v>828.35</v>
      </c>
      <c r="T470" s="42"/>
      <c r="U470" s="42"/>
      <c r="V470" s="3"/>
      <c r="W470" s="3"/>
      <c r="X470" s="3"/>
      <c r="Y470" s="3"/>
      <c r="Z470" s="3"/>
      <c r="AA470" s="3"/>
      <c r="AB470" s="3"/>
      <c r="AE470" s="42">
        <f t="shared" si="57"/>
        <v>836624</v>
      </c>
      <c r="AF470" s="42">
        <f t="shared" si="58"/>
        <v>783630.04000000062</v>
      </c>
      <c r="AG470" s="42" t="str">
        <f t="shared" si="59"/>
        <v/>
      </c>
      <c r="AH470" s="42" t="str">
        <f t="shared" si="60"/>
        <v/>
      </c>
      <c r="AI470" s="42" t="str">
        <f t="shared" si="61"/>
        <v/>
      </c>
      <c r="AJ470" s="42" t="str">
        <f t="shared" si="62"/>
        <v/>
      </c>
      <c r="AK470" s="42" t="str">
        <f t="shared" si="63"/>
        <v/>
      </c>
      <c r="AO470" s="86">
        <f ca="1"/>
        <v>37950.916666666664</v>
      </c>
      <c r="AP470" s="87">
        <f ca="1"/>
        <v>1531.61</v>
      </c>
      <c r="AQ470" s="87">
        <f ca="1"/>
        <v>1531.71</v>
      </c>
      <c r="AR470" s="88">
        <f ca="1"/>
        <v>37950.916666666664</v>
      </c>
      <c r="AS470" s="87">
        <f ca="1"/>
        <v>667</v>
      </c>
      <c r="AT470" s="87">
        <f ca="1"/>
        <v>824.76</v>
      </c>
    </row>
    <row r="471" spans="13:46" x14ac:dyDescent="0.25">
      <c r="M471" s="42">
        <v>467</v>
      </c>
      <c r="N471" s="3" t="s">
        <v>527</v>
      </c>
      <c r="O471" s="49">
        <f t="shared" si="56"/>
        <v>37950.916666666664</v>
      </c>
      <c r="P471" s="42">
        <v>1531.61</v>
      </c>
      <c r="Q471" s="42">
        <v>667</v>
      </c>
      <c r="R471" s="42">
        <v>1531.71</v>
      </c>
      <c r="S471" s="42">
        <v>824.76</v>
      </c>
      <c r="T471" s="42"/>
      <c r="U471" s="42"/>
      <c r="V471" s="3"/>
      <c r="W471" s="3"/>
      <c r="X471" s="3"/>
      <c r="Y471" s="3"/>
      <c r="Z471" s="3"/>
      <c r="AA471" s="3"/>
      <c r="AB471" s="3"/>
      <c r="AE471" s="42">
        <f t="shared" si="57"/>
        <v>837291</v>
      </c>
      <c r="AF471" s="42">
        <f t="shared" si="58"/>
        <v>784454.80000000063</v>
      </c>
      <c r="AG471" s="42" t="str">
        <f t="shared" si="59"/>
        <v/>
      </c>
      <c r="AH471" s="42" t="str">
        <f t="shared" si="60"/>
        <v/>
      </c>
      <c r="AI471" s="42" t="str">
        <f t="shared" si="61"/>
        <v/>
      </c>
      <c r="AJ471" s="42" t="str">
        <f t="shared" si="62"/>
        <v/>
      </c>
      <c r="AK471" s="42" t="str">
        <f t="shared" si="63"/>
        <v/>
      </c>
      <c r="AO471" s="86">
        <f ca="1"/>
        <v>37950.958333333336</v>
      </c>
      <c r="AP471" s="87">
        <f ca="1"/>
        <v>1531.6</v>
      </c>
      <c r="AQ471" s="87">
        <f ca="1"/>
        <v>1531.7</v>
      </c>
      <c r="AR471" s="88">
        <f ca="1"/>
        <v>37950.958333333336</v>
      </c>
      <c r="AS471" s="87">
        <f ca="1"/>
        <v>663</v>
      </c>
      <c r="AT471" s="87">
        <f ca="1"/>
        <v>815.21</v>
      </c>
    </row>
    <row r="472" spans="13:46" x14ac:dyDescent="0.25">
      <c r="M472" s="42">
        <v>468</v>
      </c>
      <c r="N472" s="3" t="s">
        <v>528</v>
      </c>
      <c r="O472" s="49">
        <f t="shared" si="56"/>
        <v>37950.958333333336</v>
      </c>
      <c r="P472" s="42">
        <v>1531.6</v>
      </c>
      <c r="Q472" s="42">
        <v>663</v>
      </c>
      <c r="R472" s="42">
        <v>1531.7</v>
      </c>
      <c r="S472" s="42">
        <v>815.21</v>
      </c>
      <c r="T472" s="42"/>
      <c r="U472" s="42"/>
      <c r="V472" s="3"/>
      <c r="W472" s="3"/>
      <c r="X472" s="3"/>
      <c r="Y472" s="3"/>
      <c r="Z472" s="3"/>
      <c r="AA472" s="3"/>
      <c r="AB472" s="3"/>
      <c r="AE472" s="42">
        <f t="shared" si="57"/>
        <v>837954</v>
      </c>
      <c r="AF472" s="42">
        <f t="shared" si="58"/>
        <v>785270.01000000059</v>
      </c>
      <c r="AG472" s="42" t="str">
        <f t="shared" si="59"/>
        <v/>
      </c>
      <c r="AH472" s="42" t="str">
        <f t="shared" si="60"/>
        <v/>
      </c>
      <c r="AI472" s="42" t="str">
        <f t="shared" si="61"/>
        <v/>
      </c>
      <c r="AJ472" s="42" t="str">
        <f t="shared" si="62"/>
        <v/>
      </c>
      <c r="AK472" s="42" t="str">
        <f t="shared" si="63"/>
        <v/>
      </c>
      <c r="AO472" s="86">
        <f ca="1"/>
        <v>37951</v>
      </c>
      <c r="AP472" s="87">
        <f ca="1"/>
        <v>1531.58</v>
      </c>
      <c r="AQ472" s="87">
        <f ca="1"/>
        <v>1531.69</v>
      </c>
      <c r="AR472" s="88">
        <f ca="1"/>
        <v>37951</v>
      </c>
      <c r="AS472" s="87">
        <f ca="1"/>
        <v>654</v>
      </c>
      <c r="AT472" s="87">
        <f ca="1"/>
        <v>810.36</v>
      </c>
    </row>
    <row r="473" spans="13:46" x14ac:dyDescent="0.25">
      <c r="M473" s="42">
        <v>469</v>
      </c>
      <c r="N473" s="3" t="s">
        <v>529</v>
      </c>
      <c r="O473" s="49">
        <f t="shared" si="56"/>
        <v>37951</v>
      </c>
      <c r="P473" s="42">
        <v>1531.58</v>
      </c>
      <c r="Q473" s="42">
        <v>654</v>
      </c>
      <c r="R473" s="42">
        <v>1531.69</v>
      </c>
      <c r="S473" s="42">
        <v>810.36</v>
      </c>
      <c r="T473" s="42"/>
      <c r="U473" s="42"/>
      <c r="V473" s="3"/>
      <c r="W473" s="3"/>
      <c r="X473" s="3"/>
      <c r="Y473" s="3"/>
      <c r="Z473" s="3"/>
      <c r="AA473" s="3"/>
      <c r="AB473" s="3"/>
      <c r="AE473" s="42">
        <f t="shared" si="57"/>
        <v>838608</v>
      </c>
      <c r="AF473" s="42">
        <f t="shared" si="58"/>
        <v>786080.37000000058</v>
      </c>
      <c r="AG473" s="42" t="str">
        <f t="shared" si="59"/>
        <v/>
      </c>
      <c r="AH473" s="42" t="str">
        <f t="shared" si="60"/>
        <v/>
      </c>
      <c r="AI473" s="42" t="str">
        <f t="shared" si="61"/>
        <v/>
      </c>
      <c r="AJ473" s="42" t="str">
        <f t="shared" si="62"/>
        <v/>
      </c>
      <c r="AK473" s="42" t="str">
        <f t="shared" si="63"/>
        <v/>
      </c>
      <c r="AO473" s="86">
        <f ca="1"/>
        <v>37951.041666666664</v>
      </c>
      <c r="AP473" s="87">
        <f ca="1"/>
        <v>1531.56</v>
      </c>
      <c r="AQ473" s="87">
        <f ca="1"/>
        <v>1531.67</v>
      </c>
      <c r="AR473" s="88">
        <f ca="1"/>
        <v>37951.041666666664</v>
      </c>
      <c r="AS473" s="87">
        <f ca="1"/>
        <v>646</v>
      </c>
      <c r="AT473" s="87">
        <f ca="1"/>
        <v>803.69</v>
      </c>
    </row>
    <row r="474" spans="13:46" x14ac:dyDescent="0.25">
      <c r="M474" s="42">
        <v>470</v>
      </c>
      <c r="N474" s="3" t="s">
        <v>530</v>
      </c>
      <c r="O474" s="49">
        <f t="shared" si="56"/>
        <v>37951.041666666664</v>
      </c>
      <c r="P474" s="42">
        <v>1531.56</v>
      </c>
      <c r="Q474" s="42">
        <v>646</v>
      </c>
      <c r="R474" s="42">
        <v>1531.67</v>
      </c>
      <c r="S474" s="42">
        <v>803.69</v>
      </c>
      <c r="T474" s="42"/>
      <c r="U474" s="42"/>
      <c r="V474" s="3"/>
      <c r="W474" s="3"/>
      <c r="X474" s="3"/>
      <c r="Y474" s="3"/>
      <c r="Z474" s="3"/>
      <c r="AA474" s="3"/>
      <c r="AB474" s="3"/>
      <c r="AE474" s="42">
        <f t="shared" si="57"/>
        <v>839254</v>
      </c>
      <c r="AF474" s="42">
        <f t="shared" si="58"/>
        <v>786884.06000000052</v>
      </c>
      <c r="AG474" s="42" t="str">
        <f t="shared" si="59"/>
        <v/>
      </c>
      <c r="AH474" s="42" t="str">
        <f t="shared" si="60"/>
        <v/>
      </c>
      <c r="AI474" s="42" t="str">
        <f t="shared" si="61"/>
        <v/>
      </c>
      <c r="AJ474" s="42" t="str">
        <f t="shared" si="62"/>
        <v/>
      </c>
      <c r="AK474" s="42" t="str">
        <f t="shared" si="63"/>
        <v/>
      </c>
      <c r="AO474" s="86">
        <f ca="1"/>
        <v>37951.083333333336</v>
      </c>
      <c r="AP474" s="87">
        <f ca="1"/>
        <v>1531.56</v>
      </c>
      <c r="AQ474" s="87">
        <f ca="1"/>
        <v>1531.66</v>
      </c>
      <c r="AR474" s="88">
        <f ca="1"/>
        <v>37951.083333333336</v>
      </c>
      <c r="AS474" s="87">
        <f ca="1"/>
        <v>646</v>
      </c>
      <c r="AT474" s="87">
        <f ca="1"/>
        <v>797.28</v>
      </c>
    </row>
    <row r="475" spans="13:46" x14ac:dyDescent="0.25">
      <c r="M475" s="42">
        <v>471</v>
      </c>
      <c r="N475" s="3" t="s">
        <v>531</v>
      </c>
      <c r="O475" s="49">
        <f t="shared" si="56"/>
        <v>37951.083333333336</v>
      </c>
      <c r="P475" s="42">
        <v>1531.56</v>
      </c>
      <c r="Q475" s="42">
        <v>646</v>
      </c>
      <c r="R475" s="42">
        <v>1531.66</v>
      </c>
      <c r="S475" s="42">
        <v>797.28</v>
      </c>
      <c r="T475" s="42"/>
      <c r="U475" s="42"/>
      <c r="V475" s="3"/>
      <c r="W475" s="3"/>
      <c r="X475" s="3"/>
      <c r="Y475" s="3"/>
      <c r="Z475" s="3"/>
      <c r="AA475" s="3"/>
      <c r="AB475" s="3"/>
      <c r="AE475" s="42">
        <f t="shared" si="57"/>
        <v>839900</v>
      </c>
      <c r="AF475" s="42">
        <f t="shared" si="58"/>
        <v>787681.34000000055</v>
      </c>
      <c r="AG475" s="42" t="str">
        <f t="shared" si="59"/>
        <v/>
      </c>
      <c r="AH475" s="42" t="str">
        <f t="shared" si="60"/>
        <v/>
      </c>
      <c r="AI475" s="42" t="str">
        <f t="shared" si="61"/>
        <v/>
      </c>
      <c r="AJ475" s="42" t="str">
        <f t="shared" si="62"/>
        <v/>
      </c>
      <c r="AK475" s="42" t="str">
        <f t="shared" si="63"/>
        <v/>
      </c>
      <c r="AO475" s="86">
        <f ca="1"/>
        <v>37951.125</v>
      </c>
      <c r="AP475" s="87">
        <f ca="1"/>
        <v>1531.54</v>
      </c>
      <c r="AQ475" s="87">
        <f ca="1"/>
        <v>1531.66</v>
      </c>
      <c r="AR475" s="88">
        <f ca="1"/>
        <v>37951.125</v>
      </c>
      <c r="AS475" s="87">
        <f ca="1"/>
        <v>638</v>
      </c>
      <c r="AT475" s="87">
        <f ca="1"/>
        <v>793.51</v>
      </c>
    </row>
    <row r="476" spans="13:46" x14ac:dyDescent="0.25">
      <c r="M476" s="42">
        <v>472</v>
      </c>
      <c r="N476" s="3" t="s">
        <v>532</v>
      </c>
      <c r="O476" s="49">
        <f t="shared" si="56"/>
        <v>37951.125</v>
      </c>
      <c r="P476" s="42">
        <v>1531.54</v>
      </c>
      <c r="Q476" s="42">
        <v>638</v>
      </c>
      <c r="R476" s="42">
        <v>1531.66</v>
      </c>
      <c r="S476" s="42">
        <v>793.51</v>
      </c>
      <c r="T476" s="42"/>
      <c r="U476" s="42"/>
      <c r="V476" s="3"/>
      <c r="W476" s="3"/>
      <c r="X476" s="3"/>
      <c r="Y476" s="3"/>
      <c r="Z476" s="3"/>
      <c r="AA476" s="3"/>
      <c r="AB476" s="3"/>
      <c r="AE476" s="42">
        <f t="shared" si="57"/>
        <v>840538</v>
      </c>
      <c r="AF476" s="42">
        <f t="shared" si="58"/>
        <v>788474.85000000056</v>
      </c>
      <c r="AG476" s="42" t="str">
        <f t="shared" si="59"/>
        <v/>
      </c>
      <c r="AH476" s="42" t="str">
        <f t="shared" si="60"/>
        <v/>
      </c>
      <c r="AI476" s="42" t="str">
        <f t="shared" si="61"/>
        <v/>
      </c>
      <c r="AJ476" s="42" t="str">
        <f t="shared" si="62"/>
        <v/>
      </c>
      <c r="AK476" s="42" t="str">
        <f t="shared" si="63"/>
        <v/>
      </c>
      <c r="AO476" s="86">
        <f ca="1"/>
        <v>37951.166666666664</v>
      </c>
      <c r="AP476" s="87">
        <f ca="1"/>
        <v>1531.52</v>
      </c>
      <c r="AQ476" s="87">
        <f ca="1"/>
        <v>1531.65</v>
      </c>
      <c r="AR476" s="88">
        <f ca="1"/>
        <v>37951.166666666664</v>
      </c>
      <c r="AS476" s="87">
        <f ca="1"/>
        <v>630</v>
      </c>
      <c r="AT476" s="87">
        <f ca="1"/>
        <v>789.21</v>
      </c>
    </row>
    <row r="477" spans="13:46" x14ac:dyDescent="0.25">
      <c r="M477" s="42">
        <v>473</v>
      </c>
      <c r="N477" s="3" t="s">
        <v>533</v>
      </c>
      <c r="O477" s="49">
        <f t="shared" si="56"/>
        <v>37951.166666666664</v>
      </c>
      <c r="P477" s="42">
        <v>1531.52</v>
      </c>
      <c r="Q477" s="42">
        <v>630</v>
      </c>
      <c r="R477" s="42">
        <v>1531.65</v>
      </c>
      <c r="S477" s="42">
        <v>789.21</v>
      </c>
      <c r="T477" s="42"/>
      <c r="U477" s="42"/>
      <c r="V477" s="3"/>
      <c r="W477" s="3"/>
      <c r="X477" s="3"/>
      <c r="Y477" s="3"/>
      <c r="Z477" s="3"/>
      <c r="AA477" s="3"/>
      <c r="AB477" s="3"/>
      <c r="AE477" s="42">
        <f t="shared" si="57"/>
        <v>841168</v>
      </c>
      <c r="AF477" s="42">
        <f t="shared" si="58"/>
        <v>789264.06000000052</v>
      </c>
      <c r="AG477" s="42" t="str">
        <f t="shared" si="59"/>
        <v/>
      </c>
      <c r="AH477" s="42" t="str">
        <f t="shared" si="60"/>
        <v/>
      </c>
      <c r="AI477" s="42" t="str">
        <f t="shared" si="61"/>
        <v/>
      </c>
      <c r="AJ477" s="42" t="str">
        <f t="shared" si="62"/>
        <v/>
      </c>
      <c r="AK477" s="42" t="str">
        <f t="shared" si="63"/>
        <v/>
      </c>
      <c r="AO477" s="86">
        <f ca="1"/>
        <v>37951.208333333336</v>
      </c>
      <c r="AP477" s="87">
        <f ca="1"/>
        <v>1531.5</v>
      </c>
      <c r="AQ477" s="87">
        <f ca="1"/>
        <v>1531.64</v>
      </c>
      <c r="AR477" s="88">
        <f ca="1"/>
        <v>37951.208333333336</v>
      </c>
      <c r="AS477" s="87">
        <f ca="1"/>
        <v>621</v>
      </c>
      <c r="AT477" s="87">
        <f ca="1"/>
        <v>782.36</v>
      </c>
    </row>
    <row r="478" spans="13:46" x14ac:dyDescent="0.25">
      <c r="M478" s="42">
        <v>474</v>
      </c>
      <c r="N478" s="3" t="s">
        <v>534</v>
      </c>
      <c r="O478" s="49">
        <f t="shared" si="56"/>
        <v>37951.208333333336</v>
      </c>
      <c r="P478" s="42">
        <v>1531.5</v>
      </c>
      <c r="Q478" s="42">
        <v>621</v>
      </c>
      <c r="R478" s="42">
        <v>1531.64</v>
      </c>
      <c r="S478" s="42">
        <v>782.36</v>
      </c>
      <c r="T478" s="42"/>
      <c r="U478" s="42"/>
      <c r="V478" s="3"/>
      <c r="W478" s="3"/>
      <c r="X478" s="3"/>
      <c r="Y478" s="3"/>
      <c r="Z478" s="3"/>
      <c r="AA478" s="3"/>
      <c r="AB478" s="3"/>
      <c r="AE478" s="42">
        <f t="shared" si="57"/>
        <v>841789</v>
      </c>
      <c r="AF478" s="42">
        <f t="shared" si="58"/>
        <v>790046.42000000051</v>
      </c>
      <c r="AG478" s="42" t="str">
        <f t="shared" si="59"/>
        <v/>
      </c>
      <c r="AH478" s="42" t="str">
        <f t="shared" si="60"/>
        <v/>
      </c>
      <c r="AI478" s="42" t="str">
        <f t="shared" si="61"/>
        <v/>
      </c>
      <c r="AJ478" s="42" t="str">
        <f t="shared" si="62"/>
        <v/>
      </c>
      <c r="AK478" s="42" t="str">
        <f t="shared" si="63"/>
        <v/>
      </c>
      <c r="AO478" s="86">
        <f ca="1"/>
        <v>37951.25</v>
      </c>
      <c r="AP478" s="87">
        <f ca="1"/>
        <v>1531.49</v>
      </c>
      <c r="AQ478" s="87">
        <f ca="1"/>
        <v>1531.62</v>
      </c>
      <c r="AR478" s="88">
        <f ca="1"/>
        <v>37951.25</v>
      </c>
      <c r="AS478" s="87">
        <f ca="1"/>
        <v>617</v>
      </c>
      <c r="AT478" s="87">
        <f ca="1"/>
        <v>774.35</v>
      </c>
    </row>
    <row r="479" spans="13:46" x14ac:dyDescent="0.25">
      <c r="M479" s="42">
        <v>475</v>
      </c>
      <c r="N479" s="3" t="s">
        <v>535</v>
      </c>
      <c r="O479" s="49">
        <f t="shared" si="56"/>
        <v>37951.25</v>
      </c>
      <c r="P479" s="42">
        <v>1531.49</v>
      </c>
      <c r="Q479" s="42">
        <v>617</v>
      </c>
      <c r="R479" s="42">
        <v>1531.62</v>
      </c>
      <c r="S479" s="42">
        <v>774.35</v>
      </c>
      <c r="T479" s="42"/>
      <c r="U479" s="42"/>
      <c r="V479" s="3"/>
      <c r="W479" s="3"/>
      <c r="X479" s="3"/>
      <c r="Y479" s="3"/>
      <c r="Z479" s="3"/>
      <c r="AA479" s="3"/>
      <c r="AB479" s="3"/>
      <c r="AE479" s="42">
        <f t="shared" si="57"/>
        <v>842406</v>
      </c>
      <c r="AF479" s="42">
        <f t="shared" si="58"/>
        <v>790820.77000000048</v>
      </c>
      <c r="AG479" s="42" t="str">
        <f t="shared" si="59"/>
        <v/>
      </c>
      <c r="AH479" s="42" t="str">
        <f t="shared" si="60"/>
        <v/>
      </c>
      <c r="AI479" s="42" t="str">
        <f t="shared" si="61"/>
        <v/>
      </c>
      <c r="AJ479" s="42" t="str">
        <f t="shared" si="62"/>
        <v/>
      </c>
      <c r="AK479" s="42" t="str">
        <f t="shared" si="63"/>
        <v/>
      </c>
      <c r="AO479" s="86">
        <f ca="1"/>
        <v>37951.291666666664</v>
      </c>
      <c r="AP479" s="87">
        <f ca="1"/>
        <v>1531.48</v>
      </c>
      <c r="AQ479" s="87">
        <f ca="1"/>
        <v>1531.61</v>
      </c>
      <c r="AR479" s="88">
        <f ca="1"/>
        <v>37951.291666666664</v>
      </c>
      <c r="AS479" s="87">
        <f ca="1"/>
        <v>613</v>
      </c>
      <c r="AT479" s="87">
        <f ca="1"/>
        <v>766.96</v>
      </c>
    </row>
    <row r="480" spans="13:46" x14ac:dyDescent="0.25">
      <c r="M480" s="42">
        <v>476</v>
      </c>
      <c r="N480" s="3" t="s">
        <v>536</v>
      </c>
      <c r="O480" s="49">
        <f t="shared" si="56"/>
        <v>37951.291666666664</v>
      </c>
      <c r="P480" s="42">
        <v>1531.48</v>
      </c>
      <c r="Q480" s="42">
        <v>613</v>
      </c>
      <c r="R480" s="42">
        <v>1531.61</v>
      </c>
      <c r="S480" s="42">
        <v>766.96</v>
      </c>
      <c r="T480" s="42"/>
      <c r="U480" s="42"/>
      <c r="V480" s="3"/>
      <c r="W480" s="3"/>
      <c r="X480" s="3"/>
      <c r="Y480" s="3"/>
      <c r="Z480" s="3"/>
      <c r="AA480" s="3"/>
      <c r="AB480" s="3"/>
      <c r="AE480" s="42">
        <f t="shared" si="57"/>
        <v>843019</v>
      </c>
      <c r="AF480" s="42">
        <f t="shared" si="58"/>
        <v>791587.73000000045</v>
      </c>
      <c r="AG480" s="42" t="str">
        <f t="shared" si="59"/>
        <v/>
      </c>
      <c r="AH480" s="42" t="str">
        <f t="shared" si="60"/>
        <v/>
      </c>
      <c r="AI480" s="42" t="str">
        <f t="shared" si="61"/>
        <v/>
      </c>
      <c r="AJ480" s="42" t="str">
        <f t="shared" si="62"/>
        <v/>
      </c>
      <c r="AK480" s="42" t="str">
        <f t="shared" si="63"/>
        <v/>
      </c>
      <c r="AO480" s="86">
        <f ca="1"/>
        <v>37951.333333333336</v>
      </c>
      <c r="AP480" s="87">
        <f ca="1"/>
        <v>1531.46</v>
      </c>
      <c r="AQ480" s="87">
        <f ca="1"/>
        <v>1531.59</v>
      </c>
      <c r="AR480" s="88">
        <f ca="1"/>
        <v>37951.333333333336</v>
      </c>
      <c r="AS480" s="87">
        <f ca="1"/>
        <v>605</v>
      </c>
      <c r="AT480" s="87">
        <f ca="1"/>
        <v>760.29</v>
      </c>
    </row>
    <row r="481" spans="13:46" x14ac:dyDescent="0.25">
      <c r="M481" s="42">
        <v>477</v>
      </c>
      <c r="N481" s="3" t="s">
        <v>537</v>
      </c>
      <c r="O481" s="49">
        <f t="shared" si="56"/>
        <v>37951.333333333336</v>
      </c>
      <c r="P481" s="42">
        <v>1531.46</v>
      </c>
      <c r="Q481" s="42">
        <v>605</v>
      </c>
      <c r="R481" s="42">
        <v>1531.59</v>
      </c>
      <c r="S481" s="42">
        <v>760.29</v>
      </c>
      <c r="T481" s="42"/>
      <c r="U481" s="42"/>
      <c r="V481" s="3"/>
      <c r="W481" s="3"/>
      <c r="X481" s="3"/>
      <c r="Y481" s="3"/>
      <c r="Z481" s="3"/>
      <c r="AA481" s="3"/>
      <c r="AB481" s="3"/>
      <c r="AE481" s="42">
        <f t="shared" si="57"/>
        <v>843624</v>
      </c>
      <c r="AF481" s="42">
        <f t="shared" si="58"/>
        <v>792348.02000000048</v>
      </c>
      <c r="AG481" s="42" t="str">
        <f t="shared" si="59"/>
        <v/>
      </c>
      <c r="AH481" s="42" t="str">
        <f t="shared" si="60"/>
        <v/>
      </c>
      <c r="AI481" s="42" t="str">
        <f t="shared" si="61"/>
        <v/>
      </c>
      <c r="AJ481" s="42" t="str">
        <f t="shared" si="62"/>
        <v/>
      </c>
      <c r="AK481" s="42" t="str">
        <f t="shared" si="63"/>
        <v/>
      </c>
      <c r="AO481" s="86">
        <f ca="1"/>
        <v>37951.375</v>
      </c>
      <c r="AP481" s="87">
        <f ca="1"/>
        <v>1531.44</v>
      </c>
      <c r="AQ481" s="87">
        <f ca="1"/>
        <v>1531.58</v>
      </c>
      <c r="AR481" s="88">
        <f ca="1"/>
        <v>37951.375</v>
      </c>
      <c r="AS481" s="87">
        <f ca="1"/>
        <v>597</v>
      </c>
      <c r="AT481" s="87">
        <f ca="1"/>
        <v>753.84</v>
      </c>
    </row>
    <row r="482" spans="13:46" x14ac:dyDescent="0.25">
      <c r="M482" s="42">
        <v>478</v>
      </c>
      <c r="N482" s="3" t="s">
        <v>538</v>
      </c>
      <c r="O482" s="49">
        <f t="shared" si="56"/>
        <v>37951.375</v>
      </c>
      <c r="P482" s="42">
        <v>1531.44</v>
      </c>
      <c r="Q482" s="42">
        <v>597</v>
      </c>
      <c r="R482" s="42">
        <v>1531.58</v>
      </c>
      <c r="S482" s="42">
        <v>753.84</v>
      </c>
      <c r="T482" s="42"/>
      <c r="U482" s="42"/>
      <c r="V482" s="3"/>
      <c r="W482" s="3"/>
      <c r="X482" s="3"/>
      <c r="Y482" s="3"/>
      <c r="Z482" s="3"/>
      <c r="AA482" s="3"/>
      <c r="AB482" s="3"/>
      <c r="AE482" s="42">
        <f t="shared" si="57"/>
        <v>844221</v>
      </c>
      <c r="AF482" s="42">
        <f t="shared" si="58"/>
        <v>793101.86000000045</v>
      </c>
      <c r="AG482" s="42" t="str">
        <f t="shared" si="59"/>
        <v/>
      </c>
      <c r="AH482" s="42" t="str">
        <f t="shared" si="60"/>
        <v/>
      </c>
      <c r="AI482" s="42" t="str">
        <f t="shared" si="61"/>
        <v/>
      </c>
      <c r="AJ482" s="42" t="str">
        <f t="shared" si="62"/>
        <v/>
      </c>
      <c r="AK482" s="42" t="str">
        <f t="shared" si="63"/>
        <v/>
      </c>
      <c r="AO482" s="86">
        <f ca="1"/>
        <v>37951.416666666664</v>
      </c>
      <c r="AP482" s="87">
        <f ca="1"/>
        <v>1531.43</v>
      </c>
      <c r="AQ482" s="87">
        <f ca="1"/>
        <v>1531.57</v>
      </c>
      <c r="AR482" s="88">
        <f ca="1"/>
        <v>37951.416666666664</v>
      </c>
      <c r="AS482" s="87">
        <f ca="1"/>
        <v>593</v>
      </c>
      <c r="AT482" s="87">
        <f ca="1"/>
        <v>747.5</v>
      </c>
    </row>
    <row r="483" spans="13:46" x14ac:dyDescent="0.25">
      <c r="M483" s="42">
        <v>479</v>
      </c>
      <c r="N483" s="3" t="s">
        <v>539</v>
      </c>
      <c r="O483" s="49">
        <f t="shared" si="56"/>
        <v>37951.416666666664</v>
      </c>
      <c r="P483" s="42">
        <v>1531.43</v>
      </c>
      <c r="Q483" s="42">
        <v>593</v>
      </c>
      <c r="R483" s="42">
        <v>1531.57</v>
      </c>
      <c r="S483" s="42">
        <v>747.5</v>
      </c>
      <c r="T483" s="42"/>
      <c r="U483" s="42"/>
      <c r="V483" s="3"/>
      <c r="W483" s="3"/>
      <c r="X483" s="3"/>
      <c r="Y483" s="3"/>
      <c r="Z483" s="3"/>
      <c r="AA483" s="3"/>
      <c r="AB483" s="3"/>
      <c r="AE483" s="42">
        <f t="shared" si="57"/>
        <v>844814</v>
      </c>
      <c r="AF483" s="42">
        <f t="shared" si="58"/>
        <v>793849.36000000045</v>
      </c>
      <c r="AG483" s="42" t="str">
        <f t="shared" si="59"/>
        <v/>
      </c>
      <c r="AH483" s="42" t="str">
        <f t="shared" si="60"/>
        <v/>
      </c>
      <c r="AI483" s="42" t="str">
        <f t="shared" si="61"/>
        <v/>
      </c>
      <c r="AJ483" s="42" t="str">
        <f t="shared" si="62"/>
        <v/>
      </c>
      <c r="AK483" s="42" t="str">
        <f t="shared" si="63"/>
        <v/>
      </c>
      <c r="AO483" s="86">
        <f ca="1"/>
        <v>37951.458333333336</v>
      </c>
      <c r="AP483" s="87">
        <f ca="1"/>
        <v>1531.42</v>
      </c>
      <c r="AQ483" s="87">
        <f ca="1"/>
        <v>1531.56</v>
      </c>
      <c r="AR483" s="88">
        <f ca="1"/>
        <v>37951.458333333336</v>
      </c>
      <c r="AS483" s="87">
        <f ca="1"/>
        <v>589</v>
      </c>
      <c r="AT483" s="87">
        <f ca="1"/>
        <v>741.34</v>
      </c>
    </row>
    <row r="484" spans="13:46" x14ac:dyDescent="0.25">
      <c r="M484" s="42">
        <v>480</v>
      </c>
      <c r="N484" s="3" t="s">
        <v>540</v>
      </c>
      <c r="O484" s="49">
        <f t="shared" si="56"/>
        <v>37951.458333333336</v>
      </c>
      <c r="P484" s="42">
        <v>1531.42</v>
      </c>
      <c r="Q484" s="42">
        <v>589</v>
      </c>
      <c r="R484" s="42">
        <v>1531.56</v>
      </c>
      <c r="S484" s="42">
        <v>741.34</v>
      </c>
      <c r="T484" s="42"/>
      <c r="U484" s="42"/>
      <c r="V484" s="3"/>
      <c r="W484" s="3"/>
      <c r="X484" s="3"/>
      <c r="Y484" s="3"/>
      <c r="Z484" s="3"/>
      <c r="AA484" s="3"/>
      <c r="AB484" s="3"/>
      <c r="AE484" s="42">
        <f t="shared" si="57"/>
        <v>845403</v>
      </c>
      <c r="AF484" s="42">
        <f t="shared" si="58"/>
        <v>794590.70000000042</v>
      </c>
      <c r="AG484" s="42" t="str">
        <f t="shared" si="59"/>
        <v/>
      </c>
      <c r="AH484" s="42" t="str">
        <f t="shared" si="60"/>
        <v/>
      </c>
      <c r="AI484" s="42" t="str">
        <f t="shared" si="61"/>
        <v/>
      </c>
      <c r="AJ484" s="42" t="str">
        <f t="shared" si="62"/>
        <v/>
      </c>
      <c r="AK484" s="42" t="str">
        <f t="shared" si="63"/>
        <v/>
      </c>
      <c r="AO484" s="86">
        <f ca="1"/>
        <v>37951.5</v>
      </c>
      <c r="AP484" s="87">
        <f ca="1"/>
        <v>1531.4</v>
      </c>
      <c r="AQ484" s="87">
        <f ca="1"/>
        <v>1531.55</v>
      </c>
      <c r="AR484" s="88">
        <f ca="1"/>
        <v>37951.5</v>
      </c>
      <c r="AS484" s="87">
        <f ca="1"/>
        <v>582</v>
      </c>
      <c r="AT484" s="87">
        <f ca="1"/>
        <v>735.52</v>
      </c>
    </row>
    <row r="485" spans="13:46" x14ac:dyDescent="0.25">
      <c r="M485" s="42">
        <v>481</v>
      </c>
      <c r="N485" s="3" t="s">
        <v>541</v>
      </c>
      <c r="O485" s="49">
        <f t="shared" si="56"/>
        <v>37951.5</v>
      </c>
      <c r="P485" s="42">
        <v>1531.4</v>
      </c>
      <c r="Q485" s="42">
        <v>582</v>
      </c>
      <c r="R485" s="42">
        <v>1531.55</v>
      </c>
      <c r="S485" s="42">
        <v>735.52</v>
      </c>
      <c r="T485" s="42"/>
      <c r="U485" s="42"/>
      <c r="V485" s="3"/>
      <c r="W485" s="3"/>
      <c r="X485" s="3"/>
      <c r="Y485" s="3"/>
      <c r="Z485" s="3"/>
      <c r="AA485" s="3"/>
      <c r="AB485" s="3"/>
      <c r="AE485" s="42">
        <f t="shared" si="57"/>
        <v>845985</v>
      </c>
      <c r="AF485" s="42">
        <f t="shared" si="58"/>
        <v>795326.22000000044</v>
      </c>
      <c r="AG485" s="42" t="str">
        <f t="shared" si="59"/>
        <v/>
      </c>
      <c r="AH485" s="42" t="str">
        <f t="shared" si="60"/>
        <v/>
      </c>
      <c r="AI485" s="42" t="str">
        <f t="shared" si="61"/>
        <v/>
      </c>
      <c r="AJ485" s="42" t="str">
        <f t="shared" si="62"/>
        <v/>
      </c>
      <c r="AK485" s="42" t="str">
        <f t="shared" si="63"/>
        <v/>
      </c>
      <c r="AO485" s="86">
        <f ca="1"/>
        <v>37951.541666666664</v>
      </c>
      <c r="AP485" s="87">
        <f ca="1"/>
        <v>1531.4</v>
      </c>
      <c r="AQ485" s="87">
        <f ca="1"/>
        <v>1531.54</v>
      </c>
      <c r="AR485" s="88">
        <f ca="1"/>
        <v>37951.541666666664</v>
      </c>
      <c r="AS485" s="87">
        <f ca="1"/>
        <v>582</v>
      </c>
      <c r="AT485" s="87">
        <f ca="1"/>
        <v>729.89</v>
      </c>
    </row>
    <row r="486" spans="13:46" x14ac:dyDescent="0.25">
      <c r="M486" s="42">
        <v>482</v>
      </c>
      <c r="N486" s="3" t="s">
        <v>542</v>
      </c>
      <c r="O486" s="49">
        <f t="shared" si="56"/>
        <v>37951.541666666664</v>
      </c>
      <c r="P486" s="42">
        <v>1531.4</v>
      </c>
      <c r="Q486" s="42">
        <v>582</v>
      </c>
      <c r="R486" s="42">
        <v>1531.54</v>
      </c>
      <c r="S486" s="42">
        <v>729.89</v>
      </c>
      <c r="T486" s="42"/>
      <c r="U486" s="42"/>
      <c r="V486" s="3"/>
      <c r="W486" s="3"/>
      <c r="X486" s="3"/>
      <c r="Y486" s="3"/>
      <c r="Z486" s="3"/>
      <c r="AA486" s="3"/>
      <c r="AB486" s="3"/>
      <c r="AE486" s="42">
        <f t="shared" si="57"/>
        <v>846567</v>
      </c>
      <c r="AF486" s="42">
        <f t="shared" si="58"/>
        <v>796056.11000000045</v>
      </c>
      <c r="AG486" s="42" t="str">
        <f t="shared" si="59"/>
        <v/>
      </c>
      <c r="AH486" s="42" t="str">
        <f t="shared" si="60"/>
        <v/>
      </c>
      <c r="AI486" s="42" t="str">
        <f t="shared" si="61"/>
        <v/>
      </c>
      <c r="AJ486" s="42" t="str">
        <f t="shared" si="62"/>
        <v/>
      </c>
      <c r="AK486" s="42" t="str">
        <f t="shared" si="63"/>
        <v/>
      </c>
      <c r="AO486" s="86">
        <f ca="1"/>
        <v>37951.583333333336</v>
      </c>
      <c r="AP486" s="87">
        <f ca="1"/>
        <v>1531.38</v>
      </c>
      <c r="AQ486" s="87">
        <f ca="1"/>
        <v>1531.53</v>
      </c>
      <c r="AR486" s="88">
        <f ca="1"/>
        <v>37951.583333333336</v>
      </c>
      <c r="AS486" s="87">
        <f ca="1"/>
        <v>574</v>
      </c>
      <c r="AT486" s="87">
        <f ca="1"/>
        <v>724.33</v>
      </c>
    </row>
    <row r="487" spans="13:46" x14ac:dyDescent="0.25">
      <c r="M487" s="42">
        <v>483</v>
      </c>
      <c r="N487" s="3" t="s">
        <v>543</v>
      </c>
      <c r="O487" s="49">
        <f t="shared" si="56"/>
        <v>37951.583333333336</v>
      </c>
      <c r="P487" s="42">
        <v>1531.38</v>
      </c>
      <c r="Q487" s="42">
        <v>574</v>
      </c>
      <c r="R487" s="42">
        <v>1531.53</v>
      </c>
      <c r="S487" s="42">
        <v>724.33</v>
      </c>
      <c r="T487" s="42"/>
      <c r="U487" s="42"/>
      <c r="V487" s="3"/>
      <c r="W487" s="3"/>
      <c r="X487" s="3"/>
      <c r="Y487" s="3"/>
      <c r="Z487" s="3"/>
      <c r="AA487" s="3"/>
      <c r="AB487" s="3"/>
      <c r="AE487" s="42">
        <f t="shared" si="57"/>
        <v>847141</v>
      </c>
      <c r="AF487" s="42">
        <f t="shared" si="58"/>
        <v>796780.44000000041</v>
      </c>
      <c r="AG487" s="42" t="str">
        <f t="shared" si="59"/>
        <v/>
      </c>
      <c r="AH487" s="42" t="str">
        <f t="shared" si="60"/>
        <v/>
      </c>
      <c r="AI487" s="42" t="str">
        <f t="shared" si="61"/>
        <v/>
      </c>
      <c r="AJ487" s="42" t="str">
        <f t="shared" si="62"/>
        <v/>
      </c>
      <c r="AK487" s="42" t="str">
        <f t="shared" si="63"/>
        <v/>
      </c>
      <c r="AO487" s="86">
        <f ca="1"/>
        <v>37951.625</v>
      </c>
      <c r="AP487" s="87">
        <f ca="1"/>
        <v>1531.37</v>
      </c>
      <c r="AQ487" s="87">
        <f ca="1"/>
        <v>1531.52</v>
      </c>
      <c r="AR487" s="88">
        <f ca="1"/>
        <v>37951.625</v>
      </c>
      <c r="AS487" s="87">
        <f ca="1"/>
        <v>570</v>
      </c>
      <c r="AT487" s="87">
        <f ca="1"/>
        <v>718.76</v>
      </c>
    </row>
    <row r="488" spans="13:46" x14ac:dyDescent="0.25">
      <c r="M488" s="42">
        <v>484</v>
      </c>
      <c r="N488" s="3" t="s">
        <v>544</v>
      </c>
      <c r="O488" s="49">
        <f t="shared" si="56"/>
        <v>37951.625</v>
      </c>
      <c r="P488" s="42">
        <v>1531.37</v>
      </c>
      <c r="Q488" s="42">
        <v>570</v>
      </c>
      <c r="R488" s="42">
        <v>1531.52</v>
      </c>
      <c r="S488" s="42">
        <v>718.76</v>
      </c>
      <c r="T488" s="42"/>
      <c r="U488" s="42"/>
      <c r="V488" s="3"/>
      <c r="W488" s="3"/>
      <c r="X488" s="3"/>
      <c r="Y488" s="3"/>
      <c r="Z488" s="3"/>
      <c r="AA488" s="3"/>
      <c r="AB488" s="3"/>
      <c r="AE488" s="42">
        <f t="shared" si="57"/>
        <v>847711</v>
      </c>
      <c r="AF488" s="42">
        <f t="shared" si="58"/>
        <v>797499.20000000042</v>
      </c>
      <c r="AG488" s="42" t="str">
        <f t="shared" si="59"/>
        <v/>
      </c>
      <c r="AH488" s="42" t="str">
        <f t="shared" si="60"/>
        <v/>
      </c>
      <c r="AI488" s="42" t="str">
        <f t="shared" si="61"/>
        <v/>
      </c>
      <c r="AJ488" s="42" t="str">
        <f t="shared" si="62"/>
        <v/>
      </c>
      <c r="AK488" s="42" t="str">
        <f t="shared" si="63"/>
        <v/>
      </c>
      <c r="AO488" s="86">
        <f ca="1"/>
        <v>37951.666666666664</v>
      </c>
      <c r="AP488" s="87">
        <f ca="1"/>
        <v>1531.36</v>
      </c>
      <c r="AQ488" s="87">
        <f ca="1"/>
        <v>1531.51</v>
      </c>
      <c r="AR488" s="88">
        <f ca="1"/>
        <v>37951.666666666664</v>
      </c>
      <c r="AS488" s="87">
        <f ca="1"/>
        <v>566</v>
      </c>
      <c r="AT488" s="87">
        <f ca="1"/>
        <v>714.96</v>
      </c>
    </row>
    <row r="489" spans="13:46" x14ac:dyDescent="0.25">
      <c r="M489" s="42">
        <v>485</v>
      </c>
      <c r="N489" s="3" t="s">
        <v>545</v>
      </c>
      <c r="O489" s="49">
        <f t="shared" si="56"/>
        <v>37951.666666666664</v>
      </c>
      <c r="P489" s="42">
        <v>1531.36</v>
      </c>
      <c r="Q489" s="42">
        <v>566</v>
      </c>
      <c r="R489" s="42">
        <v>1531.51</v>
      </c>
      <c r="S489" s="42">
        <v>714.96</v>
      </c>
      <c r="T489" s="42"/>
      <c r="U489" s="42"/>
      <c r="V489" s="3"/>
      <c r="W489" s="3"/>
      <c r="X489" s="3"/>
      <c r="Y489" s="3"/>
      <c r="Z489" s="3"/>
      <c r="AA489" s="3"/>
      <c r="AB489" s="3"/>
      <c r="AE489" s="42">
        <f t="shared" si="57"/>
        <v>848277</v>
      </c>
      <c r="AF489" s="42">
        <f t="shared" si="58"/>
        <v>798214.16000000038</v>
      </c>
      <c r="AG489" s="42" t="str">
        <f t="shared" si="59"/>
        <v/>
      </c>
      <c r="AH489" s="42" t="str">
        <f t="shared" si="60"/>
        <v/>
      </c>
      <c r="AI489" s="42" t="str">
        <f t="shared" si="61"/>
        <v/>
      </c>
      <c r="AJ489" s="42" t="str">
        <f t="shared" si="62"/>
        <v/>
      </c>
      <c r="AK489" s="42" t="str">
        <f t="shared" si="63"/>
        <v/>
      </c>
      <c r="AO489" s="86">
        <f ca="1"/>
        <v>37951.708333333336</v>
      </c>
      <c r="AP489" s="87">
        <f ca="1"/>
        <v>1531.35</v>
      </c>
      <c r="AQ489" s="87">
        <f ca="1"/>
        <v>1531.5</v>
      </c>
      <c r="AR489" s="88">
        <f ca="1"/>
        <v>37951.708333333336</v>
      </c>
      <c r="AS489" s="87">
        <f ca="1"/>
        <v>562</v>
      </c>
      <c r="AT489" s="87">
        <f ca="1"/>
        <v>708.1</v>
      </c>
    </row>
    <row r="490" spans="13:46" x14ac:dyDescent="0.25">
      <c r="M490" s="42">
        <v>486</v>
      </c>
      <c r="N490" s="3" t="s">
        <v>546</v>
      </c>
      <c r="O490" s="49">
        <f t="shared" si="56"/>
        <v>37951.708333333336</v>
      </c>
      <c r="P490" s="42">
        <v>1531.35</v>
      </c>
      <c r="Q490" s="42">
        <v>562</v>
      </c>
      <c r="R490" s="42">
        <v>1531.5</v>
      </c>
      <c r="S490" s="42">
        <v>708.1</v>
      </c>
      <c r="T490" s="42"/>
      <c r="U490" s="42"/>
      <c r="V490" s="3"/>
      <c r="W490" s="3"/>
      <c r="X490" s="3"/>
      <c r="Y490" s="3"/>
      <c r="Z490" s="3"/>
      <c r="AA490" s="3"/>
      <c r="AB490" s="3"/>
      <c r="AE490" s="42">
        <f t="shared" si="57"/>
        <v>848839</v>
      </c>
      <c r="AF490" s="42">
        <f t="shared" si="58"/>
        <v>798922.26000000036</v>
      </c>
      <c r="AG490" s="42" t="str">
        <f t="shared" si="59"/>
        <v/>
      </c>
      <c r="AH490" s="42" t="str">
        <f t="shared" si="60"/>
        <v/>
      </c>
      <c r="AI490" s="42" t="str">
        <f t="shared" si="61"/>
        <v/>
      </c>
      <c r="AJ490" s="42" t="str">
        <f t="shared" si="62"/>
        <v/>
      </c>
      <c r="AK490" s="42" t="str">
        <f t="shared" si="63"/>
        <v/>
      </c>
      <c r="AO490" s="86">
        <f ca="1"/>
        <v>37951.75</v>
      </c>
      <c r="AP490" s="87">
        <f ca="1"/>
        <v>1531.34</v>
      </c>
      <c r="AQ490" s="87">
        <f ca="1"/>
        <v>1531.49</v>
      </c>
      <c r="AR490" s="88">
        <f ca="1"/>
        <v>37951.75</v>
      </c>
      <c r="AS490" s="87">
        <f ca="1"/>
        <v>558</v>
      </c>
      <c r="AT490" s="87">
        <f ca="1"/>
        <v>702.62</v>
      </c>
    </row>
    <row r="491" spans="13:46" x14ac:dyDescent="0.25">
      <c r="M491" s="42">
        <v>487</v>
      </c>
      <c r="N491" s="3" t="s">
        <v>547</v>
      </c>
      <c r="O491" s="49">
        <f t="shared" si="56"/>
        <v>37951.75</v>
      </c>
      <c r="P491" s="42">
        <v>1531.34</v>
      </c>
      <c r="Q491" s="42">
        <v>558</v>
      </c>
      <c r="R491" s="42">
        <v>1531.49</v>
      </c>
      <c r="S491" s="42">
        <v>702.62</v>
      </c>
      <c r="T491" s="42"/>
      <c r="U491" s="42"/>
      <c r="V491" s="3"/>
      <c r="W491" s="3"/>
      <c r="X491" s="3"/>
      <c r="Y491" s="3"/>
      <c r="Z491" s="3"/>
      <c r="AA491" s="3"/>
      <c r="AB491" s="3"/>
      <c r="AE491" s="42">
        <f t="shared" si="57"/>
        <v>849397</v>
      </c>
      <c r="AF491" s="42">
        <f t="shared" si="58"/>
        <v>799624.88000000035</v>
      </c>
      <c r="AG491" s="42" t="str">
        <f t="shared" si="59"/>
        <v/>
      </c>
      <c r="AH491" s="42" t="str">
        <f t="shared" si="60"/>
        <v/>
      </c>
      <c r="AI491" s="42" t="str">
        <f t="shared" si="61"/>
        <v/>
      </c>
      <c r="AJ491" s="42" t="str">
        <f t="shared" si="62"/>
        <v/>
      </c>
      <c r="AK491" s="42" t="str">
        <f t="shared" si="63"/>
        <v/>
      </c>
      <c r="AO491" s="86">
        <f ca="1"/>
        <v>37951.791666666664</v>
      </c>
      <c r="AP491" s="87">
        <f ca="1"/>
        <v>1531.32</v>
      </c>
      <c r="AQ491" s="87">
        <f ca="1"/>
        <v>1531.47</v>
      </c>
      <c r="AR491" s="88">
        <f ca="1"/>
        <v>37951.791666666664</v>
      </c>
      <c r="AS491" s="87">
        <f ca="1"/>
        <v>551</v>
      </c>
      <c r="AT491" s="87">
        <f ca="1"/>
        <v>697.36</v>
      </c>
    </row>
    <row r="492" spans="13:46" x14ac:dyDescent="0.25">
      <c r="M492" s="42">
        <v>488</v>
      </c>
      <c r="N492" s="3" t="s">
        <v>548</v>
      </c>
      <c r="O492" s="49">
        <f t="shared" si="56"/>
        <v>37951.791666666664</v>
      </c>
      <c r="P492" s="42">
        <v>1531.32</v>
      </c>
      <c r="Q492" s="42">
        <v>551</v>
      </c>
      <c r="R492" s="42">
        <v>1531.47</v>
      </c>
      <c r="S492" s="42">
        <v>697.36</v>
      </c>
      <c r="T492" s="42"/>
      <c r="U492" s="42"/>
      <c r="V492" s="3"/>
      <c r="W492" s="3"/>
      <c r="X492" s="3"/>
      <c r="Y492" s="3"/>
      <c r="Z492" s="3"/>
      <c r="AA492" s="3"/>
      <c r="AB492" s="3"/>
      <c r="AE492" s="42">
        <f t="shared" si="57"/>
        <v>849948</v>
      </c>
      <c r="AF492" s="42">
        <f t="shared" si="58"/>
        <v>800322.24000000034</v>
      </c>
      <c r="AG492" s="42" t="str">
        <f t="shared" si="59"/>
        <v/>
      </c>
      <c r="AH492" s="42" t="str">
        <f t="shared" si="60"/>
        <v/>
      </c>
      <c r="AI492" s="42" t="str">
        <f t="shared" si="61"/>
        <v/>
      </c>
      <c r="AJ492" s="42" t="str">
        <f t="shared" si="62"/>
        <v/>
      </c>
      <c r="AK492" s="42" t="str">
        <f t="shared" si="63"/>
        <v/>
      </c>
      <c r="AO492" s="86">
        <f ca="1"/>
        <v>37951.833333333336</v>
      </c>
      <c r="AP492" s="87">
        <f ca="1"/>
        <v>1531.32</v>
      </c>
      <c r="AQ492" s="87">
        <f ca="1"/>
        <v>1531.46</v>
      </c>
      <c r="AR492" s="88">
        <f ca="1"/>
        <v>37951.833333333336</v>
      </c>
      <c r="AS492" s="87">
        <f ca="1"/>
        <v>551</v>
      </c>
      <c r="AT492" s="87">
        <f ca="1"/>
        <v>692.04</v>
      </c>
    </row>
    <row r="493" spans="13:46" x14ac:dyDescent="0.25">
      <c r="M493" s="42">
        <v>489</v>
      </c>
      <c r="N493" s="3" t="s">
        <v>549</v>
      </c>
      <c r="O493" s="49">
        <f t="shared" si="56"/>
        <v>37951.833333333336</v>
      </c>
      <c r="P493" s="42">
        <v>1531.32</v>
      </c>
      <c r="Q493" s="42">
        <v>551</v>
      </c>
      <c r="R493" s="42">
        <v>1531.46</v>
      </c>
      <c r="S493" s="42">
        <v>692.04</v>
      </c>
      <c r="T493" s="42"/>
      <c r="U493" s="42"/>
      <c r="V493" s="3"/>
      <c r="W493" s="3"/>
      <c r="X493" s="3"/>
      <c r="Y493" s="3"/>
      <c r="Z493" s="3"/>
      <c r="AA493" s="3"/>
      <c r="AB493" s="3"/>
      <c r="AE493" s="42">
        <f t="shared" si="57"/>
        <v>850499</v>
      </c>
      <c r="AF493" s="42">
        <f t="shared" si="58"/>
        <v>801014.28000000038</v>
      </c>
      <c r="AG493" s="42" t="str">
        <f t="shared" si="59"/>
        <v/>
      </c>
      <c r="AH493" s="42" t="str">
        <f t="shared" si="60"/>
        <v/>
      </c>
      <c r="AI493" s="42" t="str">
        <f t="shared" si="61"/>
        <v/>
      </c>
      <c r="AJ493" s="42" t="str">
        <f t="shared" si="62"/>
        <v/>
      </c>
      <c r="AK493" s="42" t="str">
        <f t="shared" si="63"/>
        <v/>
      </c>
      <c r="AO493" s="86">
        <f ca="1"/>
        <v>37951.875</v>
      </c>
      <c r="AP493" s="87">
        <f ca="1"/>
        <v>1531.31</v>
      </c>
      <c r="AQ493" s="87">
        <f ca="1"/>
        <v>1531.45</v>
      </c>
      <c r="AR493" s="88">
        <f ca="1"/>
        <v>37951.875</v>
      </c>
      <c r="AS493" s="87">
        <f ca="1"/>
        <v>547</v>
      </c>
      <c r="AT493" s="87">
        <f ca="1"/>
        <v>686.55</v>
      </c>
    </row>
    <row r="494" spans="13:46" x14ac:dyDescent="0.25">
      <c r="M494" s="42">
        <v>490</v>
      </c>
      <c r="N494" s="3" t="s">
        <v>550</v>
      </c>
      <c r="O494" s="49">
        <f t="shared" si="56"/>
        <v>37951.875</v>
      </c>
      <c r="P494" s="42">
        <v>1531.31</v>
      </c>
      <c r="Q494" s="42">
        <v>547</v>
      </c>
      <c r="R494" s="42">
        <v>1531.45</v>
      </c>
      <c r="S494" s="42">
        <v>686.55</v>
      </c>
      <c r="T494" s="42"/>
      <c r="U494" s="42"/>
      <c r="V494" s="3"/>
      <c r="W494" s="3"/>
      <c r="X494" s="3"/>
      <c r="Y494" s="3"/>
      <c r="Z494" s="3"/>
      <c r="AA494" s="3"/>
      <c r="AB494" s="3"/>
      <c r="AE494" s="42">
        <f t="shared" si="57"/>
        <v>851046</v>
      </c>
      <c r="AF494" s="42">
        <f t="shared" si="58"/>
        <v>801700.83000000042</v>
      </c>
      <c r="AG494" s="42" t="str">
        <f t="shared" si="59"/>
        <v/>
      </c>
      <c r="AH494" s="42" t="str">
        <f t="shared" si="60"/>
        <v/>
      </c>
      <c r="AI494" s="42" t="str">
        <f t="shared" si="61"/>
        <v/>
      </c>
      <c r="AJ494" s="42" t="str">
        <f t="shared" si="62"/>
        <v/>
      </c>
      <c r="AK494" s="42" t="str">
        <f t="shared" si="63"/>
        <v/>
      </c>
      <c r="AO494" s="86">
        <f ca="1"/>
        <v>37951.916666666664</v>
      </c>
      <c r="AP494" s="87">
        <f ca="1"/>
        <v>1531.3</v>
      </c>
      <c r="AQ494" s="87">
        <f ca="1"/>
        <v>1531.44</v>
      </c>
      <c r="AR494" s="88">
        <f ca="1"/>
        <v>37951.916666666664</v>
      </c>
      <c r="AS494" s="87">
        <f ca="1"/>
        <v>543</v>
      </c>
      <c r="AT494" s="87">
        <f ca="1"/>
        <v>681.25</v>
      </c>
    </row>
    <row r="495" spans="13:46" x14ac:dyDescent="0.25">
      <c r="M495" s="42">
        <v>491</v>
      </c>
      <c r="N495" s="3" t="s">
        <v>551</v>
      </c>
      <c r="O495" s="49">
        <f t="shared" si="56"/>
        <v>37951.916666666664</v>
      </c>
      <c r="P495" s="42">
        <v>1531.3</v>
      </c>
      <c r="Q495" s="42">
        <v>543</v>
      </c>
      <c r="R495" s="42">
        <v>1531.44</v>
      </c>
      <c r="S495" s="42">
        <v>681.25</v>
      </c>
      <c r="T495" s="42"/>
      <c r="U495" s="42"/>
      <c r="V495" s="3"/>
      <c r="W495" s="3"/>
      <c r="X495" s="3"/>
      <c r="Y495" s="3"/>
      <c r="Z495" s="3"/>
      <c r="AA495" s="3"/>
      <c r="AB495" s="3"/>
      <c r="AE495" s="42">
        <f t="shared" si="57"/>
        <v>851589</v>
      </c>
      <c r="AF495" s="42">
        <f t="shared" si="58"/>
        <v>802382.08000000042</v>
      </c>
      <c r="AG495" s="42" t="str">
        <f t="shared" si="59"/>
        <v/>
      </c>
      <c r="AH495" s="42" t="str">
        <f t="shared" si="60"/>
        <v/>
      </c>
      <c r="AI495" s="42" t="str">
        <f t="shared" si="61"/>
        <v/>
      </c>
      <c r="AJ495" s="42" t="str">
        <f t="shared" si="62"/>
        <v/>
      </c>
      <c r="AK495" s="42" t="str">
        <f t="shared" si="63"/>
        <v/>
      </c>
      <c r="AO495" s="86">
        <f ca="1"/>
        <v>37951.958333333336</v>
      </c>
      <c r="AP495" s="87">
        <f ca="1"/>
        <v>1531.29</v>
      </c>
      <c r="AQ495" s="87">
        <f ca="1"/>
        <v>1531.43</v>
      </c>
      <c r="AR495" s="88">
        <f ca="1"/>
        <v>37951.958333333336</v>
      </c>
      <c r="AS495" s="87">
        <f ca="1"/>
        <v>539</v>
      </c>
      <c r="AT495" s="87">
        <f ca="1"/>
        <v>676.2</v>
      </c>
    </row>
    <row r="496" spans="13:46" x14ac:dyDescent="0.25">
      <c r="M496" s="42">
        <v>492</v>
      </c>
      <c r="N496" s="3" t="s">
        <v>552</v>
      </c>
      <c r="O496" s="49">
        <f t="shared" si="56"/>
        <v>37951.958333333336</v>
      </c>
      <c r="P496" s="42">
        <v>1531.29</v>
      </c>
      <c r="Q496" s="42">
        <v>539</v>
      </c>
      <c r="R496" s="42">
        <v>1531.43</v>
      </c>
      <c r="S496" s="42">
        <v>676.2</v>
      </c>
      <c r="T496" s="42"/>
      <c r="U496" s="42"/>
      <c r="V496" s="3"/>
      <c r="W496" s="3"/>
      <c r="X496" s="3"/>
      <c r="Y496" s="3"/>
      <c r="Z496" s="3"/>
      <c r="AA496" s="3"/>
      <c r="AB496" s="3"/>
      <c r="AE496" s="42">
        <f t="shared" si="57"/>
        <v>852128</v>
      </c>
      <c r="AF496" s="42">
        <f t="shared" si="58"/>
        <v>803058.28000000038</v>
      </c>
      <c r="AG496" s="42" t="str">
        <f t="shared" si="59"/>
        <v/>
      </c>
      <c r="AH496" s="42" t="str">
        <f t="shared" si="60"/>
        <v/>
      </c>
      <c r="AI496" s="42" t="str">
        <f t="shared" si="61"/>
        <v/>
      </c>
      <c r="AJ496" s="42" t="str">
        <f t="shared" si="62"/>
        <v/>
      </c>
      <c r="AK496" s="42" t="str">
        <f t="shared" si="63"/>
        <v/>
      </c>
      <c r="AO496" s="86">
        <f ca="1"/>
        <v>37952</v>
      </c>
      <c r="AP496" s="87">
        <f ca="1"/>
        <v>1531.28</v>
      </c>
      <c r="AQ496" s="87">
        <f ca="1"/>
        <v>1531.42</v>
      </c>
      <c r="AR496" s="88">
        <f ca="1"/>
        <v>37952</v>
      </c>
      <c r="AS496" s="87">
        <f ca="1"/>
        <v>536</v>
      </c>
      <c r="AT496" s="87">
        <f ca="1"/>
        <v>671.39</v>
      </c>
    </row>
    <row r="497" spans="13:46" x14ac:dyDescent="0.25">
      <c r="M497" s="42">
        <v>493</v>
      </c>
      <c r="N497" s="3" t="s">
        <v>553</v>
      </c>
      <c r="O497" s="49">
        <f t="shared" si="56"/>
        <v>37952</v>
      </c>
      <c r="P497" s="42">
        <v>1531.28</v>
      </c>
      <c r="Q497" s="42">
        <v>536</v>
      </c>
      <c r="R497" s="42">
        <v>1531.42</v>
      </c>
      <c r="S497" s="42">
        <v>671.39</v>
      </c>
      <c r="T497" s="42"/>
      <c r="U497" s="42"/>
      <c r="V497" s="3"/>
      <c r="W497" s="3"/>
      <c r="X497" s="3"/>
      <c r="Y497" s="3"/>
      <c r="Z497" s="3"/>
      <c r="AA497" s="3"/>
      <c r="AB497" s="3"/>
      <c r="AE497" s="42">
        <f t="shared" si="57"/>
        <v>852664</v>
      </c>
      <c r="AF497" s="42">
        <f t="shared" si="58"/>
        <v>803729.67000000039</v>
      </c>
      <c r="AG497" s="42" t="str">
        <f t="shared" si="59"/>
        <v/>
      </c>
      <c r="AH497" s="42" t="str">
        <f t="shared" si="60"/>
        <v/>
      </c>
      <c r="AI497" s="42" t="str">
        <f t="shared" si="61"/>
        <v/>
      </c>
      <c r="AJ497" s="42" t="str">
        <f t="shared" si="62"/>
        <v/>
      </c>
      <c r="AK497" s="42" t="str">
        <f t="shared" si="63"/>
        <v/>
      </c>
      <c r="AO497" s="86">
        <f ca="1"/>
        <v>37952.041666666664</v>
      </c>
      <c r="AP497" s="87">
        <f ca="1"/>
        <v>1531.28</v>
      </c>
      <c r="AQ497" s="87">
        <f ca="1"/>
        <v>1531.41</v>
      </c>
      <c r="AR497" s="88">
        <f ca="1"/>
        <v>37952.041666666664</v>
      </c>
      <c r="AS497" s="87">
        <f ca="1"/>
        <v>536</v>
      </c>
      <c r="AT497" s="87">
        <f ca="1"/>
        <v>666.23</v>
      </c>
    </row>
    <row r="498" spans="13:46" x14ac:dyDescent="0.25">
      <c r="M498" s="42">
        <v>494</v>
      </c>
      <c r="N498" s="3" t="s">
        <v>554</v>
      </c>
      <c r="O498" s="49">
        <f t="shared" si="56"/>
        <v>37952.041666666664</v>
      </c>
      <c r="P498" s="42">
        <v>1531.28</v>
      </c>
      <c r="Q498" s="42">
        <v>536</v>
      </c>
      <c r="R498" s="42">
        <v>1531.41</v>
      </c>
      <c r="S498" s="42">
        <v>666.23</v>
      </c>
      <c r="T498" s="42"/>
      <c r="U498" s="42"/>
      <c r="V498" s="3"/>
      <c r="W498" s="3"/>
      <c r="X498" s="3"/>
      <c r="Y498" s="3"/>
      <c r="Z498" s="3"/>
      <c r="AA498" s="3"/>
      <c r="AB498" s="3"/>
      <c r="AE498" s="42">
        <f t="shared" si="57"/>
        <v>853200</v>
      </c>
      <c r="AF498" s="42">
        <f t="shared" si="58"/>
        <v>804395.90000000037</v>
      </c>
      <c r="AG498" s="42" t="str">
        <f t="shared" si="59"/>
        <v/>
      </c>
      <c r="AH498" s="42" t="str">
        <f t="shared" si="60"/>
        <v/>
      </c>
      <c r="AI498" s="42" t="str">
        <f t="shared" si="61"/>
        <v/>
      </c>
      <c r="AJ498" s="42" t="str">
        <f t="shared" si="62"/>
        <v/>
      </c>
      <c r="AK498" s="42" t="str">
        <f t="shared" si="63"/>
        <v/>
      </c>
      <c r="AO498" s="86">
        <f ca="1"/>
        <v>37952.083333333336</v>
      </c>
      <c r="AP498" s="87">
        <f ca="1"/>
        <v>1531.27</v>
      </c>
      <c r="AQ498" s="87">
        <f ca="1"/>
        <v>1531.4</v>
      </c>
      <c r="AR498" s="88">
        <f ca="1"/>
        <v>37952.083333333336</v>
      </c>
      <c r="AS498" s="87">
        <f ca="1"/>
        <v>532</v>
      </c>
      <c r="AT498" s="87">
        <f ca="1"/>
        <v>660.94</v>
      </c>
    </row>
    <row r="499" spans="13:46" x14ac:dyDescent="0.25">
      <c r="M499" s="42">
        <v>495</v>
      </c>
      <c r="N499" s="3" t="s">
        <v>555</v>
      </c>
      <c r="O499" s="49">
        <f t="shared" si="56"/>
        <v>37952.083333333336</v>
      </c>
      <c r="P499" s="42">
        <v>1531.27</v>
      </c>
      <c r="Q499" s="42">
        <v>532</v>
      </c>
      <c r="R499" s="42">
        <v>1531.4</v>
      </c>
      <c r="S499" s="42">
        <v>660.94</v>
      </c>
      <c r="T499" s="42"/>
      <c r="U499" s="42"/>
      <c r="V499" s="3"/>
      <c r="W499" s="3"/>
      <c r="X499" s="3"/>
      <c r="Y499" s="3"/>
      <c r="Z499" s="3"/>
      <c r="AA499" s="3"/>
      <c r="AB499" s="3"/>
      <c r="AE499" s="42">
        <f t="shared" si="57"/>
        <v>853732</v>
      </c>
      <c r="AF499" s="42">
        <f t="shared" si="58"/>
        <v>805056.84000000032</v>
      </c>
      <c r="AG499" s="42" t="str">
        <f t="shared" si="59"/>
        <v/>
      </c>
      <c r="AH499" s="42" t="str">
        <f t="shared" si="60"/>
        <v/>
      </c>
      <c r="AI499" s="42" t="str">
        <f t="shared" si="61"/>
        <v/>
      </c>
      <c r="AJ499" s="42" t="str">
        <f t="shared" si="62"/>
        <v/>
      </c>
      <c r="AK499" s="42" t="str">
        <f t="shared" si="63"/>
        <v/>
      </c>
      <c r="AO499" s="86">
        <f ca="1"/>
        <v>37952.125</v>
      </c>
      <c r="AP499" s="87">
        <f ca="1"/>
        <v>1531.26</v>
      </c>
      <c r="AQ499" s="87">
        <f ca="1"/>
        <v>1531.39</v>
      </c>
      <c r="AR499" s="88">
        <f ca="1"/>
        <v>37952.125</v>
      </c>
      <c r="AS499" s="87">
        <f ca="1"/>
        <v>528</v>
      </c>
      <c r="AT499" s="87">
        <f ca="1"/>
        <v>655.45</v>
      </c>
    </row>
    <row r="500" spans="13:46" x14ac:dyDescent="0.25">
      <c r="M500" s="42">
        <v>496</v>
      </c>
      <c r="N500" s="3" t="s">
        <v>556</v>
      </c>
      <c r="O500" s="49">
        <f t="shared" si="56"/>
        <v>37952.125</v>
      </c>
      <c r="P500" s="42">
        <v>1531.26</v>
      </c>
      <c r="Q500" s="42">
        <v>528</v>
      </c>
      <c r="R500" s="42">
        <v>1531.39</v>
      </c>
      <c r="S500" s="42">
        <v>655.45</v>
      </c>
      <c r="T500" s="42"/>
      <c r="U500" s="42"/>
      <c r="V500" s="3"/>
      <c r="W500" s="3"/>
      <c r="X500" s="3"/>
      <c r="Y500" s="3"/>
      <c r="Z500" s="3"/>
      <c r="AA500" s="3"/>
      <c r="AB500" s="3"/>
      <c r="AE500" s="42">
        <f t="shared" si="57"/>
        <v>854260</v>
      </c>
      <c r="AF500" s="42">
        <f t="shared" si="58"/>
        <v>805712.29000000027</v>
      </c>
      <c r="AG500" s="42" t="str">
        <f t="shared" si="59"/>
        <v/>
      </c>
      <c r="AH500" s="42" t="str">
        <f t="shared" si="60"/>
        <v/>
      </c>
      <c r="AI500" s="42" t="str">
        <f t="shared" si="61"/>
        <v/>
      </c>
      <c r="AJ500" s="42" t="str">
        <f t="shared" si="62"/>
        <v/>
      </c>
      <c r="AK500" s="42" t="str">
        <f t="shared" si="63"/>
        <v/>
      </c>
      <c r="AO500" s="86">
        <f ca="1"/>
        <v>37952.166666666664</v>
      </c>
      <c r="AP500" s="87">
        <f ca="1"/>
        <v>1531.24</v>
      </c>
      <c r="AQ500" s="87">
        <f ca="1"/>
        <v>1531.38</v>
      </c>
      <c r="AR500" s="88">
        <f ca="1"/>
        <v>37952.166666666664</v>
      </c>
      <c r="AS500" s="87">
        <f ca="1"/>
        <v>521</v>
      </c>
      <c r="AT500" s="87">
        <f ca="1"/>
        <v>650.29</v>
      </c>
    </row>
    <row r="501" spans="13:46" x14ac:dyDescent="0.25">
      <c r="M501" s="42">
        <v>497</v>
      </c>
      <c r="N501" s="3" t="s">
        <v>557</v>
      </c>
      <c r="O501" s="49">
        <f t="shared" si="56"/>
        <v>37952.166666666664</v>
      </c>
      <c r="P501" s="42">
        <v>1531.24</v>
      </c>
      <c r="Q501" s="42">
        <v>521</v>
      </c>
      <c r="R501" s="42">
        <v>1531.38</v>
      </c>
      <c r="S501" s="42">
        <v>650.29</v>
      </c>
      <c r="T501" s="42"/>
      <c r="U501" s="42"/>
      <c r="V501" s="3"/>
      <c r="W501" s="3"/>
      <c r="X501" s="3"/>
      <c r="Y501" s="3"/>
      <c r="Z501" s="3"/>
      <c r="AA501" s="3"/>
      <c r="AB501" s="3"/>
      <c r="AE501" s="42">
        <f t="shared" si="57"/>
        <v>854781</v>
      </c>
      <c r="AF501" s="42">
        <f t="shared" si="58"/>
        <v>806362.58000000031</v>
      </c>
      <c r="AG501" s="42" t="str">
        <f t="shared" si="59"/>
        <v/>
      </c>
      <c r="AH501" s="42" t="str">
        <f t="shared" si="60"/>
        <v/>
      </c>
      <c r="AI501" s="42" t="str">
        <f t="shared" si="61"/>
        <v/>
      </c>
      <c r="AJ501" s="42" t="str">
        <f t="shared" si="62"/>
        <v/>
      </c>
      <c r="AK501" s="42" t="str">
        <f t="shared" si="63"/>
        <v/>
      </c>
      <c r="AO501" s="86">
        <f ca="1"/>
        <v>37952.208333333336</v>
      </c>
      <c r="AP501" s="87">
        <f ca="1"/>
        <v>1531.24</v>
      </c>
      <c r="AQ501" s="87">
        <f ca="1"/>
        <v>1531.37</v>
      </c>
      <c r="AR501" s="88">
        <f ca="1"/>
        <v>37952.208333333336</v>
      </c>
      <c r="AS501" s="87">
        <f ca="1"/>
        <v>521</v>
      </c>
      <c r="AT501" s="87">
        <f ca="1"/>
        <v>645.26</v>
      </c>
    </row>
    <row r="502" spans="13:46" x14ac:dyDescent="0.25">
      <c r="M502" s="42">
        <v>498</v>
      </c>
      <c r="N502" s="3" t="s">
        <v>558</v>
      </c>
      <c r="O502" s="49">
        <f t="shared" si="56"/>
        <v>37952.208333333336</v>
      </c>
      <c r="P502" s="42">
        <v>1531.24</v>
      </c>
      <c r="Q502" s="42">
        <v>521</v>
      </c>
      <c r="R502" s="42">
        <v>1531.37</v>
      </c>
      <c r="S502" s="42">
        <v>645.26</v>
      </c>
      <c r="T502" s="42"/>
      <c r="U502" s="42"/>
      <c r="V502" s="3"/>
      <c r="W502" s="3"/>
      <c r="X502" s="3"/>
      <c r="Y502" s="3"/>
      <c r="Z502" s="3"/>
      <c r="AA502" s="3"/>
      <c r="AB502" s="3"/>
      <c r="AE502" s="42">
        <f t="shared" si="57"/>
        <v>855302</v>
      </c>
      <c r="AF502" s="42">
        <f t="shared" si="58"/>
        <v>807007.84000000032</v>
      </c>
      <c r="AG502" s="42" t="str">
        <f t="shared" si="59"/>
        <v/>
      </c>
      <c r="AH502" s="42" t="str">
        <f t="shared" si="60"/>
        <v/>
      </c>
      <c r="AI502" s="42" t="str">
        <f t="shared" si="61"/>
        <v/>
      </c>
      <c r="AJ502" s="42" t="str">
        <f t="shared" si="62"/>
        <v/>
      </c>
      <c r="AK502" s="42" t="str">
        <f t="shared" si="63"/>
        <v/>
      </c>
      <c r="AO502" s="86">
        <f ca="1"/>
        <v>37952.25</v>
      </c>
      <c r="AP502" s="87">
        <f ca="1"/>
        <v>1531.23</v>
      </c>
      <c r="AQ502" s="87">
        <f ca="1"/>
        <v>1531.36</v>
      </c>
      <c r="AR502" s="88">
        <f ca="1"/>
        <v>37952.25</v>
      </c>
      <c r="AS502" s="87">
        <f ca="1"/>
        <v>517</v>
      </c>
      <c r="AT502" s="87">
        <f ca="1"/>
        <v>640.05999999999995</v>
      </c>
    </row>
    <row r="503" spans="13:46" x14ac:dyDescent="0.25">
      <c r="M503" s="42">
        <v>499</v>
      </c>
      <c r="N503" s="3" t="s">
        <v>559</v>
      </c>
      <c r="O503" s="49">
        <f t="shared" si="56"/>
        <v>37952.25</v>
      </c>
      <c r="P503" s="42">
        <v>1531.23</v>
      </c>
      <c r="Q503" s="42">
        <v>517</v>
      </c>
      <c r="R503" s="42">
        <v>1531.36</v>
      </c>
      <c r="S503" s="42">
        <v>640.05999999999995</v>
      </c>
      <c r="T503" s="42"/>
      <c r="U503" s="42"/>
      <c r="V503" s="3"/>
      <c r="W503" s="3"/>
      <c r="X503" s="3"/>
      <c r="Y503" s="3"/>
      <c r="Z503" s="3"/>
      <c r="AA503" s="3"/>
      <c r="AB503" s="3"/>
      <c r="AE503" s="42">
        <f t="shared" si="57"/>
        <v>855819</v>
      </c>
      <c r="AF503" s="42">
        <f t="shared" si="58"/>
        <v>807647.90000000037</v>
      </c>
      <c r="AG503" s="42" t="str">
        <f t="shared" si="59"/>
        <v/>
      </c>
      <c r="AH503" s="42" t="str">
        <f t="shared" si="60"/>
        <v/>
      </c>
      <c r="AI503" s="42" t="str">
        <f t="shared" si="61"/>
        <v/>
      </c>
      <c r="AJ503" s="42" t="str">
        <f t="shared" si="62"/>
        <v/>
      </c>
      <c r="AK503" s="42" t="str">
        <f t="shared" si="63"/>
        <v/>
      </c>
      <c r="AO503" s="86">
        <f ca="1"/>
        <v>37952.291666666664</v>
      </c>
      <c r="AP503" s="87">
        <f ca="1"/>
        <v>1531.22</v>
      </c>
      <c r="AQ503" s="87">
        <f ca="1"/>
        <v>1531.35</v>
      </c>
      <c r="AR503" s="88">
        <f ca="1"/>
        <v>37952.291666666664</v>
      </c>
      <c r="AS503" s="87">
        <f ca="1"/>
        <v>514</v>
      </c>
      <c r="AT503" s="87">
        <f ca="1"/>
        <v>634.92999999999995</v>
      </c>
    </row>
    <row r="504" spans="13:46" x14ac:dyDescent="0.25">
      <c r="M504" s="42">
        <v>500</v>
      </c>
      <c r="N504" s="3" t="s">
        <v>560</v>
      </c>
      <c r="O504" s="49">
        <f t="shared" si="56"/>
        <v>37952.291666666664</v>
      </c>
      <c r="P504" s="42">
        <v>1531.22</v>
      </c>
      <c r="Q504" s="42">
        <v>514</v>
      </c>
      <c r="R504" s="42">
        <v>1531.35</v>
      </c>
      <c r="S504" s="42">
        <v>634.92999999999995</v>
      </c>
      <c r="T504" s="42"/>
      <c r="U504" s="42"/>
      <c r="V504" s="3"/>
      <c r="W504" s="3"/>
      <c r="X504" s="3"/>
      <c r="Y504" s="3"/>
      <c r="Z504" s="3"/>
      <c r="AA504" s="3"/>
      <c r="AB504" s="3"/>
      <c r="AE504" s="42">
        <f t="shared" si="57"/>
        <v>856333</v>
      </c>
      <c r="AF504" s="42">
        <f t="shared" si="58"/>
        <v>808282.83000000042</v>
      </c>
      <c r="AG504" s="42" t="str">
        <f t="shared" si="59"/>
        <v/>
      </c>
      <c r="AH504" s="42" t="str">
        <f t="shared" si="60"/>
        <v/>
      </c>
      <c r="AI504" s="42" t="str">
        <f t="shared" si="61"/>
        <v/>
      </c>
      <c r="AJ504" s="42" t="str">
        <f t="shared" si="62"/>
        <v/>
      </c>
      <c r="AK504" s="42" t="str">
        <f t="shared" si="63"/>
        <v/>
      </c>
      <c r="AO504" s="86">
        <f ca="1"/>
        <v>37952.333333333336</v>
      </c>
      <c r="AP504" s="87">
        <f ca="1"/>
        <v>1531.21</v>
      </c>
      <c r="AQ504" s="87">
        <f ca="1"/>
        <v>1531.34</v>
      </c>
      <c r="AR504" s="88">
        <f ca="1"/>
        <v>37952.333333333336</v>
      </c>
      <c r="AS504" s="87">
        <f ca="1"/>
        <v>510</v>
      </c>
      <c r="AT504" s="87">
        <f ca="1"/>
        <v>627.6</v>
      </c>
    </row>
    <row r="505" spans="13:46" x14ac:dyDescent="0.25">
      <c r="M505" s="42">
        <v>501</v>
      </c>
      <c r="N505" s="3" t="s">
        <v>561</v>
      </c>
      <c r="O505" s="49">
        <f t="shared" si="56"/>
        <v>37952.333333333336</v>
      </c>
      <c r="P505" s="42">
        <v>1531.21</v>
      </c>
      <c r="Q505" s="42">
        <v>510</v>
      </c>
      <c r="R505" s="42">
        <v>1531.34</v>
      </c>
      <c r="S505" s="42">
        <v>627.6</v>
      </c>
      <c r="T505" s="42"/>
      <c r="U505" s="42"/>
      <c r="V505" s="3"/>
      <c r="W505" s="3"/>
      <c r="X505" s="3"/>
      <c r="Y505" s="3"/>
      <c r="Z505" s="3"/>
      <c r="AA505" s="3"/>
      <c r="AB505" s="3"/>
      <c r="AE505" s="42">
        <f t="shared" si="57"/>
        <v>856843</v>
      </c>
      <c r="AF505" s="42">
        <f t="shared" si="58"/>
        <v>808910.4300000004</v>
      </c>
      <c r="AG505" s="42" t="str">
        <f t="shared" si="59"/>
        <v/>
      </c>
      <c r="AH505" s="42" t="str">
        <f t="shared" si="60"/>
        <v/>
      </c>
      <c r="AI505" s="42" t="str">
        <f t="shared" si="61"/>
        <v/>
      </c>
      <c r="AJ505" s="42" t="str">
        <f t="shared" si="62"/>
        <v/>
      </c>
      <c r="AK505" s="42" t="str">
        <f t="shared" si="63"/>
        <v/>
      </c>
      <c r="AO505" s="86">
        <f ca="1"/>
        <v>37952.375</v>
      </c>
      <c r="AP505" s="87">
        <f ca="1"/>
        <v>1531.2</v>
      </c>
      <c r="AQ505" s="87">
        <f ca="1"/>
        <v>1531.33</v>
      </c>
      <c r="AR505" s="88">
        <f ca="1"/>
        <v>37952.375</v>
      </c>
      <c r="AS505" s="87">
        <f ca="1"/>
        <v>506</v>
      </c>
      <c r="AT505" s="87">
        <f ca="1"/>
        <v>624.28</v>
      </c>
    </row>
    <row r="506" spans="13:46" x14ac:dyDescent="0.25">
      <c r="M506" s="42">
        <v>502</v>
      </c>
      <c r="N506" s="3" t="s">
        <v>562</v>
      </c>
      <c r="O506" s="49">
        <f t="shared" si="56"/>
        <v>37952.375</v>
      </c>
      <c r="P506" s="42">
        <v>1531.2</v>
      </c>
      <c r="Q506" s="42">
        <v>506</v>
      </c>
      <c r="R506" s="42">
        <v>1531.33</v>
      </c>
      <c r="S506" s="42">
        <v>624.28</v>
      </c>
      <c r="T506" s="42"/>
      <c r="U506" s="42"/>
      <c r="V506" s="3"/>
      <c r="W506" s="3"/>
      <c r="X506" s="3"/>
      <c r="Y506" s="3"/>
      <c r="Z506" s="3"/>
      <c r="AA506" s="3"/>
      <c r="AB506" s="3"/>
      <c r="AE506" s="42">
        <f t="shared" si="57"/>
        <v>857349</v>
      </c>
      <c r="AF506" s="42">
        <f t="shared" si="58"/>
        <v>809534.71000000043</v>
      </c>
      <c r="AG506" s="42" t="str">
        <f t="shared" si="59"/>
        <v/>
      </c>
      <c r="AH506" s="42" t="str">
        <f t="shared" si="60"/>
        <v/>
      </c>
      <c r="AI506" s="42" t="str">
        <f t="shared" si="61"/>
        <v/>
      </c>
      <c r="AJ506" s="42" t="str">
        <f t="shared" si="62"/>
        <v/>
      </c>
      <c r="AK506" s="42" t="str">
        <f t="shared" si="63"/>
        <v/>
      </c>
      <c r="AO506" s="86">
        <f ca="1"/>
        <v>37952.416666666664</v>
      </c>
      <c r="AP506" s="87">
        <f ca="1"/>
        <v>1531.19</v>
      </c>
      <c r="AQ506" s="87">
        <f ca="1"/>
        <v>1531.32</v>
      </c>
      <c r="AR506" s="88">
        <f ca="1"/>
        <v>37952.416666666664</v>
      </c>
      <c r="AS506" s="87">
        <f ca="1"/>
        <v>503</v>
      </c>
      <c r="AT506" s="87">
        <f ca="1"/>
        <v>620.46</v>
      </c>
    </row>
    <row r="507" spans="13:46" x14ac:dyDescent="0.25">
      <c r="M507" s="42">
        <v>503</v>
      </c>
      <c r="N507" s="3" t="s">
        <v>563</v>
      </c>
      <c r="O507" s="49">
        <f t="shared" si="56"/>
        <v>37952.416666666664</v>
      </c>
      <c r="P507" s="42">
        <v>1531.19</v>
      </c>
      <c r="Q507" s="42">
        <v>503</v>
      </c>
      <c r="R507" s="42">
        <v>1531.32</v>
      </c>
      <c r="S507" s="42">
        <v>620.46</v>
      </c>
      <c r="T507" s="42"/>
      <c r="U507" s="42"/>
      <c r="V507" s="3"/>
      <c r="W507" s="3"/>
      <c r="X507" s="3"/>
      <c r="Y507" s="3"/>
      <c r="Z507" s="3"/>
      <c r="AA507" s="3"/>
      <c r="AB507" s="3"/>
      <c r="AE507" s="42">
        <f t="shared" si="57"/>
        <v>857852</v>
      </c>
      <c r="AF507" s="42">
        <f t="shared" si="58"/>
        <v>810155.17000000039</v>
      </c>
      <c r="AG507" s="42" t="str">
        <f t="shared" si="59"/>
        <v/>
      </c>
      <c r="AH507" s="42" t="str">
        <f t="shared" si="60"/>
        <v/>
      </c>
      <c r="AI507" s="42" t="str">
        <f t="shared" si="61"/>
        <v/>
      </c>
      <c r="AJ507" s="42" t="str">
        <f t="shared" si="62"/>
        <v/>
      </c>
      <c r="AK507" s="42" t="str">
        <f t="shared" si="63"/>
        <v/>
      </c>
      <c r="AO507" s="86">
        <f ca="1"/>
        <v>37952.458333333336</v>
      </c>
      <c r="AP507" s="87">
        <f ca="1"/>
        <v>1531.18</v>
      </c>
      <c r="AQ507" s="87">
        <f ca="1"/>
        <v>1531.31</v>
      </c>
      <c r="AR507" s="88">
        <f ca="1"/>
        <v>37952.458333333336</v>
      </c>
      <c r="AS507" s="87">
        <f ca="1"/>
        <v>499</v>
      </c>
      <c r="AT507" s="87">
        <f ca="1"/>
        <v>615.54</v>
      </c>
    </row>
    <row r="508" spans="13:46" x14ac:dyDescent="0.25">
      <c r="M508" s="42">
        <v>504</v>
      </c>
      <c r="N508" s="3" t="s">
        <v>564</v>
      </c>
      <c r="O508" s="49">
        <f t="shared" si="56"/>
        <v>37952.458333333336</v>
      </c>
      <c r="P508" s="42">
        <v>1531.18</v>
      </c>
      <c r="Q508" s="42">
        <v>499</v>
      </c>
      <c r="R508" s="42">
        <v>1531.31</v>
      </c>
      <c r="S508" s="42">
        <v>615.54</v>
      </c>
      <c r="T508" s="42"/>
      <c r="U508" s="42"/>
      <c r="V508" s="3"/>
      <c r="W508" s="3"/>
      <c r="X508" s="3"/>
      <c r="Y508" s="3"/>
      <c r="Z508" s="3"/>
      <c r="AA508" s="3"/>
      <c r="AB508" s="3"/>
      <c r="AE508" s="42">
        <f t="shared" si="57"/>
        <v>858351</v>
      </c>
      <c r="AF508" s="42">
        <f t="shared" si="58"/>
        <v>810770.71000000043</v>
      </c>
      <c r="AG508" s="42" t="str">
        <f t="shared" si="59"/>
        <v/>
      </c>
      <c r="AH508" s="42" t="str">
        <f t="shared" si="60"/>
        <v/>
      </c>
      <c r="AI508" s="42" t="str">
        <f t="shared" si="61"/>
        <v/>
      </c>
      <c r="AJ508" s="42" t="str">
        <f t="shared" si="62"/>
        <v/>
      </c>
      <c r="AK508" s="42" t="str">
        <f t="shared" si="63"/>
        <v/>
      </c>
      <c r="AO508" s="86">
        <f ca="1"/>
        <v>37952.5</v>
      </c>
      <c r="AP508" s="87">
        <f ca="1"/>
        <v>1531.17</v>
      </c>
      <c r="AQ508" s="87">
        <f ca="1"/>
        <v>1531.3</v>
      </c>
      <c r="AR508" s="88">
        <f ca="1"/>
        <v>37952.5</v>
      </c>
      <c r="AS508" s="87">
        <f ca="1"/>
        <v>495</v>
      </c>
      <c r="AT508" s="87">
        <f ca="1"/>
        <v>610.67999999999995</v>
      </c>
    </row>
    <row r="509" spans="13:46" x14ac:dyDescent="0.25">
      <c r="M509" s="42">
        <v>505</v>
      </c>
      <c r="N509" s="3" t="s">
        <v>565</v>
      </c>
      <c r="O509" s="49">
        <f t="shared" si="56"/>
        <v>37952.5</v>
      </c>
      <c r="P509" s="42">
        <v>1531.17</v>
      </c>
      <c r="Q509" s="42">
        <v>495</v>
      </c>
      <c r="R509" s="42">
        <v>1531.3</v>
      </c>
      <c r="S509" s="42">
        <v>610.67999999999995</v>
      </c>
      <c r="T509" s="42"/>
      <c r="U509" s="42"/>
      <c r="V509" s="3"/>
      <c r="W509" s="3"/>
      <c r="X509" s="3"/>
      <c r="Y509" s="3"/>
      <c r="Z509" s="3"/>
      <c r="AA509" s="3"/>
      <c r="AB509" s="3"/>
      <c r="AE509" s="42">
        <f t="shared" si="57"/>
        <v>858846</v>
      </c>
      <c r="AF509" s="42">
        <f t="shared" si="58"/>
        <v>811381.39000000048</v>
      </c>
      <c r="AG509" s="42" t="str">
        <f t="shared" si="59"/>
        <v/>
      </c>
      <c r="AH509" s="42" t="str">
        <f t="shared" si="60"/>
        <v/>
      </c>
      <c r="AI509" s="42" t="str">
        <f t="shared" si="61"/>
        <v/>
      </c>
      <c r="AJ509" s="42" t="str">
        <f t="shared" si="62"/>
        <v/>
      </c>
      <c r="AK509" s="42" t="str">
        <f t="shared" si="63"/>
        <v/>
      </c>
      <c r="AO509" s="86">
        <f ca="1"/>
        <v>37952.541666666664</v>
      </c>
      <c r="AP509" s="87">
        <f ca="1"/>
        <v>1531.16</v>
      </c>
      <c r="AQ509" s="87">
        <f ca="1"/>
        <v>1531.29</v>
      </c>
      <c r="AR509" s="88">
        <f ca="1"/>
        <v>37952.541666666664</v>
      </c>
      <c r="AS509" s="87">
        <f ca="1"/>
        <v>492</v>
      </c>
      <c r="AT509" s="87">
        <f ca="1"/>
        <v>606.16</v>
      </c>
    </row>
    <row r="510" spans="13:46" x14ac:dyDescent="0.25">
      <c r="M510" s="42">
        <v>506</v>
      </c>
      <c r="N510" s="3" t="s">
        <v>566</v>
      </c>
      <c r="O510" s="49">
        <f t="shared" si="56"/>
        <v>37952.541666666664</v>
      </c>
      <c r="P510" s="42">
        <v>1531.16</v>
      </c>
      <c r="Q510" s="42">
        <v>492</v>
      </c>
      <c r="R510" s="42">
        <v>1531.29</v>
      </c>
      <c r="S510" s="42">
        <v>606.16</v>
      </c>
      <c r="T510" s="42"/>
      <c r="U510" s="42"/>
      <c r="V510" s="3"/>
      <c r="W510" s="3"/>
      <c r="X510" s="3"/>
      <c r="Y510" s="3"/>
      <c r="Z510" s="3"/>
      <c r="AA510" s="3"/>
      <c r="AB510" s="3"/>
      <c r="AE510" s="42">
        <f t="shared" si="57"/>
        <v>859338</v>
      </c>
      <c r="AF510" s="42">
        <f t="shared" si="58"/>
        <v>811987.55000000051</v>
      </c>
      <c r="AG510" s="42" t="str">
        <f t="shared" si="59"/>
        <v/>
      </c>
      <c r="AH510" s="42" t="str">
        <f t="shared" si="60"/>
        <v/>
      </c>
      <c r="AI510" s="42" t="str">
        <f t="shared" si="61"/>
        <v/>
      </c>
      <c r="AJ510" s="42" t="str">
        <f t="shared" si="62"/>
        <v/>
      </c>
      <c r="AK510" s="42" t="str">
        <f t="shared" si="63"/>
        <v/>
      </c>
      <c r="AO510" s="86">
        <f ca="1"/>
        <v>37952.583333333336</v>
      </c>
      <c r="AP510" s="87">
        <f ca="1"/>
        <v>1531.16</v>
      </c>
      <c r="AQ510" s="87">
        <f ca="1"/>
        <v>1531.28</v>
      </c>
      <c r="AR510" s="88">
        <f ca="1"/>
        <v>37952.583333333336</v>
      </c>
      <c r="AS510" s="87">
        <f ca="1"/>
        <v>492</v>
      </c>
      <c r="AT510" s="87">
        <f ca="1"/>
        <v>601.41</v>
      </c>
    </row>
    <row r="511" spans="13:46" x14ac:dyDescent="0.25">
      <c r="M511" s="42">
        <v>507</v>
      </c>
      <c r="N511" s="3" t="s">
        <v>567</v>
      </c>
      <c r="O511" s="49">
        <f t="shared" si="56"/>
        <v>37952.583333333336</v>
      </c>
      <c r="P511" s="42">
        <v>1531.16</v>
      </c>
      <c r="Q511" s="42">
        <v>492</v>
      </c>
      <c r="R511" s="42">
        <v>1531.28</v>
      </c>
      <c r="S511" s="42">
        <v>601.41</v>
      </c>
      <c r="T511" s="42"/>
      <c r="U511" s="42"/>
      <c r="V511" s="3"/>
      <c r="W511" s="3"/>
      <c r="X511" s="3"/>
      <c r="Y511" s="3"/>
      <c r="Z511" s="3"/>
      <c r="AA511" s="3"/>
      <c r="AB511" s="3"/>
      <c r="AE511" s="42">
        <f t="shared" si="57"/>
        <v>859830</v>
      </c>
      <c r="AF511" s="42">
        <f t="shared" si="58"/>
        <v>812588.96000000054</v>
      </c>
      <c r="AG511" s="42" t="str">
        <f t="shared" si="59"/>
        <v/>
      </c>
      <c r="AH511" s="42" t="str">
        <f t="shared" si="60"/>
        <v/>
      </c>
      <c r="AI511" s="42" t="str">
        <f t="shared" si="61"/>
        <v/>
      </c>
      <c r="AJ511" s="42" t="str">
        <f t="shared" si="62"/>
        <v/>
      </c>
      <c r="AK511" s="42" t="str">
        <f t="shared" si="63"/>
        <v/>
      </c>
      <c r="AO511" s="86">
        <f ca="1"/>
        <v>37952.625</v>
      </c>
      <c r="AP511" s="87">
        <f ca="1"/>
        <v>1531.15</v>
      </c>
      <c r="AQ511" s="87">
        <f ca="1"/>
        <v>1531.27</v>
      </c>
      <c r="AR511" s="88">
        <f ca="1"/>
        <v>37952.625</v>
      </c>
      <c r="AS511" s="87">
        <f ca="1"/>
        <v>488</v>
      </c>
      <c r="AT511" s="87">
        <f ca="1"/>
        <v>596.48</v>
      </c>
    </row>
    <row r="512" spans="13:46" x14ac:dyDescent="0.25">
      <c r="M512" s="42">
        <v>508</v>
      </c>
      <c r="N512" s="3" t="s">
        <v>568</v>
      </c>
      <c r="O512" s="49">
        <f t="shared" si="56"/>
        <v>37952.625</v>
      </c>
      <c r="P512" s="42">
        <v>1531.15</v>
      </c>
      <c r="Q512" s="42">
        <v>488</v>
      </c>
      <c r="R512" s="42">
        <v>1531.27</v>
      </c>
      <c r="S512" s="42">
        <v>596.48</v>
      </c>
      <c r="T512" s="42"/>
      <c r="U512" s="42"/>
      <c r="V512" s="3"/>
      <c r="W512" s="3"/>
      <c r="X512" s="3"/>
      <c r="Y512" s="3"/>
      <c r="Z512" s="3"/>
      <c r="AA512" s="3"/>
      <c r="AB512" s="3"/>
      <c r="AE512" s="42">
        <f t="shared" si="57"/>
        <v>860318</v>
      </c>
      <c r="AF512" s="42">
        <f t="shared" si="58"/>
        <v>813185.44000000053</v>
      </c>
      <c r="AG512" s="42" t="str">
        <f t="shared" si="59"/>
        <v/>
      </c>
      <c r="AH512" s="42" t="str">
        <f t="shared" si="60"/>
        <v/>
      </c>
      <c r="AI512" s="42" t="str">
        <f t="shared" si="61"/>
        <v/>
      </c>
      <c r="AJ512" s="42" t="str">
        <f t="shared" si="62"/>
        <v/>
      </c>
      <c r="AK512" s="42" t="str">
        <f t="shared" si="63"/>
        <v/>
      </c>
      <c r="AO512" s="86">
        <f ca="1"/>
        <v>37952.666666666664</v>
      </c>
      <c r="AP512" s="87">
        <f ca="1"/>
        <v>1531.14</v>
      </c>
      <c r="AQ512" s="87">
        <f ca="1"/>
        <v>1531.26</v>
      </c>
      <c r="AR512" s="88">
        <f ca="1"/>
        <v>37952.666666666664</v>
      </c>
      <c r="AS512" s="87">
        <f ca="1"/>
        <v>485</v>
      </c>
      <c r="AT512" s="87">
        <f ca="1"/>
        <v>591.88</v>
      </c>
    </row>
    <row r="513" spans="13:46" x14ac:dyDescent="0.25">
      <c r="M513" s="42">
        <v>509</v>
      </c>
      <c r="N513" s="3" t="s">
        <v>569</v>
      </c>
      <c r="O513" s="49">
        <f t="shared" si="56"/>
        <v>37952.666666666664</v>
      </c>
      <c r="P513" s="42">
        <v>1531.14</v>
      </c>
      <c r="Q513" s="42">
        <v>485</v>
      </c>
      <c r="R513" s="42">
        <v>1531.26</v>
      </c>
      <c r="S513" s="42">
        <v>591.88</v>
      </c>
      <c r="T513" s="42"/>
      <c r="U513" s="42"/>
      <c r="V513" s="3"/>
      <c r="W513" s="3"/>
      <c r="X513" s="3"/>
      <c r="Y513" s="3"/>
      <c r="Z513" s="3"/>
      <c r="AA513" s="3"/>
      <c r="AB513" s="3"/>
      <c r="AE513" s="42">
        <f t="shared" si="57"/>
        <v>860803</v>
      </c>
      <c r="AF513" s="42">
        <f t="shared" si="58"/>
        <v>813777.32000000053</v>
      </c>
      <c r="AG513" s="42" t="str">
        <f t="shared" si="59"/>
        <v/>
      </c>
      <c r="AH513" s="42" t="str">
        <f t="shared" si="60"/>
        <v/>
      </c>
      <c r="AI513" s="42" t="str">
        <f t="shared" si="61"/>
        <v/>
      </c>
      <c r="AJ513" s="42" t="str">
        <f t="shared" si="62"/>
        <v/>
      </c>
      <c r="AK513" s="42" t="str">
        <f t="shared" si="63"/>
        <v/>
      </c>
      <c r="AO513" s="86">
        <f ca="1"/>
        <v>37952.708333333336</v>
      </c>
      <c r="AP513" s="87">
        <f ca="1"/>
        <v>1531.14</v>
      </c>
      <c r="AQ513" s="87">
        <f ca="1"/>
        <v>1531.27</v>
      </c>
      <c r="AR513" s="88">
        <f ca="1"/>
        <v>37952.708333333336</v>
      </c>
      <c r="AS513" s="87">
        <f ca="1"/>
        <v>485</v>
      </c>
      <c r="AT513" s="87">
        <f ca="1"/>
        <v>592.67999999999995</v>
      </c>
    </row>
    <row r="514" spans="13:46" x14ac:dyDescent="0.25">
      <c r="M514" s="42">
        <v>510</v>
      </c>
      <c r="N514" s="3" t="s">
        <v>570</v>
      </c>
      <c r="O514" s="49">
        <f t="shared" si="56"/>
        <v>37952.708333333336</v>
      </c>
      <c r="P514" s="42">
        <v>1531.14</v>
      </c>
      <c r="Q514" s="42">
        <v>485</v>
      </c>
      <c r="R514" s="42">
        <v>1531.27</v>
      </c>
      <c r="S514" s="42">
        <v>592.67999999999995</v>
      </c>
      <c r="T514" s="42"/>
      <c r="U514" s="42"/>
      <c r="V514" s="3"/>
      <c r="W514" s="3"/>
      <c r="X514" s="3"/>
      <c r="Y514" s="3"/>
      <c r="Z514" s="3"/>
      <c r="AA514" s="3"/>
      <c r="AB514" s="3"/>
      <c r="AE514" s="42">
        <f t="shared" si="57"/>
        <v>861288</v>
      </c>
      <c r="AF514" s="42">
        <f t="shared" si="58"/>
        <v>814370.00000000058</v>
      </c>
      <c r="AG514" s="42" t="str">
        <f t="shared" si="59"/>
        <v/>
      </c>
      <c r="AH514" s="42" t="str">
        <f t="shared" si="60"/>
        <v/>
      </c>
      <c r="AI514" s="42" t="str">
        <f t="shared" si="61"/>
        <v/>
      </c>
      <c r="AJ514" s="42" t="str">
        <f t="shared" si="62"/>
        <v/>
      </c>
      <c r="AK514" s="42" t="str">
        <f t="shared" si="63"/>
        <v/>
      </c>
      <c r="AO514" s="86">
        <f ca="1"/>
        <v>37952.75</v>
      </c>
      <c r="AP514" s="87">
        <f ca="1"/>
        <v>1531.12</v>
      </c>
      <c r="AQ514" s="87">
        <f ca="1"/>
        <v>1531.25</v>
      </c>
      <c r="AR514" s="88">
        <f ca="1"/>
        <v>37952.75</v>
      </c>
      <c r="AS514" s="87">
        <f ca="1"/>
        <v>478</v>
      </c>
      <c r="AT514" s="87">
        <f ca="1"/>
        <v>583.20000000000005</v>
      </c>
    </row>
    <row r="515" spans="13:46" x14ac:dyDescent="0.25">
      <c r="M515" s="42">
        <v>511</v>
      </c>
      <c r="N515" s="3" t="s">
        <v>571</v>
      </c>
      <c r="O515" s="49">
        <f t="shared" si="56"/>
        <v>37952.75</v>
      </c>
      <c r="P515" s="42">
        <v>1531.12</v>
      </c>
      <c r="Q515" s="42">
        <v>478</v>
      </c>
      <c r="R515" s="42">
        <v>1531.25</v>
      </c>
      <c r="S515" s="42">
        <v>583.20000000000005</v>
      </c>
      <c r="T515" s="42"/>
      <c r="U515" s="42"/>
      <c r="V515" s="3"/>
      <c r="W515" s="3"/>
      <c r="X515" s="3"/>
      <c r="Y515" s="3"/>
      <c r="Z515" s="3"/>
      <c r="AA515" s="3"/>
      <c r="AB515" s="3"/>
      <c r="AE515" s="42">
        <f t="shared" si="57"/>
        <v>861766</v>
      </c>
      <c r="AF515" s="42">
        <f t="shared" si="58"/>
        <v>814953.20000000054</v>
      </c>
      <c r="AG515" s="42" t="str">
        <f t="shared" si="59"/>
        <v/>
      </c>
      <c r="AH515" s="42" t="str">
        <f t="shared" si="60"/>
        <v/>
      </c>
      <c r="AI515" s="42" t="str">
        <f t="shared" si="61"/>
        <v/>
      </c>
      <c r="AJ515" s="42" t="str">
        <f t="shared" si="62"/>
        <v/>
      </c>
      <c r="AK515" s="42" t="str">
        <f t="shared" si="63"/>
        <v/>
      </c>
      <c r="AO515" s="86">
        <f ca="1"/>
        <v>37952.791666666664</v>
      </c>
      <c r="AP515" s="87">
        <f ca="1"/>
        <v>1531.12</v>
      </c>
      <c r="AQ515" s="87">
        <f ca="1"/>
        <v>1531.24</v>
      </c>
      <c r="AR515" s="88">
        <f ca="1"/>
        <v>37952.791666666664</v>
      </c>
      <c r="AS515" s="87">
        <f ca="1"/>
        <v>478</v>
      </c>
      <c r="AT515" s="87">
        <f ca="1"/>
        <v>579.04</v>
      </c>
    </row>
    <row r="516" spans="13:46" x14ac:dyDescent="0.25">
      <c r="M516" s="42">
        <v>512</v>
      </c>
      <c r="N516" s="3" t="s">
        <v>572</v>
      </c>
      <c r="O516" s="49">
        <f t="shared" si="56"/>
        <v>37952.791666666664</v>
      </c>
      <c r="P516" s="42">
        <v>1531.12</v>
      </c>
      <c r="Q516" s="42">
        <v>478</v>
      </c>
      <c r="R516" s="42">
        <v>1531.24</v>
      </c>
      <c r="S516" s="42">
        <v>579.04</v>
      </c>
      <c r="T516" s="42"/>
      <c r="U516" s="42"/>
      <c r="V516" s="3"/>
      <c r="W516" s="3"/>
      <c r="X516" s="3"/>
      <c r="Y516" s="3"/>
      <c r="Z516" s="3"/>
      <c r="AA516" s="3"/>
      <c r="AB516" s="3"/>
      <c r="AE516" s="42">
        <f t="shared" si="57"/>
        <v>862244</v>
      </c>
      <c r="AF516" s="42">
        <f t="shared" si="58"/>
        <v>815532.24000000057</v>
      </c>
      <c r="AG516" s="42" t="str">
        <f t="shared" si="59"/>
        <v/>
      </c>
      <c r="AH516" s="42" t="str">
        <f t="shared" si="60"/>
        <v/>
      </c>
      <c r="AI516" s="42" t="str">
        <f t="shared" si="61"/>
        <v/>
      </c>
      <c r="AJ516" s="42" t="str">
        <f t="shared" si="62"/>
        <v/>
      </c>
      <c r="AK516" s="42" t="str">
        <f t="shared" si="63"/>
        <v/>
      </c>
      <c r="AO516" s="86">
        <f ca="1"/>
        <v>37952.833333333336</v>
      </c>
      <c r="AP516" s="87">
        <f ca="1"/>
        <v>1531.11</v>
      </c>
      <c r="AQ516" s="87">
        <f ca="1"/>
        <v>1531.23</v>
      </c>
      <c r="AR516" s="88">
        <f ca="1"/>
        <v>37952.833333333336</v>
      </c>
      <c r="AS516" s="87">
        <f ca="1"/>
        <v>474</v>
      </c>
      <c r="AT516" s="87">
        <f ca="1"/>
        <v>574.24</v>
      </c>
    </row>
    <row r="517" spans="13:46" x14ac:dyDescent="0.25">
      <c r="M517" s="42">
        <v>513</v>
      </c>
      <c r="N517" s="3" t="s">
        <v>573</v>
      </c>
      <c r="O517" s="49">
        <f t="shared" si="56"/>
        <v>37952.833333333336</v>
      </c>
      <c r="P517" s="42">
        <v>1531.11</v>
      </c>
      <c r="Q517" s="42">
        <v>474</v>
      </c>
      <c r="R517" s="42">
        <v>1531.23</v>
      </c>
      <c r="S517" s="42">
        <v>574.24</v>
      </c>
      <c r="T517" s="42"/>
      <c r="U517" s="42"/>
      <c r="V517" s="3"/>
      <c r="W517" s="3"/>
      <c r="X517" s="3"/>
      <c r="Y517" s="3"/>
      <c r="Z517" s="3"/>
      <c r="AA517" s="3"/>
      <c r="AB517" s="3"/>
      <c r="AE517" s="42">
        <f t="shared" si="57"/>
        <v>862718</v>
      </c>
      <c r="AF517" s="42">
        <f t="shared" si="58"/>
        <v>816106.48000000056</v>
      </c>
      <c r="AG517" s="42" t="str">
        <f t="shared" si="59"/>
        <v/>
      </c>
      <c r="AH517" s="42" t="str">
        <f t="shared" si="60"/>
        <v/>
      </c>
      <c r="AI517" s="42" t="str">
        <f t="shared" si="61"/>
        <v/>
      </c>
      <c r="AJ517" s="42" t="str">
        <f t="shared" si="62"/>
        <v/>
      </c>
      <c r="AK517" s="42" t="str">
        <f t="shared" si="63"/>
        <v/>
      </c>
      <c r="AO517" s="86">
        <f ca="1"/>
        <v>37952.875</v>
      </c>
      <c r="AP517" s="87">
        <f ca="1"/>
        <v>1531.11</v>
      </c>
      <c r="AQ517" s="87">
        <f ca="1"/>
        <v>1531.22</v>
      </c>
      <c r="AR517" s="88">
        <f ca="1"/>
        <v>37952.875</v>
      </c>
      <c r="AS517" s="87">
        <f ca="1"/>
        <v>474</v>
      </c>
      <c r="AT517" s="87">
        <f ca="1"/>
        <v>568.94000000000005</v>
      </c>
    </row>
    <row r="518" spans="13:46" x14ac:dyDescent="0.25">
      <c r="M518" s="42">
        <v>514</v>
      </c>
      <c r="N518" s="3" t="s">
        <v>574</v>
      </c>
      <c r="O518" s="49">
        <f t="shared" ref="O518:O533" si="64">IF(ISTEXT(N518),IF(MID(N518,11,2)="24",1+DATEVALUE(LEFT(N518,10))+TIMEVALUE(CONCATENATE(MID(N518,11,2),":",MID(N518,13,2))),DATEVALUE(LEFT(N518,10))+TIMEVALUE(CONCATENATE(MID(N518,11,2),":",MID(N518,13,2)))),"")</f>
        <v>37952.875</v>
      </c>
      <c r="P518" s="42">
        <v>1531.11</v>
      </c>
      <c r="Q518" s="42">
        <v>474</v>
      </c>
      <c r="R518" s="42">
        <v>1531.22</v>
      </c>
      <c r="S518" s="42">
        <v>568.94000000000005</v>
      </c>
      <c r="T518" s="42"/>
      <c r="U518" s="42"/>
      <c r="V518" s="3"/>
      <c r="W518" s="3"/>
      <c r="X518" s="3"/>
      <c r="Y518" s="3"/>
      <c r="Z518" s="3"/>
      <c r="AA518" s="3"/>
      <c r="AB518" s="3"/>
      <c r="AE518" s="42">
        <f t="shared" si="57"/>
        <v>863192</v>
      </c>
      <c r="AF518" s="42">
        <f t="shared" si="58"/>
        <v>816675.42000000051</v>
      </c>
      <c r="AG518" s="42" t="str">
        <f t="shared" si="59"/>
        <v/>
      </c>
      <c r="AH518" s="42" t="str">
        <f t="shared" si="60"/>
        <v/>
      </c>
      <c r="AI518" s="42" t="str">
        <f t="shared" si="61"/>
        <v/>
      </c>
      <c r="AJ518" s="42" t="str">
        <f t="shared" si="62"/>
        <v/>
      </c>
      <c r="AK518" s="42" t="str">
        <f t="shared" si="63"/>
        <v/>
      </c>
      <c r="AO518" s="86">
        <f ca="1"/>
        <v>37952.916666666664</v>
      </c>
      <c r="AP518" s="87">
        <f ca="1"/>
        <v>1531.11</v>
      </c>
      <c r="AQ518" s="87">
        <f ca="1"/>
        <v>1531.2</v>
      </c>
      <c r="AR518" s="88">
        <f ca="1"/>
        <v>37952.916666666664</v>
      </c>
      <c r="AS518" s="87">
        <f ca="1"/>
        <v>474</v>
      </c>
      <c r="AT518" s="87">
        <f ca="1"/>
        <v>563.11</v>
      </c>
    </row>
    <row r="519" spans="13:46" x14ac:dyDescent="0.25">
      <c r="M519" s="42">
        <v>515</v>
      </c>
      <c r="N519" s="3" t="s">
        <v>575</v>
      </c>
      <c r="O519" s="49">
        <f t="shared" si="64"/>
        <v>37952.916666666664</v>
      </c>
      <c r="P519" s="42">
        <v>1531.11</v>
      </c>
      <c r="Q519" s="42">
        <v>474</v>
      </c>
      <c r="R519" s="42">
        <v>1531.2</v>
      </c>
      <c r="S519" s="42">
        <v>563.11</v>
      </c>
      <c r="T519" s="42"/>
      <c r="U519" s="42"/>
      <c r="V519" s="3"/>
      <c r="W519" s="3"/>
      <c r="X519" s="3"/>
      <c r="Y519" s="3"/>
      <c r="Z519" s="3"/>
      <c r="AA519" s="3"/>
      <c r="AB519" s="3"/>
      <c r="AE519" s="42">
        <f t="shared" ref="AE519:AE581" si="65">IF(ISNUMBER(Q519),AE518+Q519,"")</f>
        <v>863666</v>
      </c>
      <c r="AF519" s="42">
        <f t="shared" ref="AF519:AF581" si="66">IF(ISNUMBER(S519),AF518+S519,"")</f>
        <v>817238.53000000049</v>
      </c>
      <c r="AG519" s="42" t="str">
        <f t="shared" ref="AG519:AG581" si="67">IF(ISNUMBER(U519),AG518+U519,"")</f>
        <v/>
      </c>
      <c r="AH519" s="42" t="str">
        <f t="shared" ref="AH519:AH581" si="68">IF(ISNUMBER(W519),AH518+W519,"")</f>
        <v/>
      </c>
      <c r="AI519" s="42" t="str">
        <f t="shared" ref="AI519:AI581" si="69">IF(ISNUMBER(Y519),AI518+Y519,"")</f>
        <v/>
      </c>
      <c r="AJ519" s="42" t="str">
        <f t="shared" ref="AJ519:AJ581" si="70">IF(ISNUMBER(AA519),AJ518+AA519,"")</f>
        <v/>
      </c>
      <c r="AK519" s="42" t="str">
        <f t="shared" ref="AK519:AK581" si="71">IF(ISNUMBER(AC519),AK518+AC519,"")</f>
        <v/>
      </c>
      <c r="AO519" s="86">
        <f ca="1"/>
        <v>37952.958333333336</v>
      </c>
      <c r="AP519" s="87">
        <f ca="1"/>
        <v>1531.1</v>
      </c>
      <c r="AQ519" s="87">
        <f ca="1"/>
        <v>1531.21</v>
      </c>
      <c r="AR519" s="88">
        <f ca="1"/>
        <v>37952.958333333336</v>
      </c>
      <c r="AS519" s="87">
        <f ca="1"/>
        <v>470</v>
      </c>
      <c r="AT519" s="87">
        <f ca="1"/>
        <v>564.78</v>
      </c>
    </row>
    <row r="520" spans="13:46" x14ac:dyDescent="0.25">
      <c r="M520" s="42">
        <v>516</v>
      </c>
      <c r="N520" s="3" t="s">
        <v>576</v>
      </c>
      <c r="O520" s="49">
        <f t="shared" si="64"/>
        <v>37952.958333333336</v>
      </c>
      <c r="P520" s="42">
        <v>1531.1</v>
      </c>
      <c r="Q520" s="42">
        <v>470</v>
      </c>
      <c r="R520" s="42">
        <v>1531.21</v>
      </c>
      <c r="S520" s="42">
        <v>564.78</v>
      </c>
      <c r="T520" s="42"/>
      <c r="U520" s="42"/>
      <c r="V520" s="3"/>
      <c r="W520" s="3"/>
      <c r="X520" s="3"/>
      <c r="Y520" s="3"/>
      <c r="Z520" s="3"/>
      <c r="AA520" s="3"/>
      <c r="AB520" s="3"/>
      <c r="AE520" s="42">
        <f t="shared" si="65"/>
        <v>864136</v>
      </c>
      <c r="AF520" s="42">
        <f t="shared" si="66"/>
        <v>817803.31000000052</v>
      </c>
      <c r="AG520" s="42" t="str">
        <f t="shared" si="67"/>
        <v/>
      </c>
      <c r="AH520" s="42" t="str">
        <f t="shared" si="68"/>
        <v/>
      </c>
      <c r="AI520" s="42" t="str">
        <f t="shared" si="69"/>
        <v/>
      </c>
      <c r="AJ520" s="42" t="str">
        <f t="shared" si="70"/>
        <v/>
      </c>
      <c r="AK520" s="42" t="str">
        <f t="shared" si="71"/>
        <v/>
      </c>
      <c r="AO520" s="86">
        <f ca="1"/>
        <v>37953</v>
      </c>
      <c r="AP520" s="87">
        <f ca="1"/>
        <v>1531.1</v>
      </c>
      <c r="AQ520" s="87">
        <f ca="1"/>
        <v>1531.19</v>
      </c>
      <c r="AR520" s="88">
        <f ca="1"/>
        <v>37953</v>
      </c>
      <c r="AS520" s="87">
        <f ca="1"/>
        <v>470</v>
      </c>
      <c r="AT520" s="87">
        <f ca="1"/>
        <v>557.46</v>
      </c>
    </row>
    <row r="521" spans="13:46" x14ac:dyDescent="0.25">
      <c r="M521" s="42">
        <v>517</v>
      </c>
      <c r="N521" s="3" t="s">
        <v>577</v>
      </c>
      <c r="O521" s="49">
        <f t="shared" si="64"/>
        <v>37953</v>
      </c>
      <c r="P521" s="42">
        <v>1531.1</v>
      </c>
      <c r="Q521" s="42">
        <v>470</v>
      </c>
      <c r="R521" s="42">
        <v>1531.19</v>
      </c>
      <c r="S521" s="42">
        <v>557.46</v>
      </c>
      <c r="T521" s="42"/>
      <c r="U521" s="42"/>
      <c r="V521" s="3"/>
      <c r="W521" s="3"/>
      <c r="X521" s="3"/>
      <c r="Y521" s="3"/>
      <c r="Z521" s="3"/>
      <c r="AA521" s="3"/>
      <c r="AB521" s="3"/>
      <c r="AE521" s="42">
        <f t="shared" si="65"/>
        <v>864606</v>
      </c>
      <c r="AF521" s="42">
        <f t="shared" si="66"/>
        <v>818360.77000000048</v>
      </c>
      <c r="AG521" s="42" t="str">
        <f t="shared" si="67"/>
        <v/>
      </c>
      <c r="AH521" s="42" t="str">
        <f t="shared" si="68"/>
        <v/>
      </c>
      <c r="AI521" s="42" t="str">
        <f t="shared" si="69"/>
        <v/>
      </c>
      <c r="AJ521" s="42" t="str">
        <f t="shared" si="70"/>
        <v/>
      </c>
      <c r="AK521" s="42" t="str">
        <f t="shared" si="71"/>
        <v/>
      </c>
      <c r="AO521" s="86">
        <f ca="1"/>
        <v>37953.041666666664</v>
      </c>
      <c r="AP521" s="87">
        <f ca="1"/>
        <v>1531.1</v>
      </c>
      <c r="AQ521" s="87">
        <f ca="1"/>
        <v>1531.19</v>
      </c>
      <c r="AR521" s="88">
        <f ca="1"/>
        <v>37953.041666666664</v>
      </c>
      <c r="AS521" s="87">
        <f ca="1"/>
        <v>470</v>
      </c>
      <c r="AT521" s="87">
        <f ca="1"/>
        <v>556.86</v>
      </c>
    </row>
    <row r="522" spans="13:46" x14ac:dyDescent="0.25">
      <c r="M522" s="42">
        <v>518</v>
      </c>
      <c r="N522" s="3" t="s">
        <v>578</v>
      </c>
      <c r="O522" s="49">
        <f t="shared" si="64"/>
        <v>37953.041666666664</v>
      </c>
      <c r="P522" s="42">
        <v>1531.1</v>
      </c>
      <c r="Q522" s="42">
        <v>470</v>
      </c>
      <c r="R522" s="42">
        <v>1531.19</v>
      </c>
      <c r="S522" s="42">
        <v>556.86</v>
      </c>
      <c r="T522" s="42"/>
      <c r="U522" s="42"/>
      <c r="V522" s="3"/>
      <c r="W522" s="3"/>
      <c r="X522" s="3"/>
      <c r="Y522" s="3"/>
      <c r="Z522" s="3"/>
      <c r="AA522" s="3"/>
      <c r="AB522" s="3"/>
      <c r="AE522" s="42">
        <f t="shared" si="65"/>
        <v>865076</v>
      </c>
      <c r="AF522" s="42">
        <f t="shared" si="66"/>
        <v>818917.63000000047</v>
      </c>
      <c r="AG522" s="42" t="str">
        <f t="shared" si="67"/>
        <v/>
      </c>
      <c r="AH522" s="42" t="str">
        <f t="shared" si="68"/>
        <v/>
      </c>
      <c r="AI522" s="42" t="str">
        <f t="shared" si="69"/>
        <v/>
      </c>
      <c r="AJ522" s="42" t="str">
        <f t="shared" si="70"/>
        <v/>
      </c>
      <c r="AK522" s="42" t="str">
        <f t="shared" si="71"/>
        <v/>
      </c>
      <c r="AO522" s="86">
        <f ca="1"/>
        <v>37953.083333333336</v>
      </c>
      <c r="AP522" s="87">
        <f ca="1"/>
        <v>1531.1</v>
      </c>
      <c r="AQ522" s="87">
        <f ca="1"/>
        <v>1531.18</v>
      </c>
      <c r="AR522" s="88">
        <f ca="1"/>
        <v>37953.083333333336</v>
      </c>
      <c r="AS522" s="87">
        <f ca="1"/>
        <v>470</v>
      </c>
      <c r="AT522" s="87">
        <f ca="1"/>
        <v>552.37</v>
      </c>
    </row>
    <row r="523" spans="13:46" x14ac:dyDescent="0.25">
      <c r="M523" s="42">
        <v>519</v>
      </c>
      <c r="N523" s="3" t="s">
        <v>579</v>
      </c>
      <c r="O523" s="49">
        <f t="shared" si="64"/>
        <v>37953.083333333336</v>
      </c>
      <c r="P523" s="42">
        <v>1531.1</v>
      </c>
      <c r="Q523" s="42">
        <v>470</v>
      </c>
      <c r="R523" s="42">
        <v>1531.18</v>
      </c>
      <c r="S523" s="42">
        <v>552.37</v>
      </c>
      <c r="T523" s="42"/>
      <c r="U523" s="42"/>
      <c r="V523" s="3"/>
      <c r="W523" s="3"/>
      <c r="X523" s="3"/>
      <c r="Y523" s="3"/>
      <c r="Z523" s="3"/>
      <c r="AA523" s="3"/>
      <c r="AB523" s="3"/>
      <c r="AE523" s="42">
        <f t="shared" si="65"/>
        <v>865546</v>
      </c>
      <c r="AF523" s="42">
        <f t="shared" si="66"/>
        <v>819470.00000000047</v>
      </c>
      <c r="AG523" s="42" t="str">
        <f t="shared" si="67"/>
        <v/>
      </c>
      <c r="AH523" s="42" t="str">
        <f t="shared" si="68"/>
        <v/>
      </c>
      <c r="AI523" s="42" t="str">
        <f t="shared" si="69"/>
        <v/>
      </c>
      <c r="AJ523" s="42" t="str">
        <f t="shared" si="70"/>
        <v/>
      </c>
      <c r="AK523" s="42" t="str">
        <f t="shared" si="71"/>
        <v/>
      </c>
      <c r="AO523" s="86">
        <f ca="1"/>
        <v>37953.125</v>
      </c>
      <c r="AP523" s="87">
        <f ca="1"/>
        <v>1531.09</v>
      </c>
      <c r="AQ523" s="87">
        <f ca="1"/>
        <v>1531.17</v>
      </c>
      <c r="AR523" s="88">
        <f ca="1"/>
        <v>37953.125</v>
      </c>
      <c r="AS523" s="87">
        <f ca="1"/>
        <v>467</v>
      </c>
      <c r="AT523" s="87">
        <f ca="1"/>
        <v>544.79</v>
      </c>
    </row>
    <row r="524" spans="13:46" x14ac:dyDescent="0.25">
      <c r="M524" s="42">
        <v>520</v>
      </c>
      <c r="N524" s="3" t="s">
        <v>580</v>
      </c>
      <c r="O524" s="49">
        <f t="shared" si="64"/>
        <v>37953.125</v>
      </c>
      <c r="P524" s="42">
        <v>1531.09</v>
      </c>
      <c r="Q524" s="42">
        <v>467</v>
      </c>
      <c r="R524" s="42">
        <v>1531.17</v>
      </c>
      <c r="S524" s="42">
        <v>544.79</v>
      </c>
      <c r="T524" s="42"/>
      <c r="U524" s="42"/>
      <c r="V524" s="3"/>
      <c r="W524" s="3"/>
      <c r="X524" s="3"/>
      <c r="Y524" s="3"/>
      <c r="Z524" s="3"/>
      <c r="AA524" s="3"/>
      <c r="AB524" s="3"/>
      <c r="AE524" s="42">
        <f t="shared" si="65"/>
        <v>866013</v>
      </c>
      <c r="AF524" s="42">
        <f t="shared" si="66"/>
        <v>820014.7900000005</v>
      </c>
      <c r="AG524" s="42" t="str">
        <f t="shared" si="67"/>
        <v/>
      </c>
      <c r="AH524" s="42" t="str">
        <f t="shared" si="68"/>
        <v/>
      </c>
      <c r="AI524" s="42" t="str">
        <f t="shared" si="69"/>
        <v/>
      </c>
      <c r="AJ524" s="42" t="str">
        <f t="shared" si="70"/>
        <v/>
      </c>
      <c r="AK524" s="42" t="str">
        <f t="shared" si="71"/>
        <v/>
      </c>
      <c r="AO524" s="86">
        <f ca="1"/>
        <v>37953.166666666664</v>
      </c>
      <c r="AP524" s="87">
        <f ca="1"/>
        <v>1531.08</v>
      </c>
      <c r="AQ524" s="87">
        <f ca="1"/>
        <v>1531.16</v>
      </c>
      <c r="AR524" s="88">
        <f ca="1"/>
        <v>37953.166666666664</v>
      </c>
      <c r="AS524" s="87">
        <f ca="1"/>
        <v>463</v>
      </c>
      <c r="AT524" s="87">
        <f ca="1"/>
        <v>541.54999999999995</v>
      </c>
    </row>
    <row r="525" spans="13:46" x14ac:dyDescent="0.25">
      <c r="M525" s="42">
        <v>521</v>
      </c>
      <c r="N525" s="3" t="s">
        <v>581</v>
      </c>
      <c r="O525" s="49">
        <f t="shared" si="64"/>
        <v>37953.166666666664</v>
      </c>
      <c r="P525" s="42">
        <v>1531.08</v>
      </c>
      <c r="Q525" s="42">
        <v>463</v>
      </c>
      <c r="R525" s="42">
        <v>1531.16</v>
      </c>
      <c r="S525" s="42">
        <v>541.54999999999995</v>
      </c>
      <c r="T525" s="42"/>
      <c r="U525" s="42"/>
      <c r="V525" s="3"/>
      <c r="W525" s="3"/>
      <c r="X525" s="3"/>
      <c r="Y525" s="3"/>
      <c r="Z525" s="3"/>
      <c r="AA525" s="3"/>
      <c r="AB525" s="3"/>
      <c r="AE525" s="42">
        <f t="shared" si="65"/>
        <v>866476</v>
      </c>
      <c r="AF525" s="42">
        <f t="shared" si="66"/>
        <v>820556.34000000055</v>
      </c>
      <c r="AG525" s="42" t="str">
        <f t="shared" si="67"/>
        <v/>
      </c>
      <c r="AH525" s="42" t="str">
        <f t="shared" si="68"/>
        <v/>
      </c>
      <c r="AI525" s="42" t="str">
        <f t="shared" si="69"/>
        <v/>
      </c>
      <c r="AJ525" s="42" t="str">
        <f t="shared" si="70"/>
        <v/>
      </c>
      <c r="AK525" s="42" t="str">
        <f t="shared" si="71"/>
        <v/>
      </c>
      <c r="AO525" s="86">
        <f ca="1"/>
        <v>37953.208333333336</v>
      </c>
      <c r="AP525" s="87">
        <f ca="1"/>
        <v>1531.08</v>
      </c>
      <c r="AQ525" s="87">
        <f ca="1"/>
        <v>1531.15</v>
      </c>
      <c r="AR525" s="88">
        <f ca="1"/>
        <v>37953.208333333336</v>
      </c>
      <c r="AS525" s="87">
        <f ca="1"/>
        <v>463</v>
      </c>
      <c r="AT525" s="87">
        <f ca="1"/>
        <v>539.64</v>
      </c>
    </row>
    <row r="526" spans="13:46" x14ac:dyDescent="0.25">
      <c r="M526" s="42">
        <v>522</v>
      </c>
      <c r="N526" s="3" t="s">
        <v>582</v>
      </c>
      <c r="O526" s="49">
        <f t="shared" si="64"/>
        <v>37953.208333333336</v>
      </c>
      <c r="P526" s="42">
        <v>1531.08</v>
      </c>
      <c r="Q526" s="42">
        <v>463</v>
      </c>
      <c r="R526" s="42">
        <v>1531.15</v>
      </c>
      <c r="S526" s="42">
        <v>539.64</v>
      </c>
      <c r="T526" s="42"/>
      <c r="U526" s="42"/>
      <c r="V526" s="3"/>
      <c r="W526" s="3"/>
      <c r="X526" s="3"/>
      <c r="Y526" s="3"/>
      <c r="Z526" s="3"/>
      <c r="AA526" s="3"/>
      <c r="AB526" s="3"/>
      <c r="AE526" s="42">
        <f t="shared" si="65"/>
        <v>866939</v>
      </c>
      <c r="AF526" s="42">
        <f t="shared" si="66"/>
        <v>821095.98000000056</v>
      </c>
      <c r="AG526" s="42" t="str">
        <f t="shared" si="67"/>
        <v/>
      </c>
      <c r="AH526" s="42" t="str">
        <f t="shared" si="68"/>
        <v/>
      </c>
      <c r="AI526" s="42" t="str">
        <f t="shared" si="69"/>
        <v/>
      </c>
      <c r="AJ526" s="42" t="str">
        <f t="shared" si="70"/>
        <v/>
      </c>
      <c r="AK526" s="42" t="str">
        <f t="shared" si="71"/>
        <v/>
      </c>
      <c r="AO526" s="86">
        <f ca="1"/>
        <v>37953.25</v>
      </c>
      <c r="AP526" s="87">
        <f ca="1"/>
        <v>1531.08</v>
      </c>
      <c r="AQ526" s="87">
        <f ca="1"/>
        <v>1531.15</v>
      </c>
      <c r="AR526" s="88">
        <f ca="1"/>
        <v>37953.25</v>
      </c>
      <c r="AS526" s="87">
        <f ca="1"/>
        <v>463</v>
      </c>
      <c r="AT526" s="87">
        <f ca="1"/>
        <v>535.54</v>
      </c>
    </row>
    <row r="527" spans="13:46" x14ac:dyDescent="0.25">
      <c r="M527" s="42">
        <v>523</v>
      </c>
      <c r="N527" s="3" t="s">
        <v>583</v>
      </c>
      <c r="O527" s="49">
        <f t="shared" si="64"/>
        <v>37953.25</v>
      </c>
      <c r="P527" s="42">
        <v>1531.08</v>
      </c>
      <c r="Q527" s="42">
        <v>463</v>
      </c>
      <c r="R527" s="42">
        <v>1531.15</v>
      </c>
      <c r="S527" s="42">
        <v>535.54</v>
      </c>
      <c r="T527" s="42"/>
      <c r="U527" s="42"/>
      <c r="V527" s="3"/>
      <c r="W527" s="3"/>
      <c r="X527" s="3"/>
      <c r="Y527" s="3"/>
      <c r="Z527" s="3"/>
      <c r="AA527" s="3"/>
      <c r="AB527" s="3"/>
      <c r="AE527" s="42">
        <f t="shared" si="65"/>
        <v>867402</v>
      </c>
      <c r="AF527" s="42">
        <f t="shared" si="66"/>
        <v>821631.5200000006</v>
      </c>
      <c r="AG527" s="42" t="str">
        <f t="shared" si="67"/>
        <v/>
      </c>
      <c r="AH527" s="42" t="str">
        <f t="shared" si="68"/>
        <v/>
      </c>
      <c r="AI527" s="42" t="str">
        <f t="shared" si="69"/>
        <v/>
      </c>
      <c r="AJ527" s="42" t="str">
        <f t="shared" si="70"/>
        <v/>
      </c>
      <c r="AK527" s="42" t="str">
        <f t="shared" si="71"/>
        <v/>
      </c>
      <c r="AO527" s="86">
        <f ca="1"/>
        <v>37953.291666666664</v>
      </c>
      <c r="AP527" s="87">
        <f ca="1"/>
        <v>1531.08</v>
      </c>
      <c r="AQ527" s="87">
        <f ca="1"/>
        <v>1531.13</v>
      </c>
      <c r="AR527" s="88">
        <f ca="1"/>
        <v>37953.291666666664</v>
      </c>
      <c r="AS527" s="87">
        <f ca="1"/>
        <v>463</v>
      </c>
      <c r="AT527" s="87">
        <f ca="1"/>
        <v>528.41</v>
      </c>
    </row>
    <row r="528" spans="13:46" x14ac:dyDescent="0.25">
      <c r="M528" s="42">
        <v>524</v>
      </c>
      <c r="N528" s="3" t="s">
        <v>584</v>
      </c>
      <c r="O528" s="49">
        <f t="shared" si="64"/>
        <v>37953.291666666664</v>
      </c>
      <c r="P528" s="42">
        <v>1531.08</v>
      </c>
      <c r="Q528" s="42">
        <v>463</v>
      </c>
      <c r="R528" s="42">
        <v>1531.13</v>
      </c>
      <c r="S528" s="42">
        <v>528.41</v>
      </c>
      <c r="T528" s="42"/>
      <c r="U528" s="42"/>
      <c r="V528" s="3"/>
      <c r="W528" s="3"/>
      <c r="X528" s="3"/>
      <c r="Y528" s="3"/>
      <c r="Z528" s="3"/>
      <c r="AA528" s="3"/>
      <c r="AB528" s="3"/>
      <c r="AE528" s="42">
        <f t="shared" si="65"/>
        <v>867865</v>
      </c>
      <c r="AF528" s="42">
        <f t="shared" si="66"/>
        <v>822159.93000000063</v>
      </c>
      <c r="AG528" s="42" t="str">
        <f t="shared" si="67"/>
        <v/>
      </c>
      <c r="AH528" s="42" t="str">
        <f t="shared" si="68"/>
        <v/>
      </c>
      <c r="AI528" s="42" t="str">
        <f t="shared" si="69"/>
        <v/>
      </c>
      <c r="AJ528" s="42" t="str">
        <f t="shared" si="70"/>
        <v/>
      </c>
      <c r="AK528" s="42" t="str">
        <f t="shared" si="71"/>
        <v/>
      </c>
      <c r="AO528" s="86">
        <f ca="1"/>
        <v>37953.333333333336</v>
      </c>
      <c r="AP528" s="87">
        <f ca="1"/>
        <v>1531.07</v>
      </c>
      <c r="AQ528" s="87">
        <f ca="1"/>
        <v>1531.12</v>
      </c>
      <c r="AR528" s="88">
        <f ca="1"/>
        <v>37953.333333333336</v>
      </c>
      <c r="AS528" s="87">
        <f ca="1"/>
        <v>460</v>
      </c>
      <c r="AT528" s="87">
        <f ca="1"/>
        <v>522.22</v>
      </c>
    </row>
    <row r="529" spans="13:46" x14ac:dyDescent="0.25">
      <c r="M529" s="42">
        <v>525</v>
      </c>
      <c r="N529" s="3" t="s">
        <v>585</v>
      </c>
      <c r="O529" s="49">
        <f t="shared" si="64"/>
        <v>37953.333333333336</v>
      </c>
      <c r="P529" s="42">
        <v>1531.07</v>
      </c>
      <c r="Q529" s="42">
        <v>460</v>
      </c>
      <c r="R529" s="42">
        <v>1531.12</v>
      </c>
      <c r="S529" s="42">
        <v>522.22</v>
      </c>
      <c r="T529" s="42"/>
      <c r="U529" s="42"/>
      <c r="V529" s="3"/>
      <c r="W529" s="3"/>
      <c r="X529" s="3"/>
      <c r="Y529" s="3"/>
      <c r="Z529" s="3"/>
      <c r="AA529" s="3"/>
      <c r="AB529" s="3"/>
      <c r="AE529" s="42">
        <f t="shared" si="65"/>
        <v>868325</v>
      </c>
      <c r="AF529" s="42">
        <f t="shared" si="66"/>
        <v>822682.15000000061</v>
      </c>
      <c r="AG529" s="42" t="str">
        <f t="shared" si="67"/>
        <v/>
      </c>
      <c r="AH529" s="42" t="str">
        <f t="shared" si="68"/>
        <v/>
      </c>
      <c r="AI529" s="42" t="str">
        <f t="shared" si="69"/>
        <v/>
      </c>
      <c r="AJ529" s="42" t="str">
        <f t="shared" si="70"/>
        <v/>
      </c>
      <c r="AK529" s="42" t="str">
        <f t="shared" si="71"/>
        <v/>
      </c>
      <c r="AO529" s="86">
        <f ca="1"/>
        <v>37953.375</v>
      </c>
      <c r="AP529" s="87">
        <f ca="1"/>
        <v>1531.07</v>
      </c>
      <c r="AQ529" s="87">
        <f ca="1"/>
        <v>1531.12</v>
      </c>
      <c r="AR529" s="88">
        <f ca="1"/>
        <v>37953.375</v>
      </c>
      <c r="AS529" s="87">
        <f ca="1"/>
        <v>460</v>
      </c>
      <c r="AT529" s="87">
        <f ca="1"/>
        <v>521.16</v>
      </c>
    </row>
    <row r="530" spans="13:46" x14ac:dyDescent="0.25">
      <c r="M530" s="42">
        <v>526</v>
      </c>
      <c r="N530" s="3" t="s">
        <v>586</v>
      </c>
      <c r="O530" s="49">
        <f t="shared" si="64"/>
        <v>37953.375</v>
      </c>
      <c r="P530" s="42">
        <v>1531.07</v>
      </c>
      <c r="Q530" s="42">
        <v>460</v>
      </c>
      <c r="R530" s="42">
        <v>1531.12</v>
      </c>
      <c r="S530" s="42">
        <v>521.16</v>
      </c>
      <c r="T530" s="42"/>
      <c r="U530" s="42"/>
      <c r="V530" s="3"/>
      <c r="W530" s="3"/>
      <c r="X530" s="3"/>
      <c r="Y530" s="3"/>
      <c r="Z530" s="3"/>
      <c r="AA530" s="3"/>
      <c r="AB530" s="3"/>
      <c r="AE530" s="42">
        <f t="shared" si="65"/>
        <v>868785</v>
      </c>
      <c r="AF530" s="42">
        <f t="shared" si="66"/>
        <v>823203.31000000064</v>
      </c>
      <c r="AG530" s="42" t="str">
        <f t="shared" si="67"/>
        <v/>
      </c>
      <c r="AH530" s="42" t="str">
        <f t="shared" si="68"/>
        <v/>
      </c>
      <c r="AI530" s="42" t="str">
        <f t="shared" si="69"/>
        <v/>
      </c>
      <c r="AJ530" s="42" t="str">
        <f t="shared" si="70"/>
        <v/>
      </c>
      <c r="AK530" s="42" t="str">
        <f t="shared" si="71"/>
        <v/>
      </c>
      <c r="AO530" s="86">
        <f ca="1"/>
        <v>37953.416666666664</v>
      </c>
      <c r="AP530" s="87">
        <f ca="1"/>
        <v>1531.07</v>
      </c>
      <c r="AQ530" s="87">
        <f ca="1"/>
        <v>1531.1</v>
      </c>
      <c r="AR530" s="88">
        <f ca="1"/>
        <v>37953.416666666664</v>
      </c>
      <c r="AS530" s="87">
        <f ca="1"/>
        <v>460</v>
      </c>
      <c r="AT530" s="87">
        <f ca="1"/>
        <v>516.04</v>
      </c>
    </row>
    <row r="531" spans="13:46" x14ac:dyDescent="0.25">
      <c r="M531" s="42">
        <v>527</v>
      </c>
      <c r="N531" s="3" t="s">
        <v>587</v>
      </c>
      <c r="O531" s="49">
        <f t="shared" si="64"/>
        <v>37953.416666666664</v>
      </c>
      <c r="P531" s="42">
        <v>1531.07</v>
      </c>
      <c r="Q531" s="42">
        <v>460</v>
      </c>
      <c r="R531" s="42">
        <v>1531.1</v>
      </c>
      <c r="S531" s="42">
        <v>516.04</v>
      </c>
      <c r="T531" s="42"/>
      <c r="U531" s="42"/>
      <c r="V531" s="3"/>
      <c r="W531" s="3"/>
      <c r="X531" s="3"/>
      <c r="Y531" s="3"/>
      <c r="Z531" s="3"/>
      <c r="AA531" s="3"/>
      <c r="AB531" s="3"/>
      <c r="AE531" s="42">
        <f t="shared" si="65"/>
        <v>869245</v>
      </c>
      <c r="AF531" s="42">
        <f t="shared" si="66"/>
        <v>823719.35000000068</v>
      </c>
      <c r="AG531" s="42" t="str">
        <f t="shared" si="67"/>
        <v/>
      </c>
      <c r="AH531" s="42" t="str">
        <f t="shared" si="68"/>
        <v/>
      </c>
      <c r="AI531" s="42" t="str">
        <f t="shared" si="69"/>
        <v/>
      </c>
      <c r="AJ531" s="42" t="str">
        <f t="shared" si="70"/>
        <v/>
      </c>
      <c r="AK531" s="42" t="str">
        <f t="shared" si="71"/>
        <v/>
      </c>
      <c r="AO531" s="86">
        <f ca="1"/>
        <v>37953.458333333336</v>
      </c>
      <c r="AP531" s="87">
        <f ca="1"/>
        <v>1531.07</v>
      </c>
      <c r="AQ531" s="87">
        <f ca="1"/>
        <v>1531.09</v>
      </c>
      <c r="AR531" s="88">
        <f ca="1"/>
        <v>37953.458333333336</v>
      </c>
      <c r="AS531" s="87">
        <f ca="1"/>
        <v>460</v>
      </c>
      <c r="AT531" s="87">
        <f ca="1"/>
        <v>511.01</v>
      </c>
    </row>
    <row r="532" spans="13:46" x14ac:dyDescent="0.25">
      <c r="M532" s="42">
        <v>528</v>
      </c>
      <c r="N532" s="3" t="s">
        <v>588</v>
      </c>
      <c r="O532" s="49">
        <f t="shared" si="64"/>
        <v>37953.458333333336</v>
      </c>
      <c r="P532" s="42">
        <v>1531.07</v>
      </c>
      <c r="Q532" s="42">
        <v>460</v>
      </c>
      <c r="R532" s="42">
        <v>1531.09</v>
      </c>
      <c r="S532" s="42">
        <v>511.01</v>
      </c>
      <c r="T532" s="42"/>
      <c r="U532" s="42"/>
      <c r="V532" s="3"/>
      <c r="W532" s="3"/>
      <c r="X532" s="3"/>
      <c r="Y532" s="3"/>
      <c r="Z532" s="3"/>
      <c r="AA532" s="3"/>
      <c r="AB532" s="3"/>
      <c r="AE532" s="42">
        <f t="shared" si="65"/>
        <v>869705</v>
      </c>
      <c r="AF532" s="42">
        <f t="shared" si="66"/>
        <v>824230.36000000068</v>
      </c>
      <c r="AG532" s="42" t="str">
        <f t="shared" si="67"/>
        <v/>
      </c>
      <c r="AH532" s="42" t="str">
        <f t="shared" si="68"/>
        <v/>
      </c>
      <c r="AI532" s="42" t="str">
        <f t="shared" si="69"/>
        <v/>
      </c>
      <c r="AJ532" s="42" t="str">
        <f t="shared" si="70"/>
        <v/>
      </c>
      <c r="AK532" s="42" t="str">
        <f t="shared" si="71"/>
        <v/>
      </c>
      <c r="AO532" s="86">
        <f ca="1"/>
        <v>37953.5</v>
      </c>
      <c r="AP532" s="87">
        <f ca="1"/>
        <v>1531.07</v>
      </c>
      <c r="AQ532" s="87">
        <f ca="1"/>
        <v>1531.09</v>
      </c>
      <c r="AR532" s="88">
        <f ca="1"/>
        <v>37953.5</v>
      </c>
      <c r="AS532" s="87">
        <f ca="1"/>
        <v>460</v>
      </c>
      <c r="AT532" s="87">
        <f ca="1"/>
        <v>508.35</v>
      </c>
    </row>
    <row r="533" spans="13:46" x14ac:dyDescent="0.25">
      <c r="M533" s="42">
        <v>529</v>
      </c>
      <c r="N533" s="3" t="s">
        <v>589</v>
      </c>
      <c r="O533" s="49">
        <f t="shared" si="64"/>
        <v>37953.5</v>
      </c>
      <c r="P533" s="42">
        <v>1531.07</v>
      </c>
      <c r="Q533" s="42">
        <v>460</v>
      </c>
      <c r="R533" s="42">
        <v>1531.09</v>
      </c>
      <c r="S533" s="42">
        <v>508.35</v>
      </c>
      <c r="T533" s="42"/>
      <c r="U533" s="42"/>
      <c r="V533" s="3"/>
      <c r="W533" s="3"/>
      <c r="X533" s="3"/>
      <c r="Y533" s="3"/>
      <c r="Z533" s="3"/>
      <c r="AA533" s="3"/>
      <c r="AB533" s="3"/>
      <c r="AE533" s="42">
        <f t="shared" si="65"/>
        <v>870165</v>
      </c>
      <c r="AF533" s="42">
        <f t="shared" si="66"/>
        <v>824738.71000000066</v>
      </c>
      <c r="AG533" s="42" t="str">
        <f t="shared" si="67"/>
        <v/>
      </c>
      <c r="AH533" s="42" t="str">
        <f t="shared" si="68"/>
        <v/>
      </c>
      <c r="AI533" s="42" t="str">
        <f t="shared" si="69"/>
        <v/>
      </c>
      <c r="AJ533" s="42" t="str">
        <f t="shared" si="70"/>
        <v/>
      </c>
      <c r="AK533" s="42" t="str">
        <f t="shared" si="71"/>
        <v/>
      </c>
      <c r="AO533" s="86"/>
      <c r="AP533" s="87"/>
      <c r="AQ533" s="87"/>
      <c r="AR533" s="88"/>
      <c r="AS533" s="87"/>
      <c r="AT533" s="87"/>
    </row>
    <row r="534" spans="13:46" x14ac:dyDescent="0.25">
      <c r="N534" s="3"/>
      <c r="O534" s="49" t="e">
        <f>IF(ISTEXT(N534),IF(MID(N534,11,2)="24",1+DATEVALUE(LEFT(N534,10))+TIMEVALUE(CONCATENATE(MID(N534,11,2),":",MID(N534,13,2))),DATEVALUE(LEFT(N534,10))+TIMEVALUE(CONCATENATE(MID(N534,11,2),":",MID(N534,13,2)))),#N/A)</f>
        <v>#N/A</v>
      </c>
      <c r="P534" s="42"/>
      <c r="Q534" s="42"/>
      <c r="R534" s="42"/>
      <c r="S534" s="42"/>
      <c r="T534" s="42"/>
      <c r="U534" s="42"/>
      <c r="V534" s="3"/>
      <c r="W534" s="3"/>
      <c r="X534" s="3"/>
      <c r="Y534" s="3"/>
      <c r="Z534" s="3"/>
      <c r="AA534" s="3"/>
      <c r="AB534" s="3"/>
      <c r="AE534" s="42" t="str">
        <f t="shared" si="65"/>
        <v/>
      </c>
      <c r="AF534" s="42" t="str">
        <f t="shared" si="66"/>
        <v/>
      </c>
      <c r="AG534" s="42" t="str">
        <f t="shared" si="67"/>
        <v/>
      </c>
      <c r="AH534" s="42" t="str">
        <f t="shared" si="68"/>
        <v/>
      </c>
      <c r="AI534" s="42" t="str">
        <f t="shared" si="69"/>
        <v/>
      </c>
      <c r="AJ534" s="42" t="str">
        <f t="shared" si="70"/>
        <v/>
      </c>
      <c r="AK534" s="42" t="str">
        <f t="shared" si="71"/>
        <v/>
      </c>
      <c r="AO534" s="86"/>
      <c r="AP534" s="87"/>
      <c r="AQ534" s="87"/>
      <c r="AR534" s="88"/>
      <c r="AS534" s="87"/>
      <c r="AT534" s="87"/>
    </row>
    <row r="535" spans="13:46" x14ac:dyDescent="0.25">
      <c r="N535" s="3"/>
      <c r="O535" s="49" t="e">
        <f t="shared" ref="O535:O598" si="72">IF(ISTEXT(N535),IF(MID(N535,11,2)="24",1+DATEVALUE(LEFT(N535,10))+TIMEVALUE(CONCATENATE(MID(N535,11,2),":",MID(N535,13,2))),DATEVALUE(LEFT(N535,10))+TIMEVALUE(CONCATENATE(MID(N535,11,2),":",MID(N535,13,2)))),#N/A)</f>
        <v>#N/A</v>
      </c>
      <c r="P535" s="42"/>
      <c r="Q535" s="42"/>
      <c r="R535" s="42"/>
      <c r="S535" s="42"/>
      <c r="T535" s="42"/>
      <c r="U535" s="42"/>
      <c r="V535" s="3"/>
      <c r="W535" s="3"/>
      <c r="X535" s="3"/>
      <c r="Y535" s="3"/>
      <c r="Z535" s="3"/>
      <c r="AA535" s="3"/>
      <c r="AB535" s="3"/>
      <c r="AE535" s="42" t="str">
        <f t="shared" si="65"/>
        <v/>
      </c>
      <c r="AF535" s="42" t="str">
        <f t="shared" si="66"/>
        <v/>
      </c>
      <c r="AG535" s="42" t="str">
        <f t="shared" si="67"/>
        <v/>
      </c>
      <c r="AH535" s="42" t="str">
        <f t="shared" si="68"/>
        <v/>
      </c>
      <c r="AI535" s="42" t="str">
        <f t="shared" si="69"/>
        <v/>
      </c>
      <c r="AJ535" s="42" t="str">
        <f t="shared" si="70"/>
        <v/>
      </c>
      <c r="AK535" s="42" t="str">
        <f t="shared" si="71"/>
        <v/>
      </c>
      <c r="AO535" s="86"/>
      <c r="AP535" s="87"/>
      <c r="AQ535" s="87"/>
      <c r="AR535" s="88"/>
      <c r="AS535" s="87"/>
      <c r="AT535" s="87"/>
    </row>
    <row r="536" spans="13:46" x14ac:dyDescent="0.25">
      <c r="N536" s="3"/>
      <c r="O536" s="49" t="e">
        <f t="shared" si="72"/>
        <v>#N/A</v>
      </c>
      <c r="P536" s="42"/>
      <c r="Q536" s="42"/>
      <c r="R536" s="42"/>
      <c r="S536" s="42"/>
      <c r="T536" s="42"/>
      <c r="U536" s="42"/>
      <c r="V536" s="3"/>
      <c r="W536" s="3"/>
      <c r="X536" s="3"/>
      <c r="Y536" s="3"/>
      <c r="Z536" s="3"/>
      <c r="AA536" s="3"/>
      <c r="AB536" s="3"/>
      <c r="AE536" s="42" t="str">
        <f t="shared" si="65"/>
        <v/>
      </c>
      <c r="AF536" s="42" t="str">
        <f t="shared" si="66"/>
        <v/>
      </c>
      <c r="AG536" s="42" t="str">
        <f t="shared" si="67"/>
        <v/>
      </c>
      <c r="AH536" s="42" t="str">
        <f t="shared" si="68"/>
        <v/>
      </c>
      <c r="AI536" s="42" t="str">
        <f t="shared" si="69"/>
        <v/>
      </c>
      <c r="AJ536" s="42" t="str">
        <f t="shared" si="70"/>
        <v/>
      </c>
      <c r="AK536" s="42" t="str">
        <f t="shared" si="71"/>
        <v/>
      </c>
      <c r="AO536" s="86"/>
      <c r="AP536" s="87"/>
      <c r="AQ536" s="87"/>
      <c r="AR536" s="88"/>
      <c r="AS536" s="87"/>
      <c r="AT536" s="87"/>
    </row>
    <row r="537" spans="13:46" x14ac:dyDescent="0.25">
      <c r="N537" s="3"/>
      <c r="O537" s="49" t="e">
        <f t="shared" si="72"/>
        <v>#N/A</v>
      </c>
      <c r="P537" s="42"/>
      <c r="Q537" s="42"/>
      <c r="R537" s="42"/>
      <c r="S537" s="42"/>
      <c r="T537" s="42"/>
      <c r="U537" s="42"/>
      <c r="V537" s="3"/>
      <c r="W537" s="3"/>
      <c r="X537" s="3"/>
      <c r="Y537" s="3"/>
      <c r="Z537" s="3"/>
      <c r="AA537" s="3"/>
      <c r="AB537" s="3"/>
      <c r="AE537" s="42" t="str">
        <f t="shared" si="65"/>
        <v/>
      </c>
      <c r="AF537" s="42" t="str">
        <f t="shared" si="66"/>
        <v/>
      </c>
      <c r="AG537" s="42" t="str">
        <f t="shared" si="67"/>
        <v/>
      </c>
      <c r="AH537" s="42" t="str">
        <f t="shared" si="68"/>
        <v/>
      </c>
      <c r="AI537" s="42" t="str">
        <f t="shared" si="69"/>
        <v/>
      </c>
      <c r="AJ537" s="42" t="str">
        <f t="shared" si="70"/>
        <v/>
      </c>
      <c r="AK537" s="42" t="str">
        <f t="shared" si="71"/>
        <v/>
      </c>
      <c r="AO537" s="86"/>
      <c r="AP537" s="87"/>
      <c r="AQ537" s="87"/>
      <c r="AR537" s="88"/>
      <c r="AS537" s="87"/>
      <c r="AT537" s="87"/>
    </row>
    <row r="538" spans="13:46" x14ac:dyDescent="0.25">
      <c r="N538" s="3"/>
      <c r="O538" s="49" t="e">
        <f t="shared" si="72"/>
        <v>#N/A</v>
      </c>
      <c r="P538" s="42"/>
      <c r="Q538" s="42"/>
      <c r="R538" s="42"/>
      <c r="S538" s="42"/>
      <c r="T538" s="42"/>
      <c r="U538" s="42"/>
      <c r="V538" s="3"/>
      <c r="W538" s="3"/>
      <c r="X538" s="3"/>
      <c r="Y538" s="3"/>
      <c r="Z538" s="3"/>
      <c r="AA538" s="3"/>
      <c r="AB538" s="3"/>
      <c r="AE538" s="42" t="str">
        <f t="shared" si="65"/>
        <v/>
      </c>
      <c r="AF538" s="42" t="str">
        <f t="shared" si="66"/>
        <v/>
      </c>
      <c r="AG538" s="42" t="str">
        <f t="shared" si="67"/>
        <v/>
      </c>
      <c r="AH538" s="42" t="str">
        <f t="shared" si="68"/>
        <v/>
      </c>
      <c r="AI538" s="42" t="str">
        <f t="shared" si="69"/>
        <v/>
      </c>
      <c r="AJ538" s="42" t="str">
        <f t="shared" si="70"/>
        <v/>
      </c>
      <c r="AK538" s="42" t="str">
        <f t="shared" si="71"/>
        <v/>
      </c>
      <c r="AO538" s="86"/>
      <c r="AP538" s="87"/>
      <c r="AQ538" s="87"/>
      <c r="AR538" s="88"/>
      <c r="AS538" s="87"/>
      <c r="AT538" s="87"/>
    </row>
    <row r="539" spans="13:46" x14ac:dyDescent="0.25">
      <c r="N539" s="3"/>
      <c r="O539" s="49" t="e">
        <f t="shared" si="72"/>
        <v>#N/A</v>
      </c>
      <c r="P539" s="42"/>
      <c r="Q539" s="42"/>
      <c r="R539" s="42"/>
      <c r="S539" s="42"/>
      <c r="T539" s="42"/>
      <c r="U539" s="42"/>
      <c r="V539" s="3"/>
      <c r="W539" s="3"/>
      <c r="X539" s="3"/>
      <c r="Y539" s="3"/>
      <c r="Z539" s="3"/>
      <c r="AA539" s="3"/>
      <c r="AB539" s="3"/>
      <c r="AE539" s="42" t="str">
        <f t="shared" si="65"/>
        <v/>
      </c>
      <c r="AF539" s="42" t="str">
        <f t="shared" si="66"/>
        <v/>
      </c>
      <c r="AG539" s="42" t="str">
        <f t="shared" si="67"/>
        <v/>
      </c>
      <c r="AH539" s="42" t="str">
        <f t="shared" si="68"/>
        <v/>
      </c>
      <c r="AI539" s="42" t="str">
        <f t="shared" si="69"/>
        <v/>
      </c>
      <c r="AJ539" s="42" t="str">
        <f t="shared" si="70"/>
        <v/>
      </c>
      <c r="AK539" s="42" t="str">
        <f t="shared" si="71"/>
        <v/>
      </c>
      <c r="AO539" s="86"/>
      <c r="AP539" s="87"/>
      <c r="AQ539" s="87"/>
      <c r="AR539" s="88"/>
      <c r="AS539" s="87"/>
      <c r="AT539" s="87"/>
    </row>
    <row r="540" spans="13:46" x14ac:dyDescent="0.25">
      <c r="N540" s="3"/>
      <c r="O540" s="49" t="e">
        <f t="shared" si="72"/>
        <v>#N/A</v>
      </c>
      <c r="P540" s="42"/>
      <c r="Q540" s="42"/>
      <c r="R540" s="42"/>
      <c r="S540" s="42"/>
      <c r="T540" s="42"/>
      <c r="U540" s="42"/>
      <c r="V540" s="3"/>
      <c r="W540" s="3"/>
      <c r="X540" s="3"/>
      <c r="Y540" s="3"/>
      <c r="Z540" s="3"/>
      <c r="AA540" s="3"/>
      <c r="AB540" s="3"/>
      <c r="AE540" s="42" t="str">
        <f t="shared" si="65"/>
        <v/>
      </c>
      <c r="AF540" s="42" t="str">
        <f t="shared" si="66"/>
        <v/>
      </c>
      <c r="AG540" s="42" t="str">
        <f t="shared" si="67"/>
        <v/>
      </c>
      <c r="AH540" s="42" t="str">
        <f t="shared" si="68"/>
        <v/>
      </c>
      <c r="AI540" s="42" t="str">
        <f t="shared" si="69"/>
        <v/>
      </c>
      <c r="AJ540" s="42" t="str">
        <f t="shared" si="70"/>
        <v/>
      </c>
      <c r="AK540" s="42" t="str">
        <f t="shared" si="71"/>
        <v/>
      </c>
      <c r="AO540" s="86"/>
      <c r="AP540" s="87"/>
      <c r="AQ540" s="87"/>
      <c r="AR540" s="88"/>
      <c r="AS540" s="87"/>
      <c r="AT540" s="87"/>
    </row>
    <row r="541" spans="13:46" x14ac:dyDescent="0.25">
      <c r="N541" s="3"/>
      <c r="O541" s="49" t="e">
        <f t="shared" si="72"/>
        <v>#N/A</v>
      </c>
      <c r="P541" s="42"/>
      <c r="Q541" s="42"/>
      <c r="R541" s="42"/>
      <c r="S541" s="42"/>
      <c r="T541" s="42"/>
      <c r="U541" s="42"/>
      <c r="V541" s="3"/>
      <c r="W541" s="3"/>
      <c r="X541" s="3"/>
      <c r="Y541" s="3"/>
      <c r="Z541" s="3"/>
      <c r="AA541" s="3"/>
      <c r="AB541" s="3"/>
      <c r="AE541" s="42" t="str">
        <f t="shared" si="65"/>
        <v/>
      </c>
      <c r="AF541" s="42" t="str">
        <f t="shared" si="66"/>
        <v/>
      </c>
      <c r="AG541" s="42" t="str">
        <f t="shared" si="67"/>
        <v/>
      </c>
      <c r="AH541" s="42" t="str">
        <f t="shared" si="68"/>
        <v/>
      </c>
      <c r="AI541" s="42" t="str">
        <f t="shared" si="69"/>
        <v/>
      </c>
      <c r="AJ541" s="42" t="str">
        <f t="shared" si="70"/>
        <v/>
      </c>
      <c r="AK541" s="42" t="str">
        <f t="shared" si="71"/>
        <v/>
      </c>
      <c r="AO541" s="86"/>
      <c r="AP541" s="87"/>
      <c r="AQ541" s="87"/>
      <c r="AR541" s="88"/>
      <c r="AS541" s="87"/>
      <c r="AT541" s="87"/>
    </row>
    <row r="542" spans="13:46" x14ac:dyDescent="0.25">
      <c r="N542" s="3"/>
      <c r="O542" s="49" t="e">
        <f t="shared" si="72"/>
        <v>#N/A</v>
      </c>
      <c r="P542" s="42"/>
      <c r="Q542" s="42"/>
      <c r="R542" s="42"/>
      <c r="S542" s="42"/>
      <c r="T542" s="42"/>
      <c r="U542" s="42"/>
      <c r="V542" s="3"/>
      <c r="W542" s="3"/>
      <c r="X542" s="3"/>
      <c r="Y542" s="3"/>
      <c r="Z542" s="3"/>
      <c r="AA542" s="3"/>
      <c r="AB542" s="3"/>
      <c r="AE542" s="42" t="str">
        <f t="shared" si="65"/>
        <v/>
      </c>
      <c r="AF542" s="42" t="str">
        <f t="shared" si="66"/>
        <v/>
      </c>
      <c r="AG542" s="42" t="str">
        <f t="shared" si="67"/>
        <v/>
      </c>
      <c r="AH542" s="42" t="str">
        <f t="shared" si="68"/>
        <v/>
      </c>
      <c r="AI542" s="42" t="str">
        <f t="shared" si="69"/>
        <v/>
      </c>
      <c r="AJ542" s="42" t="str">
        <f t="shared" si="70"/>
        <v/>
      </c>
      <c r="AK542" s="42" t="str">
        <f t="shared" si="71"/>
        <v/>
      </c>
      <c r="AO542" s="86"/>
      <c r="AP542" s="87"/>
      <c r="AQ542" s="87"/>
      <c r="AR542" s="88"/>
      <c r="AS542" s="87"/>
      <c r="AT542" s="87"/>
    </row>
    <row r="543" spans="13:46" x14ac:dyDescent="0.25">
      <c r="N543" s="3"/>
      <c r="O543" s="49" t="e">
        <f t="shared" si="72"/>
        <v>#N/A</v>
      </c>
      <c r="P543" s="42"/>
      <c r="Q543" s="42"/>
      <c r="R543" s="42"/>
      <c r="S543" s="42"/>
      <c r="T543" s="42"/>
      <c r="U543" s="42"/>
      <c r="V543" s="3"/>
      <c r="W543" s="3"/>
      <c r="X543" s="3"/>
      <c r="Y543" s="3"/>
      <c r="Z543" s="3"/>
      <c r="AA543" s="3"/>
      <c r="AB543" s="3"/>
      <c r="AE543" s="42" t="str">
        <f t="shared" si="65"/>
        <v/>
      </c>
      <c r="AF543" s="42" t="str">
        <f t="shared" si="66"/>
        <v/>
      </c>
      <c r="AG543" s="42" t="str">
        <f t="shared" si="67"/>
        <v/>
      </c>
      <c r="AH543" s="42" t="str">
        <f t="shared" si="68"/>
        <v/>
      </c>
      <c r="AI543" s="42" t="str">
        <f t="shared" si="69"/>
        <v/>
      </c>
      <c r="AJ543" s="42" t="str">
        <f t="shared" si="70"/>
        <v/>
      </c>
      <c r="AK543" s="42" t="str">
        <f t="shared" si="71"/>
        <v/>
      </c>
      <c r="AO543" s="86"/>
      <c r="AP543" s="87"/>
      <c r="AQ543" s="87"/>
      <c r="AR543" s="88"/>
      <c r="AS543" s="87"/>
      <c r="AT543" s="87"/>
    </row>
    <row r="544" spans="13:46" x14ac:dyDescent="0.25">
      <c r="N544" s="3"/>
      <c r="O544" s="49" t="e">
        <f t="shared" si="72"/>
        <v>#N/A</v>
      </c>
      <c r="P544" s="42"/>
      <c r="Q544" s="42"/>
      <c r="R544" s="42"/>
      <c r="S544" s="42"/>
      <c r="T544" s="42"/>
      <c r="U544" s="42"/>
      <c r="V544" s="3"/>
      <c r="W544" s="3"/>
      <c r="X544" s="3"/>
      <c r="Y544" s="3"/>
      <c r="Z544" s="3"/>
      <c r="AA544" s="3"/>
      <c r="AB544" s="3"/>
      <c r="AE544" s="42" t="str">
        <f t="shared" si="65"/>
        <v/>
      </c>
      <c r="AF544" s="42" t="str">
        <f t="shared" si="66"/>
        <v/>
      </c>
      <c r="AG544" s="42" t="str">
        <f t="shared" si="67"/>
        <v/>
      </c>
      <c r="AH544" s="42" t="str">
        <f t="shared" si="68"/>
        <v/>
      </c>
      <c r="AI544" s="42" t="str">
        <f t="shared" si="69"/>
        <v/>
      </c>
      <c r="AJ544" s="42" t="str">
        <f t="shared" si="70"/>
        <v/>
      </c>
      <c r="AK544" s="42" t="str">
        <f t="shared" si="71"/>
        <v/>
      </c>
      <c r="AO544" s="86"/>
      <c r="AP544" s="87"/>
      <c r="AQ544" s="87"/>
      <c r="AR544" s="88"/>
      <c r="AS544" s="87"/>
      <c r="AT544" s="87"/>
    </row>
    <row r="545" spans="14:46" x14ac:dyDescent="0.25">
      <c r="N545" s="3"/>
      <c r="O545" s="49" t="e">
        <f t="shared" si="72"/>
        <v>#N/A</v>
      </c>
      <c r="P545" s="42"/>
      <c r="Q545" s="42"/>
      <c r="R545" s="42"/>
      <c r="S545" s="42"/>
      <c r="T545" s="42"/>
      <c r="U545" s="42"/>
      <c r="V545" s="3"/>
      <c r="W545" s="3"/>
      <c r="X545" s="3"/>
      <c r="Y545" s="3"/>
      <c r="Z545" s="3"/>
      <c r="AA545" s="3"/>
      <c r="AB545" s="3"/>
      <c r="AE545" s="42" t="str">
        <f t="shared" si="65"/>
        <v/>
      </c>
      <c r="AF545" s="42" t="str">
        <f t="shared" si="66"/>
        <v/>
      </c>
      <c r="AG545" s="42" t="str">
        <f t="shared" si="67"/>
        <v/>
      </c>
      <c r="AH545" s="42" t="str">
        <f t="shared" si="68"/>
        <v/>
      </c>
      <c r="AI545" s="42" t="str">
        <f t="shared" si="69"/>
        <v/>
      </c>
      <c r="AJ545" s="42" t="str">
        <f t="shared" si="70"/>
        <v/>
      </c>
      <c r="AK545" s="42" t="str">
        <f t="shared" si="71"/>
        <v/>
      </c>
      <c r="AO545" s="86"/>
      <c r="AP545" s="87"/>
      <c r="AQ545" s="87"/>
      <c r="AR545" s="88"/>
      <c r="AS545" s="87"/>
      <c r="AT545" s="87"/>
    </row>
    <row r="546" spans="14:46" x14ac:dyDescent="0.25">
      <c r="N546" s="3"/>
      <c r="O546" s="49" t="e">
        <f t="shared" si="72"/>
        <v>#N/A</v>
      </c>
      <c r="P546" s="42"/>
      <c r="Q546" s="42"/>
      <c r="R546" s="42"/>
      <c r="S546" s="42"/>
      <c r="T546" s="42"/>
      <c r="U546" s="42"/>
      <c r="V546" s="3"/>
      <c r="W546" s="3"/>
      <c r="X546" s="3"/>
      <c r="Y546" s="3"/>
      <c r="Z546" s="3"/>
      <c r="AA546" s="3"/>
      <c r="AB546" s="3"/>
      <c r="AE546" s="42" t="str">
        <f t="shared" si="65"/>
        <v/>
      </c>
      <c r="AF546" s="42" t="str">
        <f t="shared" si="66"/>
        <v/>
      </c>
      <c r="AG546" s="42" t="str">
        <f t="shared" si="67"/>
        <v/>
      </c>
      <c r="AH546" s="42" t="str">
        <f t="shared" si="68"/>
        <v/>
      </c>
      <c r="AI546" s="42" t="str">
        <f t="shared" si="69"/>
        <v/>
      </c>
      <c r="AJ546" s="42" t="str">
        <f t="shared" si="70"/>
        <v/>
      </c>
      <c r="AK546" s="42" t="str">
        <f t="shared" si="71"/>
        <v/>
      </c>
      <c r="AO546" s="86"/>
      <c r="AP546" s="87"/>
      <c r="AQ546" s="87"/>
      <c r="AR546" s="88"/>
      <c r="AS546" s="87"/>
      <c r="AT546" s="87"/>
    </row>
    <row r="547" spans="14:46" x14ac:dyDescent="0.25">
      <c r="N547" s="3"/>
      <c r="O547" s="49" t="e">
        <f t="shared" si="72"/>
        <v>#N/A</v>
      </c>
      <c r="P547" s="42"/>
      <c r="Q547" s="42"/>
      <c r="R547" s="42"/>
      <c r="S547" s="42"/>
      <c r="T547" s="42"/>
      <c r="U547" s="42"/>
      <c r="V547" s="3"/>
      <c r="W547" s="3"/>
      <c r="X547" s="3"/>
      <c r="Y547" s="3"/>
      <c r="Z547" s="3"/>
      <c r="AA547" s="3"/>
      <c r="AB547" s="3"/>
      <c r="AE547" s="42" t="str">
        <f t="shared" si="65"/>
        <v/>
      </c>
      <c r="AF547" s="42" t="str">
        <f t="shared" si="66"/>
        <v/>
      </c>
      <c r="AG547" s="42" t="str">
        <f t="shared" si="67"/>
        <v/>
      </c>
      <c r="AH547" s="42" t="str">
        <f t="shared" si="68"/>
        <v/>
      </c>
      <c r="AI547" s="42" t="str">
        <f t="shared" si="69"/>
        <v/>
      </c>
      <c r="AJ547" s="42" t="str">
        <f t="shared" si="70"/>
        <v/>
      </c>
      <c r="AK547" s="42" t="str">
        <f t="shared" si="71"/>
        <v/>
      </c>
      <c r="AO547" s="86"/>
      <c r="AP547" s="87"/>
      <c r="AQ547" s="87"/>
      <c r="AR547" s="88"/>
      <c r="AS547" s="87"/>
      <c r="AT547" s="87"/>
    </row>
    <row r="548" spans="14:46" x14ac:dyDescent="0.25">
      <c r="N548" s="3"/>
      <c r="O548" s="49" t="e">
        <f t="shared" si="72"/>
        <v>#N/A</v>
      </c>
      <c r="P548" s="42"/>
      <c r="Q548" s="42"/>
      <c r="R548" s="42"/>
      <c r="S548" s="42"/>
      <c r="T548" s="42"/>
      <c r="U548" s="42"/>
      <c r="V548" s="3"/>
      <c r="W548" s="3"/>
      <c r="X548" s="3"/>
      <c r="Y548" s="3"/>
      <c r="Z548" s="3"/>
      <c r="AA548" s="3"/>
      <c r="AB548" s="3"/>
      <c r="AE548" s="42" t="str">
        <f t="shared" si="65"/>
        <v/>
      </c>
      <c r="AF548" s="42" t="str">
        <f t="shared" si="66"/>
        <v/>
      </c>
      <c r="AG548" s="42" t="str">
        <f t="shared" si="67"/>
        <v/>
      </c>
      <c r="AH548" s="42" t="str">
        <f t="shared" si="68"/>
        <v/>
      </c>
      <c r="AI548" s="42" t="str">
        <f t="shared" si="69"/>
        <v/>
      </c>
      <c r="AJ548" s="42" t="str">
        <f t="shared" si="70"/>
        <v/>
      </c>
      <c r="AK548" s="42" t="str">
        <f t="shared" si="71"/>
        <v/>
      </c>
      <c r="AO548" s="86"/>
      <c r="AP548" s="87"/>
      <c r="AQ548" s="87"/>
      <c r="AR548" s="88"/>
      <c r="AS548" s="87"/>
      <c r="AT548" s="87"/>
    </row>
    <row r="549" spans="14:46" x14ac:dyDescent="0.25">
      <c r="N549" s="3"/>
      <c r="O549" s="49" t="e">
        <f t="shared" si="72"/>
        <v>#N/A</v>
      </c>
      <c r="P549" s="42"/>
      <c r="Q549" s="42"/>
      <c r="R549" s="42"/>
      <c r="S549" s="42"/>
      <c r="T549" s="42"/>
      <c r="U549" s="42"/>
      <c r="V549" s="3"/>
      <c r="W549" s="3"/>
      <c r="X549" s="3"/>
      <c r="Y549" s="3"/>
      <c r="Z549" s="3"/>
      <c r="AA549" s="3"/>
      <c r="AB549" s="3"/>
      <c r="AE549" s="42" t="str">
        <f t="shared" si="65"/>
        <v/>
      </c>
      <c r="AF549" s="42" t="str">
        <f t="shared" si="66"/>
        <v/>
      </c>
      <c r="AG549" s="42" t="str">
        <f t="shared" si="67"/>
        <v/>
      </c>
      <c r="AH549" s="42" t="str">
        <f t="shared" si="68"/>
        <v/>
      </c>
      <c r="AI549" s="42" t="str">
        <f t="shared" si="69"/>
        <v/>
      </c>
      <c r="AJ549" s="42" t="str">
        <f t="shared" si="70"/>
        <v/>
      </c>
      <c r="AK549" s="42" t="str">
        <f t="shared" si="71"/>
        <v/>
      </c>
      <c r="AO549" s="86"/>
      <c r="AP549" s="87"/>
      <c r="AQ549" s="87"/>
      <c r="AR549" s="88"/>
      <c r="AS549" s="87"/>
      <c r="AT549" s="87"/>
    </row>
    <row r="550" spans="14:46" x14ac:dyDescent="0.25">
      <c r="N550" s="3"/>
      <c r="O550" s="49" t="e">
        <f t="shared" si="72"/>
        <v>#N/A</v>
      </c>
      <c r="P550" s="42"/>
      <c r="Q550" s="42"/>
      <c r="R550" s="42"/>
      <c r="S550" s="42"/>
      <c r="T550" s="42"/>
      <c r="U550" s="42"/>
      <c r="V550" s="3"/>
      <c r="W550" s="3"/>
      <c r="X550" s="3"/>
      <c r="Y550" s="3"/>
      <c r="Z550" s="3"/>
      <c r="AA550" s="3"/>
      <c r="AB550" s="3"/>
      <c r="AE550" s="42" t="str">
        <f t="shared" si="65"/>
        <v/>
      </c>
      <c r="AF550" s="42" t="str">
        <f t="shared" si="66"/>
        <v/>
      </c>
      <c r="AG550" s="42" t="str">
        <f t="shared" si="67"/>
        <v/>
      </c>
      <c r="AH550" s="42" t="str">
        <f t="shared" si="68"/>
        <v/>
      </c>
      <c r="AI550" s="42" t="str">
        <f t="shared" si="69"/>
        <v/>
      </c>
      <c r="AJ550" s="42" t="str">
        <f t="shared" si="70"/>
        <v/>
      </c>
      <c r="AK550" s="42" t="str">
        <f t="shared" si="71"/>
        <v/>
      </c>
      <c r="AO550" s="86"/>
      <c r="AP550" s="87"/>
      <c r="AQ550" s="87"/>
      <c r="AR550" s="88"/>
      <c r="AS550" s="87"/>
      <c r="AT550" s="87"/>
    </row>
    <row r="551" spans="14:46" x14ac:dyDescent="0.25">
      <c r="N551" s="3"/>
      <c r="O551" s="49" t="e">
        <f t="shared" si="72"/>
        <v>#N/A</v>
      </c>
      <c r="P551" s="42"/>
      <c r="Q551" s="42"/>
      <c r="R551" s="42"/>
      <c r="S551" s="42"/>
      <c r="T551" s="42"/>
      <c r="U551" s="42"/>
      <c r="V551" s="3"/>
      <c r="W551" s="3"/>
      <c r="X551" s="3"/>
      <c r="Y551" s="3"/>
      <c r="Z551" s="3"/>
      <c r="AA551" s="3"/>
      <c r="AB551" s="3"/>
      <c r="AE551" s="42" t="str">
        <f t="shared" si="65"/>
        <v/>
      </c>
      <c r="AF551" s="42" t="str">
        <f t="shared" si="66"/>
        <v/>
      </c>
      <c r="AG551" s="42" t="str">
        <f t="shared" si="67"/>
        <v/>
      </c>
      <c r="AH551" s="42" t="str">
        <f t="shared" si="68"/>
        <v/>
      </c>
      <c r="AI551" s="42" t="str">
        <f t="shared" si="69"/>
        <v/>
      </c>
      <c r="AJ551" s="42" t="str">
        <f t="shared" si="70"/>
        <v/>
      </c>
      <c r="AK551" s="42" t="str">
        <f t="shared" si="71"/>
        <v/>
      </c>
      <c r="AO551" s="86"/>
      <c r="AP551" s="87"/>
      <c r="AQ551" s="87"/>
      <c r="AR551" s="88"/>
      <c r="AS551" s="87"/>
      <c r="AT551" s="87"/>
    </row>
    <row r="552" spans="14:46" x14ac:dyDescent="0.25">
      <c r="N552" s="3"/>
      <c r="O552" s="49" t="e">
        <f t="shared" si="72"/>
        <v>#N/A</v>
      </c>
      <c r="P552" s="42"/>
      <c r="Q552" s="42"/>
      <c r="R552" s="42"/>
      <c r="S552" s="42"/>
      <c r="T552" s="42"/>
      <c r="U552" s="42"/>
      <c r="V552" s="3"/>
      <c r="W552" s="3"/>
      <c r="X552" s="3"/>
      <c r="Y552" s="3"/>
      <c r="Z552" s="3"/>
      <c r="AA552" s="3"/>
      <c r="AB552" s="3"/>
      <c r="AE552" s="42" t="str">
        <f t="shared" si="65"/>
        <v/>
      </c>
      <c r="AF552" s="42" t="str">
        <f t="shared" si="66"/>
        <v/>
      </c>
      <c r="AG552" s="42" t="str">
        <f t="shared" si="67"/>
        <v/>
      </c>
      <c r="AH552" s="42" t="str">
        <f t="shared" si="68"/>
        <v/>
      </c>
      <c r="AI552" s="42" t="str">
        <f t="shared" si="69"/>
        <v/>
      </c>
      <c r="AJ552" s="42" t="str">
        <f t="shared" si="70"/>
        <v/>
      </c>
      <c r="AK552" s="42" t="str">
        <f t="shared" si="71"/>
        <v/>
      </c>
      <c r="AO552" s="86"/>
      <c r="AP552" s="87"/>
      <c r="AQ552" s="87"/>
      <c r="AR552" s="88"/>
      <c r="AS552" s="87"/>
      <c r="AT552" s="87"/>
    </row>
    <row r="553" spans="14:46" x14ac:dyDescent="0.25">
      <c r="N553" s="3"/>
      <c r="O553" s="49" t="e">
        <f t="shared" si="72"/>
        <v>#N/A</v>
      </c>
      <c r="P553" s="42"/>
      <c r="Q553" s="42"/>
      <c r="R553" s="42"/>
      <c r="S553" s="42"/>
      <c r="T553" s="42"/>
      <c r="U553" s="42"/>
      <c r="V553" s="3"/>
      <c r="W553" s="3"/>
      <c r="X553" s="3"/>
      <c r="Y553" s="3"/>
      <c r="Z553" s="3"/>
      <c r="AA553" s="3"/>
      <c r="AB553" s="3"/>
      <c r="AE553" s="42" t="str">
        <f t="shared" si="65"/>
        <v/>
      </c>
      <c r="AF553" s="42" t="str">
        <f t="shared" si="66"/>
        <v/>
      </c>
      <c r="AG553" s="42" t="str">
        <f t="shared" si="67"/>
        <v/>
      </c>
      <c r="AH553" s="42" t="str">
        <f t="shared" si="68"/>
        <v/>
      </c>
      <c r="AI553" s="42" t="str">
        <f t="shared" si="69"/>
        <v/>
      </c>
      <c r="AJ553" s="42" t="str">
        <f t="shared" si="70"/>
        <v/>
      </c>
      <c r="AK553" s="42" t="str">
        <f t="shared" si="71"/>
        <v/>
      </c>
      <c r="AO553" s="86"/>
      <c r="AP553" s="87"/>
      <c r="AQ553" s="87"/>
      <c r="AR553" s="88"/>
      <c r="AS553" s="87"/>
      <c r="AT553" s="87"/>
    </row>
    <row r="554" spans="14:46" x14ac:dyDescent="0.25">
      <c r="N554" s="3"/>
      <c r="O554" s="49" t="e">
        <f t="shared" si="72"/>
        <v>#N/A</v>
      </c>
      <c r="P554" s="42"/>
      <c r="Q554" s="42"/>
      <c r="R554" s="42"/>
      <c r="S554" s="42"/>
      <c r="T554" s="42"/>
      <c r="U554" s="42"/>
      <c r="V554" s="3"/>
      <c r="W554" s="3"/>
      <c r="X554" s="3"/>
      <c r="Y554" s="3"/>
      <c r="Z554" s="3"/>
      <c r="AA554" s="3"/>
      <c r="AB554" s="3"/>
      <c r="AE554" s="42" t="str">
        <f t="shared" si="65"/>
        <v/>
      </c>
      <c r="AF554" s="42" t="str">
        <f t="shared" si="66"/>
        <v/>
      </c>
      <c r="AG554" s="42" t="str">
        <f t="shared" si="67"/>
        <v/>
      </c>
      <c r="AH554" s="42" t="str">
        <f t="shared" si="68"/>
        <v/>
      </c>
      <c r="AI554" s="42" t="str">
        <f t="shared" si="69"/>
        <v/>
      </c>
      <c r="AJ554" s="42" t="str">
        <f t="shared" si="70"/>
        <v/>
      </c>
      <c r="AK554" s="42" t="str">
        <f t="shared" si="71"/>
        <v/>
      </c>
      <c r="AO554" s="86"/>
      <c r="AP554" s="87"/>
      <c r="AQ554" s="87"/>
      <c r="AR554" s="88"/>
      <c r="AS554" s="87"/>
      <c r="AT554" s="87"/>
    </row>
    <row r="555" spans="14:46" x14ac:dyDescent="0.25">
      <c r="N555" s="3"/>
      <c r="O555" s="49" t="e">
        <f t="shared" si="72"/>
        <v>#N/A</v>
      </c>
      <c r="P555" s="42"/>
      <c r="Q555" s="42"/>
      <c r="R555" s="42"/>
      <c r="S555" s="42"/>
      <c r="T555" s="42"/>
      <c r="U555" s="42"/>
      <c r="V555" s="3"/>
      <c r="W555" s="3"/>
      <c r="X555" s="3"/>
      <c r="Y555" s="3"/>
      <c r="Z555" s="3"/>
      <c r="AA555" s="3"/>
      <c r="AB555" s="3"/>
      <c r="AE555" s="42" t="str">
        <f t="shared" si="65"/>
        <v/>
      </c>
      <c r="AF555" s="42" t="str">
        <f t="shared" si="66"/>
        <v/>
      </c>
      <c r="AG555" s="42" t="str">
        <f t="shared" si="67"/>
        <v/>
      </c>
      <c r="AH555" s="42" t="str">
        <f t="shared" si="68"/>
        <v/>
      </c>
      <c r="AI555" s="42" t="str">
        <f t="shared" si="69"/>
        <v/>
      </c>
      <c r="AJ555" s="42" t="str">
        <f t="shared" si="70"/>
        <v/>
      </c>
      <c r="AK555" s="42" t="str">
        <f t="shared" si="71"/>
        <v/>
      </c>
      <c r="AO555" s="86"/>
      <c r="AP555" s="87"/>
      <c r="AQ555" s="87"/>
      <c r="AR555" s="88"/>
      <c r="AS555" s="87"/>
      <c r="AT555" s="87"/>
    </row>
    <row r="556" spans="14:46" x14ac:dyDescent="0.25">
      <c r="N556" s="3"/>
      <c r="O556" s="49" t="e">
        <f t="shared" si="72"/>
        <v>#N/A</v>
      </c>
      <c r="P556" s="42"/>
      <c r="Q556" s="42"/>
      <c r="R556" s="42"/>
      <c r="S556" s="42"/>
      <c r="T556" s="42"/>
      <c r="U556" s="42"/>
      <c r="V556" s="3"/>
      <c r="W556" s="3"/>
      <c r="X556" s="3"/>
      <c r="Y556" s="3"/>
      <c r="Z556" s="3"/>
      <c r="AA556" s="3"/>
      <c r="AB556" s="3"/>
      <c r="AE556" s="42" t="str">
        <f t="shared" si="65"/>
        <v/>
      </c>
      <c r="AF556" s="42" t="str">
        <f t="shared" si="66"/>
        <v/>
      </c>
      <c r="AG556" s="42" t="str">
        <f t="shared" si="67"/>
        <v/>
      </c>
      <c r="AH556" s="42" t="str">
        <f t="shared" si="68"/>
        <v/>
      </c>
      <c r="AI556" s="42" t="str">
        <f t="shared" si="69"/>
        <v/>
      </c>
      <c r="AJ556" s="42" t="str">
        <f t="shared" si="70"/>
        <v/>
      </c>
      <c r="AK556" s="42" t="str">
        <f t="shared" si="71"/>
        <v/>
      </c>
      <c r="AO556" s="86"/>
      <c r="AP556" s="87"/>
      <c r="AQ556" s="87"/>
      <c r="AR556" s="88"/>
      <c r="AS556" s="87"/>
      <c r="AT556" s="87"/>
    </row>
    <row r="557" spans="14:46" x14ac:dyDescent="0.25">
      <c r="N557" s="3"/>
      <c r="O557" s="49" t="e">
        <f t="shared" si="72"/>
        <v>#N/A</v>
      </c>
      <c r="P557" s="42"/>
      <c r="Q557" s="42"/>
      <c r="R557" s="42"/>
      <c r="S557" s="42"/>
      <c r="T557" s="42"/>
      <c r="U557" s="42"/>
      <c r="V557" s="3"/>
      <c r="W557" s="3"/>
      <c r="X557" s="3"/>
      <c r="Y557" s="3"/>
      <c r="Z557" s="3"/>
      <c r="AA557" s="3"/>
      <c r="AB557" s="3"/>
      <c r="AE557" s="42" t="str">
        <f t="shared" si="65"/>
        <v/>
      </c>
      <c r="AF557" s="42" t="str">
        <f t="shared" si="66"/>
        <v/>
      </c>
      <c r="AG557" s="42" t="str">
        <f t="shared" si="67"/>
        <v/>
      </c>
      <c r="AH557" s="42" t="str">
        <f t="shared" si="68"/>
        <v/>
      </c>
      <c r="AI557" s="42" t="str">
        <f t="shared" si="69"/>
        <v/>
      </c>
      <c r="AJ557" s="42" t="str">
        <f t="shared" si="70"/>
        <v/>
      </c>
      <c r="AK557" s="42" t="str">
        <f t="shared" si="71"/>
        <v/>
      </c>
      <c r="AO557" s="86"/>
      <c r="AP557" s="87"/>
      <c r="AQ557" s="87"/>
      <c r="AR557" s="88"/>
      <c r="AS557" s="87"/>
      <c r="AT557" s="87"/>
    </row>
    <row r="558" spans="14:46" x14ac:dyDescent="0.25">
      <c r="N558" s="3"/>
      <c r="O558" s="49" t="e">
        <f t="shared" si="72"/>
        <v>#N/A</v>
      </c>
      <c r="P558" s="42"/>
      <c r="Q558" s="42"/>
      <c r="R558" s="42"/>
      <c r="S558" s="42"/>
      <c r="T558" s="42"/>
      <c r="U558" s="42"/>
      <c r="V558" s="3"/>
      <c r="W558" s="3"/>
      <c r="X558" s="3"/>
      <c r="Y558" s="3"/>
      <c r="Z558" s="3"/>
      <c r="AA558" s="3"/>
      <c r="AB558" s="3"/>
      <c r="AE558" s="42" t="str">
        <f t="shared" si="65"/>
        <v/>
      </c>
      <c r="AF558" s="42" t="str">
        <f t="shared" si="66"/>
        <v/>
      </c>
      <c r="AG558" s="42" t="str">
        <f t="shared" si="67"/>
        <v/>
      </c>
      <c r="AH558" s="42" t="str">
        <f t="shared" si="68"/>
        <v/>
      </c>
      <c r="AI558" s="42" t="str">
        <f t="shared" si="69"/>
        <v/>
      </c>
      <c r="AJ558" s="42" t="str">
        <f t="shared" si="70"/>
        <v/>
      </c>
      <c r="AK558" s="42" t="str">
        <f t="shared" si="71"/>
        <v/>
      </c>
      <c r="AO558" s="86"/>
      <c r="AP558" s="87"/>
      <c r="AQ558" s="87"/>
      <c r="AR558" s="88"/>
      <c r="AS558" s="87"/>
      <c r="AT558" s="87"/>
    </row>
    <row r="559" spans="14:46" x14ac:dyDescent="0.25">
      <c r="N559" s="3"/>
      <c r="O559" s="49" t="e">
        <f t="shared" si="72"/>
        <v>#N/A</v>
      </c>
      <c r="P559" s="42"/>
      <c r="Q559" s="42"/>
      <c r="R559" s="42"/>
      <c r="S559" s="42"/>
      <c r="T559" s="42"/>
      <c r="U559" s="42"/>
      <c r="V559" s="3"/>
      <c r="W559" s="3"/>
      <c r="X559" s="3"/>
      <c r="Y559" s="3"/>
      <c r="Z559" s="3"/>
      <c r="AA559" s="3"/>
      <c r="AB559" s="3"/>
      <c r="AE559" s="42" t="str">
        <f t="shared" si="65"/>
        <v/>
      </c>
      <c r="AF559" s="42" t="str">
        <f t="shared" si="66"/>
        <v/>
      </c>
      <c r="AG559" s="42" t="str">
        <f t="shared" si="67"/>
        <v/>
      </c>
      <c r="AH559" s="42" t="str">
        <f t="shared" si="68"/>
        <v/>
      </c>
      <c r="AI559" s="42" t="str">
        <f t="shared" si="69"/>
        <v/>
      </c>
      <c r="AJ559" s="42" t="str">
        <f t="shared" si="70"/>
        <v/>
      </c>
      <c r="AK559" s="42" t="str">
        <f t="shared" si="71"/>
        <v/>
      </c>
      <c r="AO559" s="86"/>
      <c r="AP559" s="87"/>
      <c r="AQ559" s="87"/>
      <c r="AR559" s="88"/>
      <c r="AS559" s="87"/>
      <c r="AT559" s="87"/>
    </row>
    <row r="560" spans="14:46" x14ac:dyDescent="0.25">
      <c r="N560" s="3"/>
      <c r="O560" s="49" t="e">
        <f t="shared" si="72"/>
        <v>#N/A</v>
      </c>
      <c r="P560" s="42"/>
      <c r="Q560" s="42"/>
      <c r="R560" s="42"/>
      <c r="S560" s="42"/>
      <c r="T560" s="42"/>
      <c r="U560" s="42"/>
      <c r="V560" s="3"/>
      <c r="W560" s="3"/>
      <c r="X560" s="3"/>
      <c r="Y560" s="3"/>
      <c r="Z560" s="3"/>
      <c r="AA560" s="3"/>
      <c r="AB560" s="3"/>
      <c r="AE560" s="42" t="str">
        <f t="shared" si="65"/>
        <v/>
      </c>
      <c r="AF560" s="42" t="str">
        <f t="shared" si="66"/>
        <v/>
      </c>
      <c r="AG560" s="42" t="str">
        <f t="shared" si="67"/>
        <v/>
      </c>
      <c r="AH560" s="42" t="str">
        <f t="shared" si="68"/>
        <v/>
      </c>
      <c r="AI560" s="42" t="str">
        <f t="shared" si="69"/>
        <v/>
      </c>
      <c r="AJ560" s="42" t="str">
        <f t="shared" si="70"/>
        <v/>
      </c>
      <c r="AK560" s="42" t="str">
        <f t="shared" si="71"/>
        <v/>
      </c>
      <c r="AO560" s="86"/>
      <c r="AP560" s="87"/>
      <c r="AQ560" s="87"/>
      <c r="AR560" s="88"/>
      <c r="AS560" s="87"/>
      <c r="AT560" s="87"/>
    </row>
    <row r="561" spans="14:46" x14ac:dyDescent="0.25">
      <c r="N561" s="3"/>
      <c r="O561" s="49" t="e">
        <f t="shared" si="72"/>
        <v>#N/A</v>
      </c>
      <c r="P561" s="42"/>
      <c r="Q561" s="42"/>
      <c r="R561" s="42"/>
      <c r="S561" s="42"/>
      <c r="T561" s="42"/>
      <c r="U561" s="42"/>
      <c r="V561" s="3"/>
      <c r="W561" s="3"/>
      <c r="X561" s="3"/>
      <c r="Y561" s="3"/>
      <c r="Z561" s="3"/>
      <c r="AA561" s="3"/>
      <c r="AB561" s="3"/>
      <c r="AE561" s="42" t="str">
        <f t="shared" si="65"/>
        <v/>
      </c>
      <c r="AF561" s="42" t="str">
        <f t="shared" si="66"/>
        <v/>
      </c>
      <c r="AG561" s="42" t="str">
        <f t="shared" si="67"/>
        <v/>
      </c>
      <c r="AH561" s="42" t="str">
        <f t="shared" si="68"/>
        <v/>
      </c>
      <c r="AI561" s="42" t="str">
        <f t="shared" si="69"/>
        <v/>
      </c>
      <c r="AJ561" s="42" t="str">
        <f t="shared" si="70"/>
        <v/>
      </c>
      <c r="AK561" s="42" t="str">
        <f t="shared" si="71"/>
        <v/>
      </c>
      <c r="AO561" s="86"/>
      <c r="AP561" s="87"/>
      <c r="AQ561" s="87"/>
      <c r="AR561" s="88"/>
      <c r="AS561" s="87"/>
      <c r="AT561" s="87"/>
    </row>
    <row r="562" spans="14:46" x14ac:dyDescent="0.25">
      <c r="N562" s="3"/>
      <c r="O562" s="49" t="e">
        <f t="shared" si="72"/>
        <v>#N/A</v>
      </c>
      <c r="P562" s="42"/>
      <c r="Q562" s="42"/>
      <c r="R562" s="42"/>
      <c r="S562" s="42"/>
      <c r="T562" s="42"/>
      <c r="U562" s="42"/>
      <c r="V562" s="3"/>
      <c r="W562" s="3"/>
      <c r="X562" s="3"/>
      <c r="Y562" s="3"/>
      <c r="Z562" s="3"/>
      <c r="AA562" s="3"/>
      <c r="AB562" s="3"/>
      <c r="AE562" s="42" t="str">
        <f t="shared" si="65"/>
        <v/>
      </c>
      <c r="AF562" s="42" t="str">
        <f t="shared" si="66"/>
        <v/>
      </c>
      <c r="AG562" s="42" t="str">
        <f t="shared" si="67"/>
        <v/>
      </c>
      <c r="AH562" s="42" t="str">
        <f t="shared" si="68"/>
        <v/>
      </c>
      <c r="AI562" s="42" t="str">
        <f t="shared" si="69"/>
        <v/>
      </c>
      <c r="AJ562" s="42" t="str">
        <f t="shared" si="70"/>
        <v/>
      </c>
      <c r="AK562" s="42" t="str">
        <f t="shared" si="71"/>
        <v/>
      </c>
      <c r="AO562" s="86"/>
      <c r="AP562" s="87"/>
      <c r="AQ562" s="87"/>
      <c r="AR562" s="88"/>
      <c r="AS562" s="87"/>
      <c r="AT562" s="87"/>
    </row>
    <row r="563" spans="14:46" x14ac:dyDescent="0.25">
      <c r="N563" s="3"/>
      <c r="O563" s="49" t="e">
        <f t="shared" si="72"/>
        <v>#N/A</v>
      </c>
      <c r="P563" s="42"/>
      <c r="Q563" s="42"/>
      <c r="R563" s="42"/>
      <c r="S563" s="42"/>
      <c r="T563" s="42"/>
      <c r="U563" s="42"/>
      <c r="V563" s="3"/>
      <c r="W563" s="3"/>
      <c r="X563" s="3"/>
      <c r="Y563" s="3"/>
      <c r="Z563" s="3"/>
      <c r="AA563" s="3"/>
      <c r="AB563" s="3"/>
      <c r="AE563" s="42" t="str">
        <f t="shared" si="65"/>
        <v/>
      </c>
      <c r="AF563" s="42" t="str">
        <f t="shared" si="66"/>
        <v/>
      </c>
      <c r="AG563" s="42" t="str">
        <f t="shared" si="67"/>
        <v/>
      </c>
      <c r="AH563" s="42" t="str">
        <f t="shared" si="68"/>
        <v/>
      </c>
      <c r="AI563" s="42" t="str">
        <f t="shared" si="69"/>
        <v/>
      </c>
      <c r="AJ563" s="42" t="str">
        <f t="shared" si="70"/>
        <v/>
      </c>
      <c r="AK563" s="42" t="str">
        <f t="shared" si="71"/>
        <v/>
      </c>
      <c r="AO563" s="86"/>
      <c r="AP563" s="87"/>
      <c r="AQ563" s="87"/>
      <c r="AR563" s="88"/>
      <c r="AS563" s="87"/>
      <c r="AT563" s="87"/>
    </row>
    <row r="564" spans="14:46" x14ac:dyDescent="0.25">
      <c r="N564" s="3"/>
      <c r="O564" s="49" t="e">
        <f t="shared" si="72"/>
        <v>#N/A</v>
      </c>
      <c r="P564" s="42"/>
      <c r="Q564" s="42"/>
      <c r="R564" s="42"/>
      <c r="S564" s="42"/>
      <c r="T564" s="42"/>
      <c r="U564" s="42"/>
      <c r="V564" s="3"/>
      <c r="W564" s="3"/>
      <c r="X564" s="3"/>
      <c r="Y564" s="3"/>
      <c r="Z564" s="3"/>
      <c r="AA564" s="3"/>
      <c r="AB564" s="3"/>
      <c r="AE564" s="42" t="str">
        <f t="shared" si="65"/>
        <v/>
      </c>
      <c r="AF564" s="42" t="str">
        <f t="shared" si="66"/>
        <v/>
      </c>
      <c r="AG564" s="42" t="str">
        <f t="shared" si="67"/>
        <v/>
      </c>
      <c r="AH564" s="42" t="str">
        <f t="shared" si="68"/>
        <v/>
      </c>
      <c r="AI564" s="42" t="str">
        <f t="shared" si="69"/>
        <v/>
      </c>
      <c r="AJ564" s="42" t="str">
        <f t="shared" si="70"/>
        <v/>
      </c>
      <c r="AK564" s="42" t="str">
        <f t="shared" si="71"/>
        <v/>
      </c>
      <c r="AO564" s="86"/>
      <c r="AP564" s="87"/>
      <c r="AQ564" s="87"/>
      <c r="AR564" s="88"/>
      <c r="AS564" s="87"/>
      <c r="AT564" s="87"/>
    </row>
    <row r="565" spans="14:46" x14ac:dyDescent="0.25">
      <c r="N565" s="3"/>
      <c r="O565" s="49" t="e">
        <f t="shared" si="72"/>
        <v>#N/A</v>
      </c>
      <c r="P565" s="42"/>
      <c r="Q565" s="42"/>
      <c r="R565" s="42"/>
      <c r="S565" s="42"/>
      <c r="T565" s="42"/>
      <c r="U565" s="42"/>
      <c r="V565" s="3"/>
      <c r="W565" s="3"/>
      <c r="X565" s="3"/>
      <c r="Y565" s="3"/>
      <c r="Z565" s="3"/>
      <c r="AA565" s="3"/>
      <c r="AB565" s="3"/>
      <c r="AE565" s="42" t="str">
        <f t="shared" si="65"/>
        <v/>
      </c>
      <c r="AF565" s="42" t="str">
        <f t="shared" si="66"/>
        <v/>
      </c>
      <c r="AG565" s="42" t="str">
        <f t="shared" si="67"/>
        <v/>
      </c>
      <c r="AH565" s="42" t="str">
        <f t="shared" si="68"/>
        <v/>
      </c>
      <c r="AI565" s="42" t="str">
        <f t="shared" si="69"/>
        <v/>
      </c>
      <c r="AJ565" s="42" t="str">
        <f t="shared" si="70"/>
        <v/>
      </c>
      <c r="AK565" s="42" t="str">
        <f t="shared" si="71"/>
        <v/>
      </c>
      <c r="AO565" s="86"/>
      <c r="AP565" s="87"/>
      <c r="AQ565" s="87"/>
      <c r="AR565" s="88"/>
      <c r="AS565" s="87"/>
      <c r="AT565" s="87"/>
    </row>
    <row r="566" spans="14:46" x14ac:dyDescent="0.25">
      <c r="N566" s="3"/>
      <c r="O566" s="49" t="e">
        <f t="shared" si="72"/>
        <v>#N/A</v>
      </c>
      <c r="P566" s="42"/>
      <c r="Q566" s="42"/>
      <c r="R566" s="42"/>
      <c r="S566" s="42"/>
      <c r="T566" s="42"/>
      <c r="U566" s="42"/>
      <c r="V566" s="3"/>
      <c r="W566" s="3"/>
      <c r="X566" s="3"/>
      <c r="Y566" s="3"/>
      <c r="Z566" s="3"/>
      <c r="AA566" s="3"/>
      <c r="AB566" s="3"/>
      <c r="AE566" s="42" t="str">
        <f t="shared" si="65"/>
        <v/>
      </c>
      <c r="AF566" s="42" t="str">
        <f t="shared" si="66"/>
        <v/>
      </c>
      <c r="AG566" s="42" t="str">
        <f t="shared" si="67"/>
        <v/>
      </c>
      <c r="AH566" s="42" t="str">
        <f t="shared" si="68"/>
        <v/>
      </c>
      <c r="AI566" s="42" t="str">
        <f t="shared" si="69"/>
        <v/>
      </c>
      <c r="AJ566" s="42" t="str">
        <f t="shared" si="70"/>
        <v/>
      </c>
      <c r="AK566" s="42" t="str">
        <f t="shared" si="71"/>
        <v/>
      </c>
      <c r="AO566" s="86"/>
      <c r="AP566" s="87"/>
      <c r="AQ566" s="87"/>
      <c r="AR566" s="88"/>
      <c r="AS566" s="87"/>
      <c r="AT566" s="87"/>
    </row>
    <row r="567" spans="14:46" x14ac:dyDescent="0.25">
      <c r="N567" s="3"/>
      <c r="O567" s="49" t="e">
        <f t="shared" si="72"/>
        <v>#N/A</v>
      </c>
      <c r="P567" s="42"/>
      <c r="Q567" s="42"/>
      <c r="R567" s="42"/>
      <c r="S567" s="42"/>
      <c r="T567" s="42"/>
      <c r="U567" s="42"/>
      <c r="V567" s="3"/>
      <c r="W567" s="3"/>
      <c r="X567" s="3"/>
      <c r="Y567" s="3"/>
      <c r="Z567" s="3"/>
      <c r="AA567" s="3"/>
      <c r="AB567" s="3"/>
      <c r="AE567" s="42" t="str">
        <f t="shared" si="65"/>
        <v/>
      </c>
      <c r="AF567" s="42" t="str">
        <f t="shared" si="66"/>
        <v/>
      </c>
      <c r="AG567" s="42" t="str">
        <f t="shared" si="67"/>
        <v/>
      </c>
      <c r="AH567" s="42" t="str">
        <f t="shared" si="68"/>
        <v/>
      </c>
      <c r="AI567" s="42" t="str">
        <f t="shared" si="69"/>
        <v/>
      </c>
      <c r="AJ567" s="42" t="str">
        <f t="shared" si="70"/>
        <v/>
      </c>
      <c r="AK567" s="42" t="str">
        <f t="shared" si="71"/>
        <v/>
      </c>
      <c r="AO567" s="86"/>
      <c r="AP567" s="87"/>
      <c r="AQ567" s="87"/>
      <c r="AR567" s="88"/>
      <c r="AS567" s="87"/>
      <c r="AT567" s="87"/>
    </row>
    <row r="568" spans="14:46" x14ac:dyDescent="0.25">
      <c r="N568" s="3"/>
      <c r="O568" s="49" t="e">
        <f t="shared" si="72"/>
        <v>#N/A</v>
      </c>
      <c r="P568" s="42"/>
      <c r="Q568" s="42"/>
      <c r="R568" s="42"/>
      <c r="S568" s="42"/>
      <c r="T568" s="42"/>
      <c r="U568" s="42"/>
      <c r="V568" s="3"/>
      <c r="W568" s="3"/>
      <c r="X568" s="3"/>
      <c r="Y568" s="3"/>
      <c r="Z568" s="3"/>
      <c r="AA568" s="3"/>
      <c r="AB568" s="3"/>
      <c r="AE568" s="42" t="str">
        <f t="shared" si="65"/>
        <v/>
      </c>
      <c r="AF568" s="42" t="str">
        <f t="shared" si="66"/>
        <v/>
      </c>
      <c r="AG568" s="42" t="str">
        <f t="shared" si="67"/>
        <v/>
      </c>
      <c r="AH568" s="42" t="str">
        <f t="shared" si="68"/>
        <v/>
      </c>
      <c r="AI568" s="42" t="str">
        <f t="shared" si="69"/>
        <v/>
      </c>
      <c r="AJ568" s="42" t="str">
        <f t="shared" si="70"/>
        <v/>
      </c>
      <c r="AK568" s="42" t="str">
        <f t="shared" si="71"/>
        <v/>
      </c>
      <c r="AO568" s="86"/>
      <c r="AP568" s="87"/>
      <c r="AQ568" s="87"/>
      <c r="AR568" s="88"/>
      <c r="AS568" s="87"/>
      <c r="AT568" s="87"/>
    </row>
    <row r="569" spans="14:46" x14ac:dyDescent="0.25">
      <c r="N569" s="3"/>
      <c r="O569" s="49" t="e">
        <f t="shared" si="72"/>
        <v>#N/A</v>
      </c>
      <c r="P569" s="42"/>
      <c r="Q569" s="42"/>
      <c r="R569" s="42"/>
      <c r="S569" s="42"/>
      <c r="T569" s="42"/>
      <c r="U569" s="42"/>
      <c r="V569" s="3"/>
      <c r="W569" s="3"/>
      <c r="X569" s="3"/>
      <c r="Y569" s="3"/>
      <c r="Z569" s="3"/>
      <c r="AA569" s="3"/>
      <c r="AB569" s="3"/>
      <c r="AE569" s="42" t="str">
        <f t="shared" si="65"/>
        <v/>
      </c>
      <c r="AF569" s="42" t="str">
        <f t="shared" si="66"/>
        <v/>
      </c>
      <c r="AG569" s="42" t="str">
        <f t="shared" si="67"/>
        <v/>
      </c>
      <c r="AH569" s="42" t="str">
        <f t="shared" si="68"/>
        <v/>
      </c>
      <c r="AI569" s="42" t="str">
        <f t="shared" si="69"/>
        <v/>
      </c>
      <c r="AJ569" s="42" t="str">
        <f t="shared" si="70"/>
        <v/>
      </c>
      <c r="AK569" s="42" t="str">
        <f t="shared" si="71"/>
        <v/>
      </c>
      <c r="AO569" s="86"/>
      <c r="AP569" s="87"/>
      <c r="AQ569" s="87"/>
      <c r="AR569" s="88"/>
      <c r="AS569" s="87"/>
      <c r="AT569" s="87"/>
    </row>
    <row r="570" spans="14:46" x14ac:dyDescent="0.25">
      <c r="N570" s="3"/>
      <c r="O570" s="49" t="e">
        <f t="shared" si="72"/>
        <v>#N/A</v>
      </c>
      <c r="P570" s="42"/>
      <c r="Q570" s="42"/>
      <c r="R570" s="42"/>
      <c r="S570" s="42"/>
      <c r="T570" s="42"/>
      <c r="U570" s="42"/>
      <c r="V570" s="3"/>
      <c r="W570" s="3"/>
      <c r="X570" s="3"/>
      <c r="Y570" s="3"/>
      <c r="Z570" s="3"/>
      <c r="AA570" s="3"/>
      <c r="AB570" s="3"/>
      <c r="AE570" s="42" t="str">
        <f t="shared" si="65"/>
        <v/>
      </c>
      <c r="AF570" s="42" t="str">
        <f t="shared" si="66"/>
        <v/>
      </c>
      <c r="AG570" s="42" t="str">
        <f t="shared" si="67"/>
        <v/>
      </c>
      <c r="AH570" s="42" t="str">
        <f t="shared" si="68"/>
        <v/>
      </c>
      <c r="AI570" s="42" t="str">
        <f t="shared" si="69"/>
        <v/>
      </c>
      <c r="AJ570" s="42" t="str">
        <f t="shared" si="70"/>
        <v/>
      </c>
      <c r="AK570" s="42" t="str">
        <f t="shared" si="71"/>
        <v/>
      </c>
      <c r="AO570" s="86"/>
      <c r="AP570" s="87"/>
      <c r="AQ570" s="87"/>
      <c r="AR570" s="88"/>
      <c r="AS570" s="87"/>
      <c r="AT570" s="87"/>
    </row>
    <row r="571" spans="14:46" x14ac:dyDescent="0.25">
      <c r="N571" s="3"/>
      <c r="O571" s="49" t="e">
        <f t="shared" si="72"/>
        <v>#N/A</v>
      </c>
      <c r="P571" s="42"/>
      <c r="Q571" s="42"/>
      <c r="R571" s="42"/>
      <c r="S571" s="42"/>
      <c r="T571" s="42"/>
      <c r="U571" s="42"/>
      <c r="V571" s="3"/>
      <c r="W571" s="3"/>
      <c r="X571" s="3"/>
      <c r="Y571" s="3"/>
      <c r="Z571" s="3"/>
      <c r="AA571" s="3"/>
      <c r="AB571" s="3"/>
      <c r="AE571" s="42" t="str">
        <f t="shared" si="65"/>
        <v/>
      </c>
      <c r="AF571" s="42" t="str">
        <f t="shared" si="66"/>
        <v/>
      </c>
      <c r="AG571" s="42" t="str">
        <f t="shared" si="67"/>
        <v/>
      </c>
      <c r="AH571" s="42" t="str">
        <f t="shared" si="68"/>
        <v/>
      </c>
      <c r="AI571" s="42" t="str">
        <f t="shared" si="69"/>
        <v/>
      </c>
      <c r="AJ571" s="42" t="str">
        <f t="shared" si="70"/>
        <v/>
      </c>
      <c r="AK571" s="42" t="str">
        <f t="shared" si="71"/>
        <v/>
      </c>
      <c r="AO571" s="86"/>
      <c r="AP571" s="87"/>
      <c r="AQ571" s="87"/>
      <c r="AR571" s="88"/>
      <c r="AS571" s="87"/>
      <c r="AT571" s="87"/>
    </row>
    <row r="572" spans="14:46" x14ac:dyDescent="0.25">
      <c r="N572" s="3"/>
      <c r="O572" s="49" t="e">
        <f t="shared" si="72"/>
        <v>#N/A</v>
      </c>
      <c r="P572" s="42"/>
      <c r="Q572" s="42"/>
      <c r="R572" s="42"/>
      <c r="S572" s="42"/>
      <c r="T572" s="42"/>
      <c r="U572" s="42"/>
      <c r="V572" s="3"/>
      <c r="W572" s="3"/>
      <c r="X572" s="3"/>
      <c r="Y572" s="3"/>
      <c r="Z572" s="3"/>
      <c r="AA572" s="3"/>
      <c r="AB572" s="3"/>
      <c r="AE572" s="42" t="str">
        <f t="shared" si="65"/>
        <v/>
      </c>
      <c r="AF572" s="42" t="str">
        <f t="shared" si="66"/>
        <v/>
      </c>
      <c r="AG572" s="42" t="str">
        <f t="shared" si="67"/>
        <v/>
      </c>
      <c r="AH572" s="42" t="str">
        <f t="shared" si="68"/>
        <v/>
      </c>
      <c r="AI572" s="42" t="str">
        <f t="shared" si="69"/>
        <v/>
      </c>
      <c r="AJ572" s="42" t="str">
        <f t="shared" si="70"/>
        <v/>
      </c>
      <c r="AK572" s="42" t="str">
        <f t="shared" si="71"/>
        <v/>
      </c>
      <c r="AO572" s="86"/>
      <c r="AP572" s="87"/>
      <c r="AQ572" s="87"/>
      <c r="AR572" s="88"/>
      <c r="AS572" s="87"/>
      <c r="AT572" s="87"/>
    </row>
    <row r="573" spans="14:46" x14ac:dyDescent="0.25">
      <c r="N573" s="3"/>
      <c r="O573" s="49" t="e">
        <f t="shared" si="72"/>
        <v>#N/A</v>
      </c>
      <c r="P573" s="42"/>
      <c r="Q573" s="42"/>
      <c r="R573" s="42"/>
      <c r="S573" s="42"/>
      <c r="T573" s="42"/>
      <c r="U573" s="42"/>
      <c r="V573" s="3"/>
      <c r="W573" s="3"/>
      <c r="X573" s="3"/>
      <c r="Y573" s="3"/>
      <c r="Z573" s="3"/>
      <c r="AA573" s="3"/>
      <c r="AB573" s="3"/>
      <c r="AE573" s="42" t="str">
        <f t="shared" si="65"/>
        <v/>
      </c>
      <c r="AF573" s="42" t="str">
        <f t="shared" si="66"/>
        <v/>
      </c>
      <c r="AG573" s="42" t="str">
        <f t="shared" si="67"/>
        <v/>
      </c>
      <c r="AH573" s="42" t="str">
        <f t="shared" si="68"/>
        <v/>
      </c>
      <c r="AI573" s="42" t="str">
        <f t="shared" si="69"/>
        <v/>
      </c>
      <c r="AJ573" s="42" t="str">
        <f t="shared" si="70"/>
        <v/>
      </c>
      <c r="AK573" s="42" t="str">
        <f t="shared" si="71"/>
        <v/>
      </c>
      <c r="AO573" s="86"/>
      <c r="AP573" s="87"/>
      <c r="AQ573" s="87"/>
      <c r="AR573" s="88"/>
      <c r="AS573" s="87"/>
      <c r="AT573" s="87"/>
    </row>
    <row r="574" spans="14:46" x14ac:dyDescent="0.25">
      <c r="N574" s="3"/>
      <c r="O574" s="49" t="e">
        <f t="shared" si="72"/>
        <v>#N/A</v>
      </c>
      <c r="P574" s="42"/>
      <c r="Q574" s="42"/>
      <c r="R574" s="42"/>
      <c r="S574" s="42"/>
      <c r="T574" s="42"/>
      <c r="U574" s="42"/>
      <c r="V574" s="3"/>
      <c r="W574" s="3"/>
      <c r="X574" s="3"/>
      <c r="Y574" s="3"/>
      <c r="Z574" s="3"/>
      <c r="AA574" s="3"/>
      <c r="AB574" s="3"/>
      <c r="AE574" s="42" t="str">
        <f t="shared" si="65"/>
        <v/>
      </c>
      <c r="AF574" s="42" t="str">
        <f t="shared" si="66"/>
        <v/>
      </c>
      <c r="AG574" s="42" t="str">
        <f t="shared" si="67"/>
        <v/>
      </c>
      <c r="AH574" s="42" t="str">
        <f t="shared" si="68"/>
        <v/>
      </c>
      <c r="AI574" s="42" t="str">
        <f t="shared" si="69"/>
        <v/>
      </c>
      <c r="AJ574" s="42" t="str">
        <f t="shared" si="70"/>
        <v/>
      </c>
      <c r="AK574" s="42" t="str">
        <f t="shared" si="71"/>
        <v/>
      </c>
      <c r="AO574" s="86"/>
      <c r="AP574" s="87"/>
      <c r="AQ574" s="87"/>
      <c r="AR574" s="88"/>
      <c r="AS574" s="87"/>
      <c r="AT574" s="87"/>
    </row>
    <row r="575" spans="14:46" x14ac:dyDescent="0.25">
      <c r="N575" s="3"/>
      <c r="O575" s="49" t="e">
        <f t="shared" si="72"/>
        <v>#N/A</v>
      </c>
      <c r="P575" s="42"/>
      <c r="Q575" s="42"/>
      <c r="R575" s="42"/>
      <c r="S575" s="42"/>
      <c r="T575" s="42"/>
      <c r="U575" s="42"/>
      <c r="V575" s="3"/>
      <c r="W575" s="3"/>
      <c r="X575" s="3"/>
      <c r="Y575" s="3"/>
      <c r="Z575" s="3"/>
      <c r="AA575" s="3"/>
      <c r="AB575" s="3"/>
      <c r="AE575" s="42" t="str">
        <f t="shared" si="65"/>
        <v/>
      </c>
      <c r="AF575" s="42" t="str">
        <f t="shared" si="66"/>
        <v/>
      </c>
      <c r="AG575" s="42" t="str">
        <f t="shared" si="67"/>
        <v/>
      </c>
      <c r="AH575" s="42" t="str">
        <f t="shared" si="68"/>
        <v/>
      </c>
      <c r="AI575" s="42" t="str">
        <f t="shared" si="69"/>
        <v/>
      </c>
      <c r="AJ575" s="42" t="str">
        <f t="shared" si="70"/>
        <v/>
      </c>
      <c r="AK575" s="42" t="str">
        <f t="shared" si="71"/>
        <v/>
      </c>
      <c r="AO575" s="86"/>
      <c r="AP575" s="87"/>
      <c r="AQ575" s="87"/>
      <c r="AR575" s="88"/>
      <c r="AS575" s="87"/>
      <c r="AT575" s="87"/>
    </row>
    <row r="576" spans="14:46" x14ac:dyDescent="0.25">
      <c r="N576" s="3"/>
      <c r="O576" s="49" t="e">
        <f t="shared" si="72"/>
        <v>#N/A</v>
      </c>
      <c r="P576" s="42"/>
      <c r="Q576" s="42"/>
      <c r="R576" s="42"/>
      <c r="S576" s="42"/>
      <c r="T576" s="42"/>
      <c r="U576" s="42"/>
      <c r="V576" s="3"/>
      <c r="W576" s="3"/>
      <c r="X576" s="3"/>
      <c r="Y576" s="3"/>
      <c r="Z576" s="3"/>
      <c r="AA576" s="3"/>
      <c r="AB576" s="3"/>
      <c r="AE576" s="42" t="str">
        <f t="shared" si="65"/>
        <v/>
      </c>
      <c r="AF576" s="42" t="str">
        <f t="shared" si="66"/>
        <v/>
      </c>
      <c r="AG576" s="42" t="str">
        <f t="shared" si="67"/>
        <v/>
      </c>
      <c r="AH576" s="42" t="str">
        <f t="shared" si="68"/>
        <v/>
      </c>
      <c r="AI576" s="42" t="str">
        <f t="shared" si="69"/>
        <v/>
      </c>
      <c r="AJ576" s="42" t="str">
        <f t="shared" si="70"/>
        <v/>
      </c>
      <c r="AK576" s="42" t="str">
        <f t="shared" si="71"/>
        <v/>
      </c>
      <c r="AO576" s="86"/>
      <c r="AP576" s="87"/>
      <c r="AQ576" s="87"/>
      <c r="AR576" s="88"/>
      <c r="AS576" s="87"/>
      <c r="AT576" s="87"/>
    </row>
    <row r="577" spans="14:57" x14ac:dyDescent="0.25">
      <c r="N577" s="3"/>
      <c r="O577" s="49" t="e">
        <f t="shared" si="72"/>
        <v>#N/A</v>
      </c>
      <c r="P577" s="42"/>
      <c r="Q577" s="42"/>
      <c r="R577" s="42"/>
      <c r="S577" s="42"/>
      <c r="T577" s="42"/>
      <c r="U577" s="42"/>
      <c r="V577" s="3"/>
      <c r="W577" s="3"/>
      <c r="X577" s="3"/>
      <c r="Y577" s="3"/>
      <c r="Z577" s="3"/>
      <c r="AA577" s="3"/>
      <c r="AB577" s="3"/>
      <c r="AE577" s="42" t="str">
        <f t="shared" si="65"/>
        <v/>
      </c>
      <c r="AF577" s="42" t="str">
        <f t="shared" si="66"/>
        <v/>
      </c>
      <c r="AG577" s="42" t="str">
        <f t="shared" si="67"/>
        <v/>
      </c>
      <c r="AH577" s="42" t="str">
        <f t="shared" si="68"/>
        <v/>
      </c>
      <c r="AI577" s="42" t="str">
        <f t="shared" si="69"/>
        <v/>
      </c>
      <c r="AJ577" s="42" t="str">
        <f t="shared" si="70"/>
        <v/>
      </c>
      <c r="AK577" s="42" t="str">
        <f t="shared" si="71"/>
        <v/>
      </c>
      <c r="AO577" s="86"/>
      <c r="AP577" s="87"/>
      <c r="AQ577" s="87"/>
      <c r="AR577" s="88"/>
      <c r="AS577" s="87"/>
      <c r="AT577" s="87"/>
    </row>
    <row r="578" spans="14:57" x14ac:dyDescent="0.25">
      <c r="N578" s="3"/>
      <c r="O578" s="49" t="e">
        <f t="shared" si="72"/>
        <v>#N/A</v>
      </c>
      <c r="P578" s="42"/>
      <c r="Q578" s="42"/>
      <c r="R578" s="42"/>
      <c r="S578" s="42"/>
      <c r="T578" s="42"/>
      <c r="U578" s="42"/>
      <c r="V578" s="3"/>
      <c r="W578" s="3"/>
      <c r="X578" s="3"/>
      <c r="Y578" s="3"/>
      <c r="Z578" s="3"/>
      <c r="AA578" s="3"/>
      <c r="AB578" s="3"/>
      <c r="AE578" s="42" t="str">
        <f t="shared" si="65"/>
        <v/>
      </c>
      <c r="AF578" s="42" t="str">
        <f t="shared" si="66"/>
        <v/>
      </c>
      <c r="AG578" s="42" t="str">
        <f t="shared" si="67"/>
        <v/>
      </c>
      <c r="AH578" s="42" t="str">
        <f t="shared" si="68"/>
        <v/>
      </c>
      <c r="AI578" s="42" t="str">
        <f t="shared" si="69"/>
        <v/>
      </c>
      <c r="AJ578" s="42" t="str">
        <f t="shared" si="70"/>
        <v/>
      </c>
      <c r="AK578" s="42" t="str">
        <f t="shared" si="71"/>
        <v/>
      </c>
      <c r="AO578" s="86"/>
      <c r="AP578" s="87"/>
      <c r="AQ578" s="87"/>
      <c r="AR578" s="88"/>
      <c r="AS578" s="87"/>
      <c r="AT578" s="87"/>
    </row>
    <row r="579" spans="14:57" x14ac:dyDescent="0.25">
      <c r="N579" s="3"/>
      <c r="O579" s="49" t="e">
        <f t="shared" si="72"/>
        <v>#N/A</v>
      </c>
      <c r="P579" s="42"/>
      <c r="Q579" s="42"/>
      <c r="R579" s="42"/>
      <c r="S579" s="42"/>
      <c r="T579" s="42"/>
      <c r="U579" s="42"/>
      <c r="V579" s="3"/>
      <c r="W579" s="3"/>
      <c r="X579" s="3"/>
      <c r="Y579" s="3"/>
      <c r="Z579" s="3"/>
      <c r="AA579" s="3"/>
      <c r="AB579" s="3"/>
      <c r="AE579" s="42" t="str">
        <f t="shared" si="65"/>
        <v/>
      </c>
      <c r="AF579" s="42" t="str">
        <f t="shared" si="66"/>
        <v/>
      </c>
      <c r="AG579" s="42" t="str">
        <f t="shared" si="67"/>
        <v/>
      </c>
      <c r="AH579" s="42" t="str">
        <f t="shared" si="68"/>
        <v/>
      </c>
      <c r="AI579" s="42" t="str">
        <f t="shared" si="69"/>
        <v/>
      </c>
      <c r="AJ579" s="42" t="str">
        <f t="shared" si="70"/>
        <v/>
      </c>
      <c r="AK579" s="42" t="str">
        <f t="shared" si="71"/>
        <v/>
      </c>
      <c r="AO579" s="86"/>
      <c r="AP579" s="87"/>
      <c r="AQ579" s="87"/>
      <c r="AR579" s="88"/>
      <c r="AS579" s="87"/>
      <c r="AT579" s="87"/>
    </row>
    <row r="580" spans="14:57" x14ac:dyDescent="0.25">
      <c r="N580" s="3"/>
      <c r="O580" s="49" t="e">
        <f t="shared" si="72"/>
        <v>#N/A</v>
      </c>
      <c r="P580" s="42"/>
      <c r="Q580" s="42"/>
      <c r="R580" s="42"/>
      <c r="S580" s="42"/>
      <c r="T580" s="42"/>
      <c r="U580" s="42"/>
      <c r="V580" s="3"/>
      <c r="W580" s="3"/>
      <c r="X580" s="3"/>
      <c r="Y580" s="3"/>
      <c r="Z580" s="3"/>
      <c r="AA580" s="3"/>
      <c r="AB580" s="3"/>
      <c r="AE580" s="42" t="str">
        <f t="shared" si="65"/>
        <v/>
      </c>
      <c r="AF580" s="42" t="str">
        <f t="shared" si="66"/>
        <v/>
      </c>
      <c r="AG580" s="42" t="str">
        <f t="shared" si="67"/>
        <v/>
      </c>
      <c r="AH580" s="42" t="str">
        <f t="shared" si="68"/>
        <v/>
      </c>
      <c r="AI580" s="42" t="str">
        <f t="shared" si="69"/>
        <v/>
      </c>
      <c r="AJ580" s="42" t="str">
        <f t="shared" si="70"/>
        <v/>
      </c>
      <c r="AK580" s="42" t="str">
        <f t="shared" si="71"/>
        <v/>
      </c>
      <c r="AO580" s="86"/>
      <c r="AP580" s="87"/>
      <c r="AQ580" s="87"/>
      <c r="AR580" s="88"/>
      <c r="AS580" s="87"/>
      <c r="AT580" s="87"/>
    </row>
    <row r="581" spans="14:57" x14ac:dyDescent="0.25">
      <c r="N581" s="3"/>
      <c r="O581" s="49" t="e">
        <f t="shared" si="72"/>
        <v>#N/A</v>
      </c>
      <c r="P581" s="42"/>
      <c r="Q581" s="42"/>
      <c r="R581" s="42"/>
      <c r="S581" s="42"/>
      <c r="T581" s="42"/>
      <c r="U581" s="42"/>
      <c r="V581" s="3"/>
      <c r="W581" s="3"/>
      <c r="X581" s="3"/>
      <c r="Y581" s="3"/>
      <c r="Z581" s="3"/>
      <c r="AA581" s="3"/>
      <c r="AB581" s="3"/>
      <c r="AE581" s="42" t="str">
        <f t="shared" si="65"/>
        <v/>
      </c>
      <c r="AF581" s="42" t="str">
        <f t="shared" si="66"/>
        <v/>
      </c>
      <c r="AG581" s="42" t="str">
        <f t="shared" si="67"/>
        <v/>
      </c>
      <c r="AH581" s="42" t="str">
        <f t="shared" si="68"/>
        <v/>
      </c>
      <c r="AI581" s="42" t="str">
        <f t="shared" si="69"/>
        <v/>
      </c>
      <c r="AJ581" s="42" t="str">
        <f t="shared" si="70"/>
        <v/>
      </c>
      <c r="AK581" s="42" t="str">
        <f t="shared" si="71"/>
        <v/>
      </c>
      <c r="AO581" s="86"/>
      <c r="AP581" s="87"/>
      <c r="AQ581" s="87"/>
      <c r="AR581" s="88"/>
      <c r="AS581" s="87"/>
      <c r="AT581" s="87"/>
    </row>
    <row r="582" spans="14:57" x14ac:dyDescent="0.25">
      <c r="O582" s="49" t="e">
        <f t="shared" si="72"/>
        <v>#N/A</v>
      </c>
      <c r="P582" s="42"/>
      <c r="Q582" s="42"/>
      <c r="X582" s="3"/>
      <c r="Y582" s="3"/>
      <c r="Z582" s="3"/>
      <c r="AA582" s="3"/>
      <c r="AB582" s="3"/>
      <c r="AC582" s="3"/>
      <c r="AE582" s="42"/>
      <c r="AF582" s="42"/>
      <c r="AG582" s="42"/>
      <c r="AH582" s="42"/>
      <c r="AI582" s="42"/>
      <c r="AJ582" s="42"/>
      <c r="AK582" s="42"/>
      <c r="AO582" s="86"/>
      <c r="AP582" s="87"/>
      <c r="AQ582" s="87"/>
      <c r="AR582" s="88"/>
      <c r="AS582" s="87"/>
      <c r="AT582" s="87"/>
    </row>
    <row r="583" spans="14:57" x14ac:dyDescent="0.25">
      <c r="O583" s="49" t="e">
        <f t="shared" si="72"/>
        <v>#N/A</v>
      </c>
      <c r="P583" s="42"/>
      <c r="Q583" s="42"/>
      <c r="AC583" s="3"/>
      <c r="AE583" s="42"/>
      <c r="AF583" s="42"/>
      <c r="AG583" s="42"/>
      <c r="AH583" s="42"/>
      <c r="AI583" s="42"/>
      <c r="AJ583" s="42"/>
      <c r="AK583" s="42"/>
      <c r="AO583" s="86"/>
      <c r="AP583" s="87"/>
      <c r="AQ583" s="87"/>
      <c r="AR583" s="88"/>
      <c r="AS583" s="87"/>
      <c r="AT583" s="87"/>
      <c r="AW583" s="91"/>
      <c r="BB583" s="91"/>
      <c r="BE583" s="91"/>
    </row>
    <row r="584" spans="14:57" x14ac:dyDescent="0.25">
      <c r="O584" s="49" t="e">
        <f t="shared" si="72"/>
        <v>#N/A</v>
      </c>
      <c r="P584" s="42"/>
      <c r="Q584" s="42"/>
      <c r="AC584" s="3"/>
      <c r="AE584" s="42"/>
      <c r="AF584" s="42"/>
      <c r="AG584" s="42"/>
      <c r="AH584" s="42"/>
      <c r="AI584" s="42"/>
      <c r="AJ584" s="42"/>
      <c r="AK584" s="42"/>
      <c r="AO584" s="86"/>
      <c r="AP584" s="87"/>
      <c r="AQ584" s="87"/>
      <c r="AR584" s="88"/>
      <c r="AS584" s="87"/>
      <c r="AT584" s="87"/>
    </row>
    <row r="585" spans="14:57" x14ac:dyDescent="0.25">
      <c r="O585" s="49" t="e">
        <f t="shared" si="72"/>
        <v>#N/A</v>
      </c>
      <c r="P585" s="42"/>
      <c r="Q585" s="42"/>
      <c r="AC585" s="3"/>
      <c r="AE585" s="42"/>
      <c r="AF585" s="42"/>
      <c r="AG585" s="42"/>
      <c r="AH585" s="42"/>
      <c r="AI585" s="42"/>
      <c r="AJ585" s="42"/>
      <c r="AK585" s="42"/>
      <c r="AO585" s="86"/>
      <c r="AP585" s="87"/>
      <c r="AQ585" s="87"/>
      <c r="AR585" s="88"/>
      <c r="AS585" s="87"/>
      <c r="AT585" s="87"/>
    </row>
    <row r="586" spans="14:57" x14ac:dyDescent="0.25">
      <c r="O586" s="49" t="e">
        <f t="shared" si="72"/>
        <v>#N/A</v>
      </c>
      <c r="P586" s="42"/>
      <c r="Q586" s="42"/>
      <c r="AC586" s="3"/>
      <c r="AE586" s="42"/>
      <c r="AF586" s="42"/>
      <c r="AG586" s="42"/>
      <c r="AH586" s="42"/>
      <c r="AI586" s="42"/>
      <c r="AJ586" s="42"/>
      <c r="AK586" s="42"/>
      <c r="AO586" s="86"/>
      <c r="AP586" s="87"/>
      <c r="AQ586" s="87"/>
      <c r="AR586" s="88"/>
      <c r="AS586" s="87"/>
      <c r="AT586" s="87"/>
    </row>
    <row r="587" spans="14:57" x14ac:dyDescent="0.25">
      <c r="O587" s="49" t="e">
        <f t="shared" si="72"/>
        <v>#N/A</v>
      </c>
      <c r="P587" s="42"/>
      <c r="Q587" s="42"/>
      <c r="AC587" s="3"/>
      <c r="AE587" s="42"/>
      <c r="AF587" s="42"/>
      <c r="AG587" s="42"/>
      <c r="AH587" s="42"/>
      <c r="AI587" s="42"/>
      <c r="AJ587" s="42"/>
      <c r="AK587" s="42"/>
      <c r="AO587" s="86"/>
      <c r="AP587" s="87"/>
      <c r="AQ587" s="87"/>
      <c r="AR587" s="88"/>
      <c r="AS587" s="87"/>
      <c r="AT587" s="87"/>
    </row>
    <row r="588" spans="14:57" x14ac:dyDescent="0.25">
      <c r="O588" s="49" t="e">
        <f t="shared" si="72"/>
        <v>#N/A</v>
      </c>
      <c r="P588" s="42"/>
      <c r="Q588" s="42"/>
      <c r="AC588" s="3"/>
      <c r="AE588" s="42"/>
      <c r="AF588" s="42"/>
      <c r="AG588" s="42"/>
      <c r="AH588" s="42"/>
      <c r="AI588" s="42"/>
      <c r="AJ588" s="42"/>
      <c r="AK588" s="42"/>
      <c r="AO588" s="86"/>
      <c r="AP588" s="87"/>
      <c r="AQ588" s="87"/>
      <c r="AR588" s="88"/>
      <c r="AS588" s="87"/>
      <c r="AT588" s="87"/>
    </row>
    <row r="589" spans="14:57" x14ac:dyDescent="0.25">
      <c r="O589" s="49" t="e">
        <f t="shared" si="72"/>
        <v>#N/A</v>
      </c>
      <c r="P589" s="42"/>
      <c r="Q589" s="42"/>
      <c r="AC589" s="3"/>
      <c r="AE589" s="42"/>
      <c r="AF589" s="42"/>
      <c r="AG589" s="42"/>
      <c r="AH589" s="42"/>
      <c r="AI589" s="42"/>
      <c r="AJ589" s="42"/>
      <c r="AK589" s="42"/>
      <c r="AO589" s="86"/>
      <c r="AP589" s="87"/>
      <c r="AQ589" s="87"/>
      <c r="AR589" s="88"/>
      <c r="AS589" s="87"/>
      <c r="AT589" s="87"/>
    </row>
    <row r="590" spans="14:57" x14ac:dyDescent="0.25">
      <c r="O590" s="49" t="e">
        <f t="shared" si="72"/>
        <v>#N/A</v>
      </c>
      <c r="P590" s="42"/>
      <c r="Q590" s="42"/>
      <c r="AC590" s="3"/>
      <c r="AE590" s="42"/>
      <c r="AF590" s="42"/>
      <c r="AG590" s="42"/>
      <c r="AH590" s="42"/>
      <c r="AI590" s="42"/>
      <c r="AJ590" s="42"/>
      <c r="AK590" s="42"/>
      <c r="AO590" s="86"/>
      <c r="AP590" s="87"/>
      <c r="AQ590" s="87"/>
      <c r="AR590" s="88"/>
      <c r="AS590" s="87"/>
      <c r="AT590" s="87"/>
    </row>
    <row r="591" spans="14:57" x14ac:dyDescent="0.25">
      <c r="O591" s="49" t="e">
        <f t="shared" si="72"/>
        <v>#N/A</v>
      </c>
      <c r="P591" s="42"/>
      <c r="Q591" s="42"/>
      <c r="AC591" s="3"/>
      <c r="AE591" s="42"/>
      <c r="AF591" s="42"/>
      <c r="AG591" s="42"/>
      <c r="AH591" s="42"/>
      <c r="AI591" s="42"/>
      <c r="AJ591" s="42"/>
      <c r="AK591" s="42"/>
      <c r="AO591" s="86"/>
      <c r="AP591" s="87"/>
      <c r="AQ591" s="87"/>
      <c r="AR591" s="88"/>
      <c r="AS591" s="87"/>
      <c r="AT591" s="87"/>
    </row>
    <row r="592" spans="14:57" x14ac:dyDescent="0.25">
      <c r="O592" s="49" t="e">
        <f t="shared" si="72"/>
        <v>#N/A</v>
      </c>
      <c r="P592" s="42"/>
      <c r="Q592" s="42"/>
      <c r="AC592" s="3"/>
      <c r="AE592" s="42"/>
      <c r="AF592" s="42"/>
      <c r="AG592" s="42"/>
      <c r="AH592" s="42"/>
      <c r="AI592" s="42"/>
      <c r="AJ592" s="42"/>
      <c r="AK592" s="42"/>
      <c r="AO592" s="86"/>
      <c r="AP592" s="87"/>
      <c r="AQ592" s="87"/>
      <c r="AR592" s="88"/>
      <c r="AS592" s="87"/>
      <c r="AT592" s="87"/>
    </row>
    <row r="593" spans="15:46" x14ac:dyDescent="0.25">
      <c r="O593" s="49" t="e">
        <f t="shared" si="72"/>
        <v>#N/A</v>
      </c>
      <c r="P593" s="42"/>
      <c r="Q593" s="42"/>
      <c r="AC593" s="3"/>
      <c r="AE593" s="42"/>
      <c r="AF593" s="42"/>
      <c r="AG593" s="42"/>
      <c r="AH593" s="42"/>
      <c r="AI593" s="42"/>
      <c r="AJ593" s="42"/>
      <c r="AK593" s="42"/>
      <c r="AO593" s="86"/>
      <c r="AP593" s="87"/>
      <c r="AQ593" s="87"/>
      <c r="AR593" s="88"/>
      <c r="AS593" s="87"/>
      <c r="AT593" s="87"/>
    </row>
    <row r="594" spans="15:46" x14ac:dyDescent="0.25">
      <c r="O594" s="49" t="e">
        <f t="shared" si="72"/>
        <v>#N/A</v>
      </c>
      <c r="P594" s="42"/>
      <c r="Q594" s="42"/>
      <c r="AC594" s="3"/>
      <c r="AE594" s="42"/>
      <c r="AF594" s="42"/>
      <c r="AG594" s="42"/>
      <c r="AH594" s="42"/>
      <c r="AI594" s="42"/>
      <c r="AJ594" s="42"/>
      <c r="AK594" s="42"/>
      <c r="AO594" s="86"/>
      <c r="AP594" s="87"/>
      <c r="AQ594" s="87"/>
      <c r="AR594" s="88"/>
      <c r="AS594" s="87"/>
      <c r="AT594" s="87"/>
    </row>
    <row r="595" spans="15:46" x14ac:dyDescent="0.25">
      <c r="O595" s="49" t="e">
        <f t="shared" si="72"/>
        <v>#N/A</v>
      </c>
      <c r="P595" s="42"/>
      <c r="Q595" s="42"/>
      <c r="AC595" s="3"/>
      <c r="AE595" s="42"/>
      <c r="AF595" s="42"/>
      <c r="AG595" s="42"/>
      <c r="AH595" s="42"/>
      <c r="AI595" s="42"/>
      <c r="AJ595" s="42"/>
      <c r="AK595" s="42"/>
      <c r="AO595" s="86"/>
      <c r="AP595" s="87"/>
      <c r="AQ595" s="87"/>
      <c r="AR595" s="88"/>
      <c r="AS595" s="87"/>
      <c r="AT595" s="87"/>
    </row>
    <row r="596" spans="15:46" x14ac:dyDescent="0.25">
      <c r="O596" s="49" t="e">
        <f t="shared" si="72"/>
        <v>#N/A</v>
      </c>
      <c r="P596" s="42"/>
      <c r="Q596" s="42"/>
      <c r="AC596" s="3"/>
      <c r="AE596" s="42"/>
      <c r="AF596" s="42"/>
      <c r="AG596" s="42"/>
      <c r="AH596" s="42"/>
      <c r="AI596" s="42"/>
      <c r="AJ596" s="42"/>
      <c r="AK596" s="42"/>
      <c r="AO596" s="86"/>
      <c r="AP596" s="87"/>
      <c r="AQ596" s="87"/>
      <c r="AR596" s="88"/>
      <c r="AS596" s="87"/>
      <c r="AT596" s="87"/>
    </row>
    <row r="597" spans="15:46" x14ac:dyDescent="0.25">
      <c r="O597" s="49" t="e">
        <f t="shared" si="72"/>
        <v>#N/A</v>
      </c>
      <c r="P597" s="42"/>
      <c r="Q597" s="42"/>
      <c r="AC597" s="3"/>
      <c r="AE597" s="42"/>
      <c r="AF597" s="42"/>
      <c r="AG597" s="42"/>
      <c r="AH597" s="42"/>
      <c r="AI597" s="42"/>
      <c r="AJ597" s="42"/>
      <c r="AK597" s="42"/>
      <c r="AO597" s="86"/>
      <c r="AP597" s="87"/>
      <c r="AQ597" s="87"/>
      <c r="AR597" s="88"/>
      <c r="AS597" s="87"/>
      <c r="AT597" s="87"/>
    </row>
    <row r="598" spans="15:46" x14ac:dyDescent="0.25">
      <c r="O598" s="49" t="e">
        <f t="shared" si="72"/>
        <v>#N/A</v>
      </c>
      <c r="P598" s="42"/>
      <c r="Q598" s="42"/>
      <c r="AC598" s="3"/>
      <c r="AE598" s="42"/>
      <c r="AF598" s="42"/>
      <c r="AG598" s="42"/>
      <c r="AH598" s="42"/>
      <c r="AI598" s="42"/>
      <c r="AJ598" s="42"/>
      <c r="AK598" s="42"/>
      <c r="AO598" s="86"/>
      <c r="AP598" s="87"/>
      <c r="AQ598" s="87"/>
      <c r="AR598" s="88"/>
      <c r="AS598" s="87"/>
      <c r="AT598" s="87"/>
    </row>
    <row r="599" spans="15:46" x14ac:dyDescent="0.25">
      <c r="O599" s="49" t="e">
        <f t="shared" ref="O599:O662" si="73">IF(ISTEXT(N599),IF(MID(N599,11,2)="24",1+DATEVALUE(LEFT(N599,10))+TIMEVALUE(CONCATENATE(MID(N599,11,2),":",MID(N599,13,2))),DATEVALUE(LEFT(N599,10))+TIMEVALUE(CONCATENATE(MID(N599,11,2),":",MID(N599,13,2)))),#N/A)</f>
        <v>#N/A</v>
      </c>
      <c r="P599" s="42"/>
      <c r="Q599" s="42"/>
      <c r="AC599" s="3"/>
      <c r="AE599" s="42"/>
      <c r="AF599" s="42"/>
      <c r="AG599" s="42"/>
      <c r="AH599" s="42"/>
      <c r="AI599" s="42"/>
      <c r="AJ599" s="42"/>
      <c r="AK599" s="42"/>
      <c r="AO599" s="86"/>
      <c r="AP599" s="87"/>
      <c r="AQ599" s="87"/>
      <c r="AR599" s="88"/>
      <c r="AS599" s="87"/>
      <c r="AT599" s="87"/>
    </row>
    <row r="600" spans="15:46" x14ac:dyDescent="0.25">
      <c r="O600" s="49" t="e">
        <f t="shared" si="73"/>
        <v>#N/A</v>
      </c>
      <c r="P600" s="42"/>
      <c r="Q600" s="42"/>
      <c r="AC600" s="3"/>
      <c r="AE600" s="42"/>
      <c r="AF600" s="42"/>
      <c r="AG600" s="42"/>
      <c r="AH600" s="42"/>
      <c r="AI600" s="42"/>
      <c r="AJ600" s="42"/>
      <c r="AK600" s="42"/>
      <c r="AO600" s="86"/>
      <c r="AP600" s="87"/>
      <c r="AQ600" s="87"/>
      <c r="AR600" s="88"/>
      <c r="AS600" s="87"/>
      <c r="AT600" s="87"/>
    </row>
    <row r="601" spans="15:46" x14ac:dyDescent="0.25">
      <c r="O601" s="49" t="e">
        <f t="shared" si="73"/>
        <v>#N/A</v>
      </c>
      <c r="P601" s="42"/>
      <c r="Q601" s="42"/>
      <c r="AC601" s="3"/>
      <c r="AE601" s="42"/>
      <c r="AF601" s="42"/>
      <c r="AG601" s="42"/>
      <c r="AH601" s="42"/>
      <c r="AI601" s="42"/>
      <c r="AJ601" s="42"/>
      <c r="AK601" s="42"/>
      <c r="AO601" s="86"/>
      <c r="AP601" s="87"/>
      <c r="AQ601" s="87"/>
      <c r="AR601" s="88"/>
      <c r="AS601" s="87"/>
      <c r="AT601" s="87"/>
    </row>
    <row r="602" spans="15:46" x14ac:dyDescent="0.25">
      <c r="O602" s="49" t="e">
        <f t="shared" si="73"/>
        <v>#N/A</v>
      </c>
      <c r="P602" s="42"/>
      <c r="Q602" s="42"/>
      <c r="AC602" s="3"/>
      <c r="AE602" s="42"/>
      <c r="AF602" s="42"/>
      <c r="AG602" s="42"/>
      <c r="AH602" s="42"/>
      <c r="AI602" s="42"/>
      <c r="AJ602" s="42"/>
      <c r="AK602" s="42"/>
      <c r="AO602" s="86"/>
      <c r="AP602" s="87"/>
      <c r="AQ602" s="87"/>
      <c r="AR602" s="88"/>
      <c r="AS602" s="87"/>
      <c r="AT602" s="87"/>
    </row>
    <row r="603" spans="15:46" x14ac:dyDescent="0.25">
      <c r="O603" s="49" t="e">
        <f t="shared" si="73"/>
        <v>#N/A</v>
      </c>
      <c r="P603" s="42"/>
      <c r="Q603" s="42"/>
      <c r="AC603" s="3"/>
      <c r="AE603" s="42"/>
      <c r="AF603" s="42"/>
      <c r="AG603" s="42"/>
      <c r="AH603" s="42"/>
      <c r="AI603" s="42"/>
      <c r="AJ603" s="42"/>
      <c r="AK603" s="42"/>
      <c r="AO603" s="86"/>
      <c r="AP603" s="87"/>
      <c r="AQ603" s="87"/>
      <c r="AR603" s="88"/>
      <c r="AS603" s="87"/>
      <c r="AT603" s="87"/>
    </row>
    <row r="604" spans="15:46" x14ac:dyDescent="0.25">
      <c r="O604" s="49" t="e">
        <f t="shared" si="73"/>
        <v>#N/A</v>
      </c>
      <c r="P604" s="42"/>
      <c r="Q604" s="42"/>
      <c r="AC604" s="3"/>
      <c r="AE604" s="42"/>
      <c r="AF604" s="42"/>
      <c r="AG604" s="42"/>
      <c r="AH604" s="42"/>
      <c r="AI604" s="42"/>
      <c r="AJ604" s="42"/>
      <c r="AK604" s="42"/>
      <c r="AO604" s="86"/>
      <c r="AP604" s="87"/>
      <c r="AQ604" s="87"/>
      <c r="AR604" s="88"/>
      <c r="AS604" s="87"/>
      <c r="AT604" s="87"/>
    </row>
    <row r="605" spans="15:46" x14ac:dyDescent="0.25">
      <c r="O605" s="49" t="e">
        <f t="shared" si="73"/>
        <v>#N/A</v>
      </c>
      <c r="P605" s="42"/>
      <c r="Q605" s="42"/>
      <c r="AC605" s="3"/>
      <c r="AE605" s="42"/>
      <c r="AF605" s="42"/>
      <c r="AG605" s="42"/>
      <c r="AH605" s="42"/>
      <c r="AI605" s="42"/>
      <c r="AJ605" s="42"/>
      <c r="AK605" s="42"/>
      <c r="AO605" s="86"/>
      <c r="AP605" s="87"/>
      <c r="AQ605" s="87"/>
      <c r="AR605" s="88"/>
      <c r="AS605" s="87"/>
      <c r="AT605" s="87"/>
    </row>
    <row r="606" spans="15:46" x14ac:dyDescent="0.25">
      <c r="O606" s="49" t="e">
        <f t="shared" si="73"/>
        <v>#N/A</v>
      </c>
      <c r="P606" s="42"/>
      <c r="Q606" s="42"/>
      <c r="AC606" s="3"/>
      <c r="AE606" s="42"/>
      <c r="AF606" s="42"/>
      <c r="AG606" s="42"/>
      <c r="AH606" s="42"/>
      <c r="AI606" s="42"/>
      <c r="AJ606" s="42"/>
      <c r="AK606" s="42"/>
      <c r="AO606" s="86"/>
      <c r="AP606" s="87"/>
      <c r="AQ606" s="87"/>
      <c r="AR606" s="88"/>
      <c r="AS606" s="87"/>
      <c r="AT606" s="87"/>
    </row>
    <row r="607" spans="15:46" x14ac:dyDescent="0.25">
      <c r="O607" s="49" t="e">
        <f t="shared" si="73"/>
        <v>#N/A</v>
      </c>
      <c r="P607" s="42"/>
      <c r="Q607" s="42"/>
      <c r="AC607" s="3"/>
      <c r="AE607" s="42"/>
      <c r="AF607" s="42"/>
      <c r="AG607" s="42"/>
      <c r="AH607" s="42"/>
      <c r="AI607" s="42"/>
      <c r="AJ607" s="42"/>
      <c r="AK607" s="42"/>
      <c r="AO607" s="86"/>
      <c r="AP607" s="87"/>
      <c r="AQ607" s="87"/>
      <c r="AR607" s="88"/>
      <c r="AS607" s="87"/>
      <c r="AT607" s="87"/>
    </row>
    <row r="608" spans="15:46" x14ac:dyDescent="0.25">
      <c r="O608" s="49" t="e">
        <f t="shared" si="73"/>
        <v>#N/A</v>
      </c>
      <c r="P608" s="42"/>
      <c r="Q608" s="42"/>
      <c r="AC608" s="3"/>
      <c r="AE608" s="42"/>
      <c r="AF608" s="42"/>
      <c r="AG608" s="42"/>
      <c r="AH608" s="42"/>
      <c r="AI608" s="42"/>
      <c r="AJ608" s="42"/>
      <c r="AK608" s="42"/>
      <c r="AO608" s="86"/>
      <c r="AP608" s="87"/>
      <c r="AQ608" s="87"/>
      <c r="AR608" s="88"/>
      <c r="AS608" s="87"/>
      <c r="AT608" s="87"/>
    </row>
    <row r="609" spans="15:46" x14ac:dyDescent="0.25">
      <c r="O609" s="49" t="e">
        <f t="shared" si="73"/>
        <v>#N/A</v>
      </c>
      <c r="P609" s="42"/>
      <c r="Q609" s="42"/>
      <c r="AC609" s="3"/>
      <c r="AE609" s="42"/>
      <c r="AF609" s="42"/>
      <c r="AG609" s="42"/>
      <c r="AH609" s="42"/>
      <c r="AI609" s="42"/>
      <c r="AJ609" s="42"/>
      <c r="AK609" s="42"/>
      <c r="AO609" s="86"/>
      <c r="AP609" s="87"/>
      <c r="AQ609" s="87"/>
      <c r="AR609" s="88"/>
      <c r="AS609" s="87"/>
      <c r="AT609" s="87"/>
    </row>
    <row r="610" spans="15:46" x14ac:dyDescent="0.25">
      <c r="O610" s="49" t="e">
        <f t="shared" si="73"/>
        <v>#N/A</v>
      </c>
      <c r="P610" s="42"/>
      <c r="Q610" s="42"/>
      <c r="AC610" s="3"/>
      <c r="AE610" s="42"/>
      <c r="AF610" s="42"/>
      <c r="AG610" s="42"/>
      <c r="AH610" s="42"/>
      <c r="AI610" s="42"/>
      <c r="AJ610" s="42"/>
      <c r="AK610" s="42"/>
      <c r="AO610" s="86"/>
      <c r="AP610" s="87"/>
      <c r="AQ610" s="87"/>
      <c r="AR610" s="88"/>
      <c r="AS610" s="87"/>
      <c r="AT610" s="87"/>
    </row>
    <row r="611" spans="15:46" x14ac:dyDescent="0.25">
      <c r="O611" s="49" t="e">
        <f t="shared" si="73"/>
        <v>#N/A</v>
      </c>
      <c r="P611" s="42"/>
      <c r="Q611" s="42"/>
      <c r="AC611" s="3"/>
      <c r="AE611" s="42"/>
      <c r="AF611" s="42"/>
      <c r="AG611" s="42"/>
      <c r="AH611" s="42"/>
      <c r="AI611" s="42"/>
      <c r="AJ611" s="42"/>
      <c r="AK611" s="42"/>
      <c r="AO611" s="86"/>
      <c r="AP611" s="87"/>
      <c r="AQ611" s="87"/>
      <c r="AR611" s="88"/>
      <c r="AS611" s="87"/>
      <c r="AT611" s="87"/>
    </row>
    <row r="612" spans="15:46" x14ac:dyDescent="0.25">
      <c r="O612" s="49" t="e">
        <f t="shared" si="73"/>
        <v>#N/A</v>
      </c>
      <c r="P612" s="42"/>
      <c r="Q612" s="42"/>
      <c r="AC612" s="3"/>
      <c r="AE612" s="42"/>
      <c r="AF612" s="42"/>
      <c r="AG612" s="42"/>
      <c r="AH612" s="42"/>
      <c r="AI612" s="42"/>
      <c r="AJ612" s="42"/>
      <c r="AK612" s="42"/>
      <c r="AO612" s="86"/>
      <c r="AP612" s="87"/>
      <c r="AQ612" s="87"/>
      <c r="AR612" s="88"/>
      <c r="AS612" s="87"/>
      <c r="AT612" s="87"/>
    </row>
    <row r="613" spans="15:46" x14ac:dyDescent="0.25">
      <c r="O613" s="49" t="e">
        <f t="shared" si="73"/>
        <v>#N/A</v>
      </c>
      <c r="P613" s="42"/>
      <c r="Q613" s="42"/>
      <c r="AC613" s="3"/>
      <c r="AE613" s="42"/>
      <c r="AF613" s="42"/>
      <c r="AG613" s="42"/>
      <c r="AH613" s="42"/>
      <c r="AI613" s="42"/>
      <c r="AJ613" s="42"/>
      <c r="AK613" s="42"/>
      <c r="AO613" s="86"/>
      <c r="AP613" s="87"/>
      <c r="AQ613" s="87"/>
      <c r="AR613" s="88"/>
      <c r="AS613" s="87"/>
      <c r="AT613" s="87"/>
    </row>
    <row r="614" spans="15:46" x14ac:dyDescent="0.25">
      <c r="O614" s="49" t="e">
        <f t="shared" si="73"/>
        <v>#N/A</v>
      </c>
      <c r="P614" s="42"/>
      <c r="Q614" s="42"/>
      <c r="AC614" s="3"/>
      <c r="AE614" s="42"/>
      <c r="AF614" s="42"/>
      <c r="AG614" s="42"/>
      <c r="AH614" s="42"/>
      <c r="AI614" s="42"/>
      <c r="AJ614" s="42"/>
      <c r="AK614" s="42"/>
      <c r="AO614" s="86"/>
      <c r="AP614" s="87"/>
      <c r="AQ614" s="87"/>
      <c r="AR614" s="88"/>
      <c r="AS614" s="87"/>
      <c r="AT614" s="87"/>
    </row>
    <row r="615" spans="15:46" x14ac:dyDescent="0.25">
      <c r="O615" s="49" t="e">
        <f t="shared" si="73"/>
        <v>#N/A</v>
      </c>
      <c r="P615" s="42"/>
      <c r="Q615" s="42"/>
      <c r="AC615" s="3"/>
      <c r="AE615" s="42"/>
      <c r="AF615" s="42"/>
      <c r="AG615" s="42"/>
      <c r="AH615" s="42"/>
      <c r="AI615" s="42"/>
      <c r="AJ615" s="42"/>
      <c r="AK615" s="42"/>
      <c r="AO615" s="86"/>
      <c r="AP615" s="87"/>
      <c r="AQ615" s="87"/>
      <c r="AR615" s="88"/>
      <c r="AS615" s="87"/>
      <c r="AT615" s="87"/>
    </row>
    <row r="616" spans="15:46" x14ac:dyDescent="0.25">
      <c r="O616" s="49" t="e">
        <f t="shared" si="73"/>
        <v>#N/A</v>
      </c>
      <c r="P616" s="42"/>
      <c r="Q616" s="42"/>
      <c r="AC616" s="3"/>
      <c r="AE616" s="42"/>
      <c r="AF616" s="42"/>
      <c r="AG616" s="42"/>
      <c r="AH616" s="42"/>
      <c r="AI616" s="42"/>
      <c r="AJ616" s="42"/>
      <c r="AK616" s="42"/>
      <c r="AO616" s="86"/>
      <c r="AP616" s="87"/>
      <c r="AQ616" s="87"/>
      <c r="AR616" s="88"/>
      <c r="AS616" s="87"/>
      <c r="AT616" s="87"/>
    </row>
    <row r="617" spans="15:46" x14ac:dyDescent="0.25">
      <c r="O617" s="49" t="e">
        <f t="shared" si="73"/>
        <v>#N/A</v>
      </c>
      <c r="P617" s="42"/>
      <c r="Q617" s="42"/>
      <c r="AC617" s="3"/>
      <c r="AE617" s="42"/>
      <c r="AF617" s="42"/>
      <c r="AG617" s="42"/>
      <c r="AH617" s="42"/>
      <c r="AI617" s="42"/>
      <c r="AJ617" s="42"/>
      <c r="AK617" s="42"/>
      <c r="AO617" s="86"/>
      <c r="AP617" s="87"/>
      <c r="AQ617" s="87"/>
      <c r="AR617" s="88"/>
      <c r="AS617" s="87"/>
      <c r="AT617" s="87"/>
    </row>
    <row r="618" spans="15:46" x14ac:dyDescent="0.25">
      <c r="O618" s="49" t="e">
        <f t="shared" si="73"/>
        <v>#N/A</v>
      </c>
      <c r="P618" s="42"/>
      <c r="Q618" s="42"/>
      <c r="AC618" s="3"/>
      <c r="AE618" s="42"/>
      <c r="AF618" s="42"/>
      <c r="AG618" s="42"/>
      <c r="AH618" s="42"/>
      <c r="AI618" s="42"/>
      <c r="AJ618" s="42"/>
      <c r="AK618" s="42"/>
      <c r="AO618" s="86"/>
      <c r="AP618" s="87"/>
      <c r="AQ618" s="87"/>
      <c r="AR618" s="88"/>
      <c r="AS618" s="87"/>
      <c r="AT618" s="87"/>
    </row>
    <row r="619" spans="15:46" x14ac:dyDescent="0.25">
      <c r="O619" s="49" t="e">
        <f t="shared" si="73"/>
        <v>#N/A</v>
      </c>
      <c r="P619" s="42"/>
      <c r="Q619" s="42"/>
      <c r="AC619" s="3"/>
      <c r="AE619" s="42"/>
      <c r="AF619" s="42"/>
      <c r="AG619" s="42"/>
      <c r="AH619" s="42"/>
      <c r="AI619" s="42"/>
      <c r="AJ619" s="42"/>
      <c r="AK619" s="42"/>
      <c r="AO619" s="86"/>
      <c r="AP619" s="87"/>
      <c r="AQ619" s="87"/>
      <c r="AR619" s="88"/>
      <c r="AS619" s="87"/>
      <c r="AT619" s="87"/>
    </row>
    <row r="620" spans="15:46" x14ac:dyDescent="0.25">
      <c r="O620" s="49" t="e">
        <f t="shared" si="73"/>
        <v>#N/A</v>
      </c>
      <c r="P620" s="42"/>
      <c r="Q620" s="42"/>
      <c r="AC620" s="3"/>
      <c r="AE620" s="42"/>
      <c r="AF620" s="42"/>
      <c r="AG620" s="42"/>
      <c r="AH620" s="42"/>
      <c r="AI620" s="42"/>
      <c r="AJ620" s="42"/>
      <c r="AK620" s="42"/>
      <c r="AO620" s="86"/>
      <c r="AP620" s="87"/>
      <c r="AQ620" s="87"/>
      <c r="AR620" s="88"/>
      <c r="AS620" s="87"/>
      <c r="AT620" s="87"/>
    </row>
    <row r="621" spans="15:46" x14ac:dyDescent="0.25">
      <c r="O621" s="49" t="e">
        <f t="shared" si="73"/>
        <v>#N/A</v>
      </c>
      <c r="P621" s="42"/>
      <c r="Q621" s="42"/>
      <c r="AC621" s="3"/>
      <c r="AE621" s="42"/>
      <c r="AF621" s="42"/>
      <c r="AG621" s="42"/>
      <c r="AH621" s="42"/>
      <c r="AI621" s="42"/>
      <c r="AJ621" s="42"/>
      <c r="AK621" s="42"/>
      <c r="AO621" s="86"/>
      <c r="AP621" s="87"/>
      <c r="AQ621" s="87"/>
      <c r="AR621" s="88"/>
      <c r="AS621" s="87"/>
      <c r="AT621" s="87"/>
    </row>
    <row r="622" spans="15:46" x14ac:dyDescent="0.25">
      <c r="O622" s="49" t="e">
        <f t="shared" si="73"/>
        <v>#N/A</v>
      </c>
      <c r="P622" s="42"/>
      <c r="Q622" s="42"/>
      <c r="AC622" s="3"/>
      <c r="AE622" s="42"/>
      <c r="AF622" s="42"/>
      <c r="AG622" s="42"/>
      <c r="AH622" s="42"/>
      <c r="AI622" s="42"/>
      <c r="AJ622" s="42"/>
      <c r="AK622" s="42"/>
      <c r="AO622" s="86"/>
      <c r="AP622" s="87"/>
      <c r="AQ622" s="87"/>
      <c r="AR622" s="88"/>
      <c r="AS622" s="87"/>
      <c r="AT622" s="87"/>
    </row>
    <row r="623" spans="15:46" x14ac:dyDescent="0.25">
      <c r="O623" s="49" t="e">
        <f t="shared" si="73"/>
        <v>#N/A</v>
      </c>
      <c r="P623" s="42"/>
      <c r="Q623" s="42"/>
      <c r="AC623" s="3"/>
      <c r="AE623" s="42"/>
      <c r="AF623" s="42"/>
      <c r="AG623" s="42"/>
      <c r="AH623" s="42"/>
      <c r="AI623" s="42"/>
      <c r="AJ623" s="42"/>
      <c r="AK623" s="42"/>
      <c r="AO623" s="86"/>
      <c r="AP623" s="87"/>
      <c r="AQ623" s="87"/>
      <c r="AR623" s="88"/>
      <c r="AS623" s="87"/>
      <c r="AT623" s="87"/>
    </row>
    <row r="624" spans="15:46" x14ac:dyDescent="0.25">
      <c r="O624" s="49" t="e">
        <f t="shared" si="73"/>
        <v>#N/A</v>
      </c>
      <c r="P624" s="42"/>
      <c r="Q624" s="42"/>
      <c r="AC624" s="3"/>
      <c r="AE624" s="42"/>
      <c r="AF624" s="42"/>
      <c r="AG624" s="42"/>
      <c r="AH624" s="42"/>
      <c r="AI624" s="42"/>
      <c r="AJ624" s="42"/>
      <c r="AK624" s="42"/>
      <c r="AO624" s="86"/>
      <c r="AP624" s="87"/>
      <c r="AQ624" s="87"/>
      <c r="AR624" s="88"/>
      <c r="AS624" s="87"/>
      <c r="AT624" s="87"/>
    </row>
    <row r="625" spans="15:46" x14ac:dyDescent="0.25">
      <c r="O625" s="49" t="e">
        <f t="shared" si="73"/>
        <v>#N/A</v>
      </c>
      <c r="P625" s="42"/>
      <c r="Q625" s="42"/>
      <c r="AC625" s="3"/>
      <c r="AE625" s="42"/>
      <c r="AF625" s="42"/>
      <c r="AG625" s="42"/>
      <c r="AH625" s="42"/>
      <c r="AI625" s="42"/>
      <c r="AJ625" s="42"/>
      <c r="AK625" s="42"/>
      <c r="AO625" s="86"/>
      <c r="AP625" s="87"/>
      <c r="AQ625" s="87"/>
      <c r="AR625" s="88"/>
      <c r="AS625" s="87"/>
      <c r="AT625" s="87"/>
    </row>
    <row r="626" spans="15:46" x14ac:dyDescent="0.25">
      <c r="O626" s="49" t="e">
        <f t="shared" si="73"/>
        <v>#N/A</v>
      </c>
      <c r="P626" s="42"/>
      <c r="Q626" s="42"/>
      <c r="AC626" s="3"/>
      <c r="AE626" s="42"/>
      <c r="AF626" s="42"/>
      <c r="AG626" s="42"/>
      <c r="AH626" s="42"/>
      <c r="AI626" s="42"/>
      <c r="AJ626" s="42"/>
      <c r="AK626" s="42"/>
      <c r="AO626" s="86"/>
      <c r="AP626" s="87"/>
      <c r="AQ626" s="87"/>
      <c r="AR626" s="88"/>
      <c r="AS626" s="87"/>
      <c r="AT626" s="87"/>
    </row>
    <row r="627" spans="15:46" x14ac:dyDescent="0.25">
      <c r="O627" s="49" t="e">
        <f t="shared" si="73"/>
        <v>#N/A</v>
      </c>
      <c r="P627" s="42"/>
      <c r="Q627" s="42"/>
      <c r="AC627" s="3"/>
      <c r="AE627" s="42"/>
      <c r="AF627" s="42"/>
      <c r="AG627" s="42"/>
      <c r="AH627" s="42"/>
      <c r="AI627" s="42"/>
      <c r="AJ627" s="42"/>
      <c r="AK627" s="42"/>
      <c r="AO627" s="86"/>
      <c r="AP627" s="87"/>
      <c r="AQ627" s="87"/>
      <c r="AR627" s="88"/>
      <c r="AS627" s="87"/>
      <c r="AT627" s="87"/>
    </row>
    <row r="628" spans="15:46" x14ac:dyDescent="0.25">
      <c r="O628" s="49" t="e">
        <f t="shared" si="73"/>
        <v>#N/A</v>
      </c>
      <c r="P628" s="42"/>
      <c r="Q628" s="42"/>
      <c r="AC628" s="3"/>
      <c r="AE628" s="42"/>
      <c r="AF628" s="42"/>
      <c r="AG628" s="42"/>
      <c r="AH628" s="42"/>
      <c r="AI628" s="42"/>
      <c r="AJ628" s="42"/>
      <c r="AK628" s="42"/>
      <c r="AO628" s="86"/>
      <c r="AP628" s="87"/>
      <c r="AQ628" s="87"/>
      <c r="AR628" s="88"/>
      <c r="AS628" s="87"/>
      <c r="AT628" s="87"/>
    </row>
    <row r="629" spans="15:46" x14ac:dyDescent="0.25">
      <c r="O629" s="49" t="e">
        <f t="shared" si="73"/>
        <v>#N/A</v>
      </c>
      <c r="P629" s="42"/>
      <c r="Q629" s="42"/>
      <c r="AC629" s="3"/>
      <c r="AE629" s="42"/>
      <c r="AF629" s="42"/>
      <c r="AG629" s="42"/>
      <c r="AH629" s="42"/>
      <c r="AI629" s="42"/>
      <c r="AJ629" s="42"/>
      <c r="AK629" s="42"/>
      <c r="AO629" s="86"/>
      <c r="AP629" s="87"/>
      <c r="AQ629" s="87"/>
      <c r="AR629" s="88"/>
      <c r="AS629" s="87"/>
      <c r="AT629" s="87"/>
    </row>
    <row r="630" spans="15:46" x14ac:dyDescent="0.25">
      <c r="O630" s="49" t="e">
        <f t="shared" si="73"/>
        <v>#N/A</v>
      </c>
      <c r="P630" s="42"/>
      <c r="Q630" s="42"/>
      <c r="AC630" s="3"/>
      <c r="AE630" s="42"/>
      <c r="AF630" s="42"/>
      <c r="AG630" s="42"/>
      <c r="AH630" s="42"/>
      <c r="AI630" s="42"/>
      <c r="AJ630" s="42"/>
      <c r="AK630" s="42"/>
      <c r="AO630" s="86"/>
      <c r="AP630" s="87"/>
      <c r="AQ630" s="87"/>
      <c r="AR630" s="88"/>
      <c r="AS630" s="87"/>
      <c r="AT630" s="87"/>
    </row>
    <row r="631" spans="15:46" x14ac:dyDescent="0.25">
      <c r="O631" s="49" t="e">
        <f t="shared" si="73"/>
        <v>#N/A</v>
      </c>
      <c r="P631" s="42"/>
      <c r="Q631" s="42"/>
      <c r="AC631" s="3"/>
      <c r="AE631" s="42"/>
      <c r="AF631" s="42"/>
      <c r="AG631" s="42"/>
      <c r="AH631" s="42"/>
      <c r="AI631" s="42"/>
      <c r="AJ631" s="42"/>
      <c r="AK631" s="42"/>
      <c r="AO631" s="86"/>
      <c r="AP631" s="87"/>
      <c r="AQ631" s="87"/>
      <c r="AR631" s="88"/>
      <c r="AS631" s="87"/>
      <c r="AT631" s="87"/>
    </row>
    <row r="632" spans="15:46" x14ac:dyDescent="0.25">
      <c r="O632" s="49" t="e">
        <f t="shared" si="73"/>
        <v>#N/A</v>
      </c>
      <c r="P632" s="42"/>
      <c r="Q632" s="42"/>
      <c r="AC632" s="3"/>
      <c r="AE632" s="42"/>
      <c r="AF632" s="42"/>
      <c r="AG632" s="42"/>
      <c r="AH632" s="42"/>
      <c r="AI632" s="42"/>
      <c r="AJ632" s="42"/>
      <c r="AK632" s="42"/>
      <c r="AO632" s="86"/>
      <c r="AP632" s="87"/>
      <c r="AQ632" s="87"/>
      <c r="AR632" s="88"/>
      <c r="AS632" s="87"/>
      <c r="AT632" s="87"/>
    </row>
    <row r="633" spans="15:46" x14ac:dyDescent="0.25">
      <c r="O633" s="49" t="e">
        <f t="shared" si="73"/>
        <v>#N/A</v>
      </c>
      <c r="P633" s="42"/>
      <c r="Q633" s="42"/>
      <c r="AC633" s="3"/>
      <c r="AE633" s="42"/>
      <c r="AF633" s="42"/>
      <c r="AG633" s="42"/>
      <c r="AH633" s="42"/>
      <c r="AI633" s="42"/>
      <c r="AJ633" s="42"/>
      <c r="AK633" s="42"/>
      <c r="AO633" s="86"/>
      <c r="AP633" s="87"/>
      <c r="AQ633" s="87"/>
      <c r="AR633" s="88"/>
      <c r="AS633" s="87"/>
      <c r="AT633" s="87"/>
    </row>
    <row r="634" spans="15:46" x14ac:dyDescent="0.25">
      <c r="O634" s="49" t="e">
        <f t="shared" si="73"/>
        <v>#N/A</v>
      </c>
      <c r="P634" s="42"/>
      <c r="Q634" s="42"/>
      <c r="AC634" s="3"/>
      <c r="AE634" s="42"/>
      <c r="AF634" s="42"/>
      <c r="AG634" s="42"/>
      <c r="AH634" s="42"/>
      <c r="AI634" s="42"/>
      <c r="AJ634" s="42"/>
      <c r="AK634" s="42"/>
      <c r="AO634" s="86"/>
      <c r="AP634" s="87"/>
      <c r="AQ634" s="87"/>
      <c r="AR634" s="88"/>
      <c r="AS634" s="87"/>
      <c r="AT634" s="87"/>
    </row>
    <row r="635" spans="15:46" x14ac:dyDescent="0.25">
      <c r="O635" s="49" t="e">
        <f t="shared" si="73"/>
        <v>#N/A</v>
      </c>
      <c r="P635" s="42"/>
      <c r="Q635" s="42"/>
      <c r="AC635" s="3"/>
      <c r="AE635" s="42"/>
      <c r="AF635" s="42"/>
      <c r="AG635" s="42"/>
      <c r="AH635" s="42"/>
      <c r="AI635" s="42"/>
      <c r="AJ635" s="42"/>
      <c r="AK635" s="42"/>
      <c r="AO635" s="86"/>
      <c r="AP635" s="87"/>
      <c r="AQ635" s="87"/>
      <c r="AR635" s="88"/>
      <c r="AS635" s="87"/>
      <c r="AT635" s="87"/>
    </row>
    <row r="636" spans="15:46" x14ac:dyDescent="0.25">
      <c r="O636" s="49" t="e">
        <f t="shared" si="73"/>
        <v>#N/A</v>
      </c>
      <c r="P636" s="42"/>
      <c r="Q636" s="42"/>
      <c r="AC636" s="3"/>
      <c r="AE636" s="42"/>
      <c r="AF636" s="42"/>
      <c r="AG636" s="42"/>
      <c r="AH636" s="42"/>
      <c r="AI636" s="42"/>
      <c r="AJ636" s="42"/>
      <c r="AK636" s="42"/>
      <c r="AO636" s="86"/>
      <c r="AP636" s="87"/>
      <c r="AQ636" s="87"/>
      <c r="AR636" s="88"/>
      <c r="AS636" s="87"/>
      <c r="AT636" s="87"/>
    </row>
    <row r="637" spans="15:46" x14ac:dyDescent="0.25">
      <c r="O637" s="49" t="e">
        <f t="shared" si="73"/>
        <v>#N/A</v>
      </c>
      <c r="P637" s="42"/>
      <c r="Q637" s="42"/>
      <c r="AC637" s="3"/>
      <c r="AE637" s="42"/>
      <c r="AF637" s="42"/>
      <c r="AG637" s="42"/>
      <c r="AH637" s="42"/>
      <c r="AI637" s="42"/>
      <c r="AJ637" s="42"/>
      <c r="AK637" s="42"/>
      <c r="AO637" s="86"/>
      <c r="AP637" s="87"/>
      <c r="AQ637" s="87"/>
      <c r="AR637" s="88"/>
      <c r="AS637" s="87"/>
      <c r="AT637" s="87"/>
    </row>
    <row r="638" spans="15:46" x14ac:dyDescent="0.25">
      <c r="O638" s="49" t="e">
        <f t="shared" si="73"/>
        <v>#N/A</v>
      </c>
      <c r="P638" s="42"/>
      <c r="Q638" s="42"/>
      <c r="AC638" s="3"/>
      <c r="AE638" s="42"/>
      <c r="AF638" s="42"/>
      <c r="AG638" s="42"/>
      <c r="AH638" s="42"/>
      <c r="AI638" s="42"/>
      <c r="AJ638" s="42"/>
      <c r="AK638" s="42"/>
      <c r="AO638" s="86"/>
      <c r="AP638" s="87"/>
      <c r="AQ638" s="87"/>
      <c r="AR638" s="88"/>
      <c r="AS638" s="87"/>
      <c r="AT638" s="87"/>
    </row>
    <row r="639" spans="15:46" x14ac:dyDescent="0.25">
      <c r="O639" s="49" t="e">
        <f t="shared" si="73"/>
        <v>#N/A</v>
      </c>
      <c r="P639" s="42"/>
      <c r="Q639" s="42"/>
      <c r="AC639" s="3"/>
      <c r="AE639" s="42"/>
      <c r="AF639" s="42"/>
      <c r="AG639" s="42"/>
      <c r="AH639" s="42"/>
      <c r="AI639" s="42"/>
      <c r="AJ639" s="42"/>
      <c r="AK639" s="42"/>
      <c r="AO639" s="86"/>
      <c r="AP639" s="87"/>
      <c r="AQ639" s="87"/>
      <c r="AR639" s="88"/>
      <c r="AS639" s="87"/>
      <c r="AT639" s="87"/>
    </row>
    <row r="640" spans="15:46" x14ac:dyDescent="0.25">
      <c r="O640" s="49" t="e">
        <f t="shared" si="73"/>
        <v>#N/A</v>
      </c>
      <c r="P640" s="42"/>
      <c r="Q640" s="42"/>
      <c r="AC640" s="3"/>
      <c r="AE640" s="42"/>
      <c r="AF640" s="42"/>
      <c r="AG640" s="42"/>
      <c r="AH640" s="42"/>
      <c r="AI640" s="42"/>
      <c r="AJ640" s="42"/>
      <c r="AK640" s="42"/>
      <c r="AO640" s="86"/>
      <c r="AP640" s="87"/>
      <c r="AQ640" s="87"/>
      <c r="AR640" s="88"/>
      <c r="AS640" s="87"/>
      <c r="AT640" s="87"/>
    </row>
    <row r="641" spans="15:46" x14ac:dyDescent="0.25">
      <c r="O641" s="49" t="e">
        <f t="shared" si="73"/>
        <v>#N/A</v>
      </c>
      <c r="P641" s="42"/>
      <c r="Q641" s="42"/>
      <c r="AC641" s="3"/>
      <c r="AE641" s="42"/>
      <c r="AF641" s="42"/>
      <c r="AG641" s="42"/>
      <c r="AH641" s="42"/>
      <c r="AI641" s="42"/>
      <c r="AJ641" s="42"/>
      <c r="AK641" s="42"/>
      <c r="AO641" s="86"/>
      <c r="AP641" s="87"/>
      <c r="AQ641" s="87"/>
      <c r="AR641" s="88"/>
      <c r="AS641" s="87"/>
      <c r="AT641" s="87"/>
    </row>
    <row r="642" spans="15:46" x14ac:dyDescent="0.25">
      <c r="O642" s="49" t="e">
        <f t="shared" si="73"/>
        <v>#N/A</v>
      </c>
      <c r="P642" s="42"/>
      <c r="Q642" s="42"/>
      <c r="AC642" s="3"/>
      <c r="AE642" s="42"/>
      <c r="AF642" s="42"/>
      <c r="AG642" s="42"/>
      <c r="AH642" s="42"/>
      <c r="AI642" s="42"/>
      <c r="AJ642" s="42"/>
      <c r="AK642" s="42"/>
      <c r="AO642" s="86"/>
      <c r="AP642" s="87"/>
      <c r="AQ642" s="87"/>
      <c r="AR642" s="88"/>
      <c r="AS642" s="87"/>
      <c r="AT642" s="87"/>
    </row>
    <row r="643" spans="15:46" x14ac:dyDescent="0.25">
      <c r="O643" s="49" t="e">
        <f t="shared" si="73"/>
        <v>#N/A</v>
      </c>
      <c r="P643" s="42"/>
      <c r="Q643" s="42"/>
      <c r="AC643" s="3"/>
      <c r="AE643" s="42"/>
      <c r="AF643" s="42"/>
      <c r="AG643" s="42"/>
      <c r="AH643" s="42"/>
      <c r="AI643" s="42"/>
      <c r="AJ643" s="42"/>
      <c r="AK643" s="42"/>
      <c r="AO643" s="86"/>
      <c r="AP643" s="87"/>
      <c r="AQ643" s="87"/>
      <c r="AR643" s="88"/>
      <c r="AS643" s="87"/>
      <c r="AT643" s="87"/>
    </row>
    <row r="644" spans="15:46" x14ac:dyDescent="0.25">
      <c r="O644" s="49" t="e">
        <f t="shared" si="73"/>
        <v>#N/A</v>
      </c>
      <c r="P644" s="42"/>
      <c r="Q644" s="42"/>
      <c r="AC644" s="3"/>
      <c r="AE644" s="42"/>
      <c r="AF644" s="42"/>
      <c r="AG644" s="42"/>
      <c r="AH644" s="42"/>
      <c r="AI644" s="42"/>
      <c r="AJ644" s="42"/>
      <c r="AK644" s="42"/>
      <c r="AO644" s="86"/>
      <c r="AP644" s="87"/>
      <c r="AQ644" s="87"/>
      <c r="AR644" s="88"/>
      <c r="AS644" s="87"/>
      <c r="AT644" s="87"/>
    </row>
    <row r="645" spans="15:46" x14ac:dyDescent="0.25">
      <c r="O645" s="49" t="e">
        <f t="shared" si="73"/>
        <v>#N/A</v>
      </c>
      <c r="P645" s="42"/>
      <c r="Q645" s="42"/>
      <c r="AC645" s="3"/>
      <c r="AE645" s="42"/>
      <c r="AF645" s="42"/>
      <c r="AG645" s="42"/>
      <c r="AH645" s="42"/>
      <c r="AI645" s="42"/>
      <c r="AJ645" s="42"/>
      <c r="AK645" s="42"/>
      <c r="AO645" s="86"/>
      <c r="AP645" s="87"/>
      <c r="AQ645" s="87"/>
      <c r="AR645" s="88"/>
      <c r="AS645" s="87"/>
      <c r="AT645" s="87"/>
    </row>
    <row r="646" spans="15:46" x14ac:dyDescent="0.25">
      <c r="O646" s="49" t="e">
        <f t="shared" si="73"/>
        <v>#N/A</v>
      </c>
      <c r="P646" s="42"/>
      <c r="Q646" s="42"/>
      <c r="AC646" s="3"/>
      <c r="AE646" s="42"/>
      <c r="AF646" s="42"/>
      <c r="AG646" s="42"/>
      <c r="AH646" s="42"/>
      <c r="AI646" s="42"/>
      <c r="AJ646" s="42"/>
      <c r="AK646" s="42"/>
      <c r="AO646" s="86"/>
      <c r="AP646" s="87"/>
      <c r="AQ646" s="87"/>
      <c r="AR646" s="88"/>
      <c r="AS646" s="87"/>
      <c r="AT646" s="87"/>
    </row>
    <row r="647" spans="15:46" x14ac:dyDescent="0.25">
      <c r="O647" s="49" t="e">
        <f t="shared" si="73"/>
        <v>#N/A</v>
      </c>
      <c r="P647" s="42"/>
      <c r="Q647" s="42"/>
      <c r="AC647" s="3"/>
      <c r="AE647" s="42"/>
      <c r="AF647" s="42"/>
      <c r="AG647" s="42"/>
      <c r="AH647" s="42"/>
      <c r="AI647" s="42"/>
      <c r="AJ647" s="42"/>
      <c r="AK647" s="42"/>
      <c r="AO647" s="86"/>
      <c r="AP647" s="87"/>
      <c r="AQ647" s="87"/>
      <c r="AR647" s="88"/>
      <c r="AS647" s="87"/>
      <c r="AT647" s="87"/>
    </row>
    <row r="648" spans="15:46" x14ac:dyDescent="0.25">
      <c r="O648" s="49" t="e">
        <f t="shared" si="73"/>
        <v>#N/A</v>
      </c>
      <c r="P648" s="42"/>
      <c r="Q648" s="42"/>
      <c r="AC648" s="3"/>
      <c r="AE648" s="42"/>
      <c r="AF648" s="42"/>
      <c r="AG648" s="42"/>
      <c r="AH648" s="42"/>
      <c r="AI648" s="42"/>
      <c r="AJ648" s="42"/>
      <c r="AK648" s="42"/>
      <c r="AO648" s="86"/>
      <c r="AP648" s="87"/>
      <c r="AQ648" s="87"/>
      <c r="AR648" s="88"/>
      <c r="AS648" s="87"/>
      <c r="AT648" s="87"/>
    </row>
    <row r="649" spans="15:46" x14ac:dyDescent="0.25">
      <c r="O649" s="49" t="e">
        <f t="shared" si="73"/>
        <v>#N/A</v>
      </c>
      <c r="P649" s="42"/>
      <c r="Q649" s="42"/>
      <c r="AC649" s="3"/>
      <c r="AE649" s="42"/>
      <c r="AF649" s="42"/>
      <c r="AG649" s="42"/>
      <c r="AH649" s="42"/>
      <c r="AI649" s="42"/>
      <c r="AJ649" s="42"/>
      <c r="AK649" s="42"/>
      <c r="AO649" s="86"/>
      <c r="AP649" s="87"/>
      <c r="AQ649" s="87"/>
      <c r="AR649" s="88"/>
      <c r="AS649" s="87"/>
      <c r="AT649" s="87"/>
    </row>
    <row r="650" spans="15:46" x14ac:dyDescent="0.25">
      <c r="O650" s="49" t="e">
        <f t="shared" si="73"/>
        <v>#N/A</v>
      </c>
      <c r="P650" s="42"/>
      <c r="Q650" s="42"/>
      <c r="AC650" s="3"/>
      <c r="AE650" s="42"/>
      <c r="AF650" s="42"/>
      <c r="AG650" s="42"/>
      <c r="AH650" s="42"/>
      <c r="AI650" s="42"/>
      <c r="AJ650" s="42"/>
      <c r="AK650" s="42"/>
      <c r="AO650" s="86"/>
      <c r="AP650" s="87"/>
      <c r="AQ650" s="87"/>
      <c r="AR650" s="88"/>
      <c r="AS650" s="87"/>
      <c r="AT650" s="87"/>
    </row>
    <row r="651" spans="15:46" x14ac:dyDescent="0.25">
      <c r="O651" s="49" t="e">
        <f t="shared" si="73"/>
        <v>#N/A</v>
      </c>
      <c r="P651" s="42"/>
      <c r="Q651" s="42"/>
      <c r="AC651" s="3"/>
      <c r="AE651" s="42"/>
      <c r="AF651" s="42"/>
      <c r="AG651" s="42"/>
      <c r="AH651" s="42"/>
      <c r="AI651" s="42"/>
      <c r="AJ651" s="42"/>
      <c r="AK651" s="42"/>
      <c r="AO651" s="86"/>
      <c r="AP651" s="87"/>
      <c r="AQ651" s="87"/>
      <c r="AR651" s="88"/>
      <c r="AS651" s="87"/>
      <c r="AT651" s="87"/>
    </row>
    <row r="652" spans="15:46" x14ac:dyDescent="0.25">
      <c r="O652" s="49" t="e">
        <f t="shared" si="73"/>
        <v>#N/A</v>
      </c>
      <c r="P652" s="42"/>
      <c r="Q652" s="42"/>
      <c r="AC652" s="3"/>
      <c r="AE652" s="42"/>
      <c r="AF652" s="42"/>
      <c r="AG652" s="42"/>
      <c r="AH652" s="42"/>
      <c r="AI652" s="42"/>
      <c r="AJ652" s="42"/>
      <c r="AK652" s="42"/>
      <c r="AO652" s="86"/>
      <c r="AP652" s="87"/>
      <c r="AQ652" s="87"/>
      <c r="AR652" s="88"/>
      <c r="AS652" s="87"/>
      <c r="AT652" s="87"/>
    </row>
    <row r="653" spans="15:46" x14ac:dyDescent="0.25">
      <c r="O653" s="49" t="e">
        <f t="shared" si="73"/>
        <v>#N/A</v>
      </c>
      <c r="P653" s="42"/>
      <c r="Q653" s="42"/>
      <c r="AC653" s="3"/>
      <c r="AE653" s="42"/>
      <c r="AF653" s="42"/>
      <c r="AG653" s="42"/>
      <c r="AH653" s="42"/>
      <c r="AI653" s="42"/>
      <c r="AJ653" s="42"/>
      <c r="AK653" s="42"/>
      <c r="AO653" s="86"/>
      <c r="AP653" s="87"/>
      <c r="AQ653" s="87"/>
      <c r="AR653" s="88"/>
      <c r="AS653" s="87"/>
      <c r="AT653" s="87"/>
    </row>
    <row r="654" spans="15:46" x14ac:dyDescent="0.25">
      <c r="O654" s="49" t="e">
        <f t="shared" si="73"/>
        <v>#N/A</v>
      </c>
      <c r="P654" s="42"/>
      <c r="Q654" s="42"/>
      <c r="AC654" s="3"/>
      <c r="AE654" s="42"/>
      <c r="AF654" s="42"/>
      <c r="AG654" s="42"/>
      <c r="AH654" s="42"/>
      <c r="AI654" s="42"/>
      <c r="AJ654" s="42"/>
      <c r="AK654" s="42"/>
      <c r="AO654" s="86"/>
      <c r="AP654" s="87"/>
      <c r="AQ654" s="87"/>
      <c r="AR654" s="88"/>
      <c r="AS654" s="87"/>
      <c r="AT654" s="87"/>
    </row>
    <row r="655" spans="15:46" x14ac:dyDescent="0.25">
      <c r="O655" s="49" t="e">
        <f t="shared" si="73"/>
        <v>#N/A</v>
      </c>
      <c r="P655" s="42"/>
      <c r="Q655" s="42"/>
      <c r="AC655" s="3"/>
      <c r="AE655" s="42"/>
      <c r="AF655" s="42"/>
      <c r="AG655" s="42"/>
      <c r="AH655" s="42"/>
      <c r="AI655" s="42"/>
      <c r="AJ655" s="42"/>
      <c r="AK655" s="42"/>
      <c r="AO655" s="86"/>
      <c r="AP655" s="87"/>
      <c r="AQ655" s="87"/>
      <c r="AR655" s="88"/>
      <c r="AS655" s="87"/>
      <c r="AT655" s="87"/>
    </row>
    <row r="656" spans="15:46" x14ac:dyDescent="0.25">
      <c r="O656" s="49" t="e">
        <f t="shared" si="73"/>
        <v>#N/A</v>
      </c>
      <c r="P656" s="42"/>
      <c r="Q656" s="42"/>
      <c r="AC656" s="3"/>
      <c r="AE656" s="42"/>
      <c r="AF656" s="42"/>
      <c r="AG656" s="42"/>
      <c r="AH656" s="42"/>
      <c r="AI656" s="42"/>
      <c r="AJ656" s="42"/>
      <c r="AK656" s="42"/>
      <c r="AO656" s="86"/>
      <c r="AP656" s="87"/>
      <c r="AQ656" s="87"/>
      <c r="AR656" s="88"/>
      <c r="AS656" s="87"/>
      <c r="AT656" s="87"/>
    </row>
    <row r="657" spans="15:46" x14ac:dyDescent="0.25">
      <c r="O657" s="49" t="e">
        <f t="shared" si="73"/>
        <v>#N/A</v>
      </c>
      <c r="P657" s="42"/>
      <c r="Q657" s="42"/>
      <c r="AC657" s="3"/>
      <c r="AE657" s="42"/>
      <c r="AF657" s="42"/>
      <c r="AG657" s="42"/>
      <c r="AH657" s="42"/>
      <c r="AI657" s="42"/>
      <c r="AJ657" s="42"/>
      <c r="AK657" s="42"/>
      <c r="AO657" s="86"/>
      <c r="AP657" s="87"/>
      <c r="AQ657" s="87"/>
      <c r="AR657" s="88"/>
      <c r="AS657" s="87"/>
      <c r="AT657" s="87"/>
    </row>
    <row r="658" spans="15:46" x14ac:dyDescent="0.25">
      <c r="O658" s="49" t="e">
        <f t="shared" si="73"/>
        <v>#N/A</v>
      </c>
      <c r="P658" s="42"/>
      <c r="Q658" s="42"/>
      <c r="AC658" s="3"/>
      <c r="AE658" s="42"/>
      <c r="AF658" s="42"/>
      <c r="AG658" s="42"/>
      <c r="AH658" s="42"/>
      <c r="AI658" s="42"/>
      <c r="AJ658" s="42"/>
      <c r="AK658" s="42"/>
      <c r="AO658" s="86"/>
      <c r="AP658" s="87"/>
      <c r="AQ658" s="87"/>
      <c r="AR658" s="88"/>
      <c r="AS658" s="87"/>
      <c r="AT658" s="87"/>
    </row>
    <row r="659" spans="15:46" x14ac:dyDescent="0.25">
      <c r="O659" s="49" t="e">
        <f t="shared" si="73"/>
        <v>#N/A</v>
      </c>
      <c r="P659" s="42"/>
      <c r="Q659" s="42"/>
      <c r="AC659" s="3"/>
      <c r="AE659" s="42"/>
      <c r="AF659" s="42"/>
      <c r="AG659" s="42"/>
      <c r="AH659" s="42"/>
      <c r="AI659" s="42"/>
      <c r="AJ659" s="42"/>
      <c r="AK659" s="42"/>
      <c r="AO659" s="86"/>
      <c r="AP659" s="87"/>
      <c r="AQ659" s="87"/>
      <c r="AR659" s="88"/>
      <c r="AS659" s="87"/>
      <c r="AT659" s="87"/>
    </row>
    <row r="660" spans="15:46" x14ac:dyDescent="0.25">
      <c r="O660" s="49" t="e">
        <f t="shared" si="73"/>
        <v>#N/A</v>
      </c>
      <c r="P660" s="42"/>
      <c r="Q660" s="42"/>
      <c r="AC660" s="3"/>
      <c r="AE660" s="42"/>
      <c r="AF660" s="42"/>
      <c r="AG660" s="42"/>
      <c r="AH660" s="42"/>
      <c r="AI660" s="42"/>
      <c r="AJ660" s="42"/>
      <c r="AK660" s="42"/>
      <c r="AO660" s="86"/>
      <c r="AP660" s="87"/>
      <c r="AQ660" s="87"/>
      <c r="AR660" s="88"/>
      <c r="AS660" s="87"/>
      <c r="AT660" s="87"/>
    </row>
    <row r="661" spans="15:46" x14ac:dyDescent="0.25">
      <c r="O661" s="49" t="e">
        <f t="shared" si="73"/>
        <v>#N/A</v>
      </c>
      <c r="P661" s="42"/>
      <c r="Q661" s="42"/>
      <c r="AC661" s="3"/>
      <c r="AE661" s="42"/>
      <c r="AF661" s="42"/>
      <c r="AG661" s="42"/>
      <c r="AH661" s="42"/>
      <c r="AI661" s="42"/>
      <c r="AJ661" s="42"/>
      <c r="AK661" s="42"/>
      <c r="AO661" s="86"/>
      <c r="AP661" s="87"/>
      <c r="AQ661" s="87"/>
      <c r="AR661" s="88"/>
      <c r="AS661" s="87"/>
      <c r="AT661" s="87"/>
    </row>
    <row r="662" spans="15:46" x14ac:dyDescent="0.25">
      <c r="O662" s="49" t="e">
        <f t="shared" si="73"/>
        <v>#N/A</v>
      </c>
      <c r="P662" s="42"/>
      <c r="Q662" s="42"/>
      <c r="AC662" s="3"/>
      <c r="AE662" s="42"/>
      <c r="AF662" s="42"/>
      <c r="AG662" s="42"/>
      <c r="AH662" s="42"/>
      <c r="AI662" s="42"/>
      <c r="AJ662" s="42"/>
      <c r="AK662" s="42"/>
      <c r="AO662" s="86"/>
      <c r="AP662" s="87"/>
      <c r="AQ662" s="87"/>
      <c r="AR662" s="88"/>
      <c r="AS662" s="87"/>
      <c r="AT662" s="87"/>
    </row>
    <row r="663" spans="15:46" x14ac:dyDescent="0.25">
      <c r="O663" s="49" t="e">
        <f t="shared" ref="O663:O726" si="74">IF(ISTEXT(N663),IF(MID(N663,11,2)="24",1+DATEVALUE(LEFT(N663,10))+TIMEVALUE(CONCATENATE(MID(N663,11,2),":",MID(N663,13,2))),DATEVALUE(LEFT(N663,10))+TIMEVALUE(CONCATENATE(MID(N663,11,2),":",MID(N663,13,2)))),#N/A)</f>
        <v>#N/A</v>
      </c>
      <c r="P663" s="42"/>
      <c r="Q663" s="42"/>
      <c r="AC663" s="3"/>
      <c r="AE663" s="42"/>
      <c r="AF663" s="42"/>
      <c r="AG663" s="42"/>
      <c r="AH663" s="42"/>
      <c r="AI663" s="42"/>
      <c r="AJ663" s="42"/>
      <c r="AK663" s="42"/>
      <c r="AO663" s="86"/>
      <c r="AP663" s="87"/>
      <c r="AQ663" s="87"/>
      <c r="AR663" s="88"/>
      <c r="AS663" s="87"/>
      <c r="AT663" s="87"/>
    </row>
    <row r="664" spans="15:46" x14ac:dyDescent="0.25">
      <c r="O664" s="49" t="e">
        <f t="shared" si="74"/>
        <v>#N/A</v>
      </c>
      <c r="P664" s="42"/>
      <c r="Q664" s="42"/>
      <c r="AC664" s="3"/>
      <c r="AE664" s="42"/>
      <c r="AF664" s="42"/>
      <c r="AG664" s="42"/>
      <c r="AH664" s="42"/>
      <c r="AI664" s="42"/>
      <c r="AJ664" s="42"/>
      <c r="AK664" s="42"/>
      <c r="AO664" s="86"/>
      <c r="AP664" s="87"/>
      <c r="AQ664" s="87"/>
      <c r="AR664" s="88"/>
      <c r="AS664" s="87"/>
      <c r="AT664" s="87"/>
    </row>
    <row r="665" spans="15:46" x14ac:dyDescent="0.25">
      <c r="O665" s="49" t="e">
        <f t="shared" si="74"/>
        <v>#N/A</v>
      </c>
      <c r="P665" s="42"/>
      <c r="Q665" s="42"/>
      <c r="AC665" s="3"/>
      <c r="AE665" s="42"/>
      <c r="AF665" s="42"/>
      <c r="AG665" s="42"/>
      <c r="AH665" s="42"/>
      <c r="AI665" s="42"/>
      <c r="AJ665" s="42"/>
      <c r="AK665" s="42"/>
      <c r="AO665" s="86"/>
      <c r="AP665" s="87"/>
      <c r="AQ665" s="87"/>
      <c r="AR665" s="88"/>
      <c r="AS665" s="87"/>
      <c r="AT665" s="87"/>
    </row>
    <row r="666" spans="15:46" x14ac:dyDescent="0.25">
      <c r="O666" s="49" t="e">
        <f t="shared" si="74"/>
        <v>#N/A</v>
      </c>
      <c r="P666" s="42"/>
      <c r="Q666" s="42"/>
      <c r="AC666" s="3"/>
      <c r="AE666" s="42"/>
      <c r="AF666" s="42"/>
      <c r="AG666" s="42"/>
      <c r="AH666" s="42"/>
      <c r="AI666" s="42"/>
      <c r="AJ666" s="42"/>
      <c r="AK666" s="42"/>
      <c r="AO666" s="86"/>
      <c r="AP666" s="87"/>
      <c r="AQ666" s="87"/>
      <c r="AR666" s="88"/>
      <c r="AS666" s="87"/>
      <c r="AT666" s="87"/>
    </row>
    <row r="667" spans="15:46" x14ac:dyDescent="0.25">
      <c r="O667" s="49" t="e">
        <f t="shared" si="74"/>
        <v>#N/A</v>
      </c>
      <c r="P667" s="42"/>
      <c r="Q667" s="42"/>
      <c r="AC667" s="3"/>
      <c r="AE667" s="42"/>
      <c r="AF667" s="42"/>
      <c r="AG667" s="42"/>
      <c r="AH667" s="42"/>
      <c r="AI667" s="42"/>
      <c r="AJ667" s="42"/>
      <c r="AK667" s="42"/>
      <c r="AO667" s="86"/>
      <c r="AP667" s="87"/>
      <c r="AQ667" s="87"/>
      <c r="AR667" s="88"/>
      <c r="AS667" s="87"/>
      <c r="AT667" s="87"/>
    </row>
    <row r="668" spans="15:46" x14ac:dyDescent="0.25">
      <c r="O668" s="49" t="e">
        <f t="shared" si="74"/>
        <v>#N/A</v>
      </c>
      <c r="P668" s="42"/>
      <c r="Q668" s="42"/>
      <c r="AC668" s="3"/>
      <c r="AE668" s="42"/>
      <c r="AF668" s="42"/>
      <c r="AG668" s="42"/>
      <c r="AH668" s="42"/>
      <c r="AI668" s="42"/>
      <c r="AJ668" s="42"/>
      <c r="AK668" s="42"/>
      <c r="AO668" s="86"/>
      <c r="AP668" s="87"/>
      <c r="AQ668" s="87"/>
      <c r="AR668" s="88"/>
      <c r="AS668" s="87"/>
      <c r="AT668" s="87"/>
    </row>
    <row r="669" spans="15:46" x14ac:dyDescent="0.25">
      <c r="O669" s="49" t="e">
        <f t="shared" si="74"/>
        <v>#N/A</v>
      </c>
      <c r="P669" s="42"/>
      <c r="Q669" s="42"/>
      <c r="AC669" s="3"/>
      <c r="AE669" s="42"/>
      <c r="AF669" s="42"/>
      <c r="AG669" s="42"/>
      <c r="AH669" s="42"/>
      <c r="AI669" s="42"/>
      <c r="AJ669" s="42"/>
      <c r="AK669" s="42"/>
      <c r="AO669" s="86"/>
      <c r="AP669" s="87"/>
      <c r="AQ669" s="87"/>
      <c r="AR669" s="88"/>
      <c r="AS669" s="87"/>
      <c r="AT669" s="87"/>
    </row>
    <row r="670" spans="15:46" x14ac:dyDescent="0.25">
      <c r="O670" s="49" t="e">
        <f t="shared" si="74"/>
        <v>#N/A</v>
      </c>
      <c r="P670" s="42"/>
      <c r="Q670" s="42"/>
      <c r="AC670" s="3"/>
      <c r="AE670" s="42"/>
      <c r="AF670" s="42"/>
      <c r="AG670" s="42"/>
      <c r="AH670" s="42"/>
      <c r="AI670" s="42"/>
      <c r="AJ670" s="42"/>
      <c r="AK670" s="42"/>
      <c r="AO670" s="86"/>
      <c r="AP670" s="87"/>
      <c r="AQ670" s="87"/>
      <c r="AR670" s="88"/>
      <c r="AS670" s="87"/>
      <c r="AT670" s="87"/>
    </row>
    <row r="671" spans="15:46" x14ac:dyDescent="0.25">
      <c r="O671" s="49" t="e">
        <f t="shared" si="74"/>
        <v>#N/A</v>
      </c>
      <c r="P671" s="42"/>
      <c r="Q671" s="42"/>
      <c r="AC671" s="3"/>
      <c r="AE671" s="42"/>
      <c r="AF671" s="42"/>
      <c r="AG671" s="42"/>
      <c r="AH671" s="42"/>
      <c r="AI671" s="42"/>
      <c r="AJ671" s="42"/>
      <c r="AK671" s="42"/>
      <c r="AO671" s="86"/>
      <c r="AP671" s="87"/>
      <c r="AQ671" s="87"/>
      <c r="AR671" s="88"/>
      <c r="AS671" s="87"/>
      <c r="AT671" s="87"/>
    </row>
    <row r="672" spans="15:46" x14ac:dyDescent="0.25">
      <c r="O672" s="49" t="e">
        <f t="shared" si="74"/>
        <v>#N/A</v>
      </c>
      <c r="P672" s="42"/>
      <c r="Q672" s="42"/>
      <c r="AC672" s="3"/>
      <c r="AE672" s="42"/>
      <c r="AF672" s="42"/>
      <c r="AG672" s="42"/>
      <c r="AH672" s="42"/>
      <c r="AI672" s="42"/>
      <c r="AJ672" s="42"/>
      <c r="AK672" s="42"/>
      <c r="AO672" s="86"/>
      <c r="AP672" s="87"/>
      <c r="AQ672" s="87"/>
      <c r="AR672" s="88"/>
      <c r="AS672" s="87"/>
      <c r="AT672" s="87"/>
    </row>
    <row r="673" spans="15:46" x14ac:dyDescent="0.25">
      <c r="O673" s="49" t="e">
        <f t="shared" si="74"/>
        <v>#N/A</v>
      </c>
      <c r="P673" s="42"/>
      <c r="Q673" s="42"/>
      <c r="AC673" s="3"/>
      <c r="AE673" s="42"/>
      <c r="AF673" s="42"/>
      <c r="AG673" s="42"/>
      <c r="AH673" s="42"/>
      <c r="AI673" s="42"/>
      <c r="AJ673" s="42"/>
      <c r="AK673" s="42"/>
      <c r="AO673" s="86"/>
      <c r="AP673" s="87"/>
      <c r="AQ673" s="87"/>
      <c r="AR673" s="88"/>
      <c r="AS673" s="87"/>
      <c r="AT673" s="87"/>
    </row>
    <row r="674" spans="15:46" x14ac:dyDescent="0.25">
      <c r="O674" s="49" t="e">
        <f t="shared" si="74"/>
        <v>#N/A</v>
      </c>
      <c r="P674" s="42"/>
      <c r="Q674" s="42"/>
      <c r="AC674" s="3"/>
      <c r="AE674" s="42"/>
      <c r="AF674" s="42"/>
      <c r="AG674" s="42"/>
      <c r="AH674" s="42"/>
      <c r="AI674" s="42"/>
      <c r="AJ674" s="42"/>
      <c r="AK674" s="42"/>
      <c r="AO674" s="86"/>
      <c r="AP674" s="87"/>
      <c r="AQ674" s="87"/>
      <c r="AR674" s="88"/>
      <c r="AS674" s="87"/>
      <c r="AT674" s="87"/>
    </row>
    <row r="675" spans="15:46" x14ac:dyDescent="0.25">
      <c r="O675" s="49" t="e">
        <f t="shared" si="74"/>
        <v>#N/A</v>
      </c>
      <c r="P675" s="42"/>
      <c r="Q675" s="42"/>
      <c r="AC675" s="3"/>
      <c r="AE675" s="42"/>
      <c r="AF675" s="42"/>
      <c r="AG675" s="42"/>
      <c r="AH675" s="42"/>
      <c r="AI675" s="42"/>
      <c r="AJ675" s="42"/>
      <c r="AK675" s="42"/>
      <c r="AO675" s="86"/>
      <c r="AP675" s="87"/>
      <c r="AQ675" s="87"/>
      <c r="AR675" s="88"/>
      <c r="AS675" s="87"/>
      <c r="AT675" s="87"/>
    </row>
    <row r="676" spans="15:46" x14ac:dyDescent="0.25">
      <c r="O676" s="49" t="e">
        <f t="shared" si="74"/>
        <v>#N/A</v>
      </c>
      <c r="P676" s="42"/>
      <c r="Q676" s="42"/>
      <c r="AC676" s="3"/>
      <c r="AE676" s="42"/>
      <c r="AF676" s="42"/>
      <c r="AG676" s="42"/>
      <c r="AH676" s="42"/>
      <c r="AI676" s="42"/>
      <c r="AJ676" s="42"/>
      <c r="AK676" s="42"/>
      <c r="AO676" s="86"/>
      <c r="AP676" s="87"/>
      <c r="AQ676" s="87"/>
      <c r="AR676" s="88"/>
      <c r="AS676" s="87"/>
      <c r="AT676" s="87"/>
    </row>
    <row r="677" spans="15:46" x14ac:dyDescent="0.25">
      <c r="O677" s="49" t="e">
        <f t="shared" si="74"/>
        <v>#N/A</v>
      </c>
      <c r="P677" s="42"/>
      <c r="Q677" s="42"/>
      <c r="AC677" s="3"/>
      <c r="AE677" s="42"/>
      <c r="AF677" s="42"/>
      <c r="AG677" s="42"/>
      <c r="AH677" s="42"/>
      <c r="AI677" s="42"/>
      <c r="AJ677" s="42"/>
      <c r="AK677" s="42"/>
      <c r="AO677" s="86"/>
      <c r="AP677" s="87"/>
      <c r="AQ677" s="87"/>
      <c r="AR677" s="88"/>
      <c r="AS677" s="87"/>
      <c r="AT677" s="87"/>
    </row>
    <row r="678" spans="15:46" x14ac:dyDescent="0.25">
      <c r="O678" s="49" t="e">
        <f t="shared" si="74"/>
        <v>#N/A</v>
      </c>
      <c r="P678" s="42"/>
      <c r="Q678" s="42"/>
      <c r="AC678" s="3"/>
      <c r="AE678" s="42"/>
      <c r="AF678" s="42"/>
      <c r="AG678" s="42"/>
      <c r="AH678" s="42"/>
      <c r="AI678" s="42"/>
      <c r="AJ678" s="42"/>
      <c r="AK678" s="42"/>
      <c r="AO678" s="86"/>
      <c r="AP678" s="87"/>
      <c r="AQ678" s="87"/>
      <c r="AR678" s="88"/>
      <c r="AS678" s="87"/>
      <c r="AT678" s="87"/>
    </row>
    <row r="679" spans="15:46" x14ac:dyDescent="0.25">
      <c r="O679" s="49" t="e">
        <f t="shared" si="74"/>
        <v>#N/A</v>
      </c>
      <c r="P679" s="42"/>
      <c r="Q679" s="42"/>
      <c r="AC679" s="3"/>
      <c r="AE679" s="42"/>
      <c r="AF679" s="42"/>
      <c r="AG679" s="42"/>
      <c r="AH679" s="42"/>
      <c r="AI679" s="42"/>
      <c r="AJ679" s="42"/>
      <c r="AK679" s="42"/>
      <c r="AO679" s="86"/>
      <c r="AP679" s="87"/>
      <c r="AQ679" s="87"/>
      <c r="AR679" s="88"/>
      <c r="AS679" s="87"/>
      <c r="AT679" s="87"/>
    </row>
    <row r="680" spans="15:46" x14ac:dyDescent="0.25">
      <c r="O680" s="49" t="e">
        <f t="shared" si="74"/>
        <v>#N/A</v>
      </c>
      <c r="P680" s="42"/>
      <c r="Q680" s="42"/>
      <c r="AC680" s="3"/>
      <c r="AE680" s="42"/>
      <c r="AF680" s="42"/>
      <c r="AG680" s="42"/>
      <c r="AH680" s="42"/>
      <c r="AI680" s="42"/>
      <c r="AJ680" s="42"/>
      <c r="AK680" s="42"/>
      <c r="AO680" s="86"/>
      <c r="AP680" s="87"/>
      <c r="AQ680" s="87"/>
      <c r="AR680" s="88"/>
      <c r="AS680" s="87"/>
      <c r="AT680" s="87"/>
    </row>
    <row r="681" spans="15:46" x14ac:dyDescent="0.25">
      <c r="O681" s="49" t="e">
        <f t="shared" si="74"/>
        <v>#N/A</v>
      </c>
      <c r="P681" s="42"/>
      <c r="Q681" s="42"/>
      <c r="AC681" s="3"/>
      <c r="AE681" s="42"/>
      <c r="AF681" s="42"/>
      <c r="AG681" s="42"/>
      <c r="AH681" s="42"/>
      <c r="AI681" s="42"/>
      <c r="AJ681" s="42"/>
      <c r="AK681" s="42"/>
      <c r="AO681" s="86"/>
      <c r="AP681" s="87"/>
      <c r="AQ681" s="87"/>
      <c r="AR681" s="88"/>
      <c r="AS681" s="87"/>
      <c r="AT681" s="87"/>
    </row>
    <row r="682" spans="15:46" x14ac:dyDescent="0.25">
      <c r="O682" s="49" t="e">
        <f t="shared" si="74"/>
        <v>#N/A</v>
      </c>
      <c r="P682" s="42"/>
      <c r="Q682" s="42"/>
      <c r="AC682" s="3"/>
      <c r="AE682" s="42"/>
      <c r="AF682" s="42"/>
      <c r="AG682" s="42"/>
      <c r="AH682" s="42"/>
      <c r="AI682" s="42"/>
      <c r="AJ682" s="42"/>
      <c r="AK682" s="42"/>
      <c r="AO682" s="86"/>
      <c r="AP682" s="87"/>
      <c r="AQ682" s="87"/>
      <c r="AR682" s="88"/>
      <c r="AS682" s="87"/>
      <c r="AT682" s="87"/>
    </row>
    <row r="683" spans="15:46" x14ac:dyDescent="0.25">
      <c r="O683" s="49" t="e">
        <f t="shared" si="74"/>
        <v>#N/A</v>
      </c>
      <c r="P683" s="42"/>
      <c r="Q683" s="42"/>
      <c r="AC683" s="3"/>
      <c r="AE683" s="42"/>
      <c r="AF683" s="42"/>
      <c r="AG683" s="42"/>
      <c r="AH683" s="42"/>
      <c r="AI683" s="42"/>
      <c r="AJ683" s="42"/>
      <c r="AK683" s="42"/>
      <c r="AO683" s="86"/>
      <c r="AP683" s="87"/>
      <c r="AQ683" s="87"/>
      <c r="AR683" s="88"/>
      <c r="AS683" s="87"/>
      <c r="AT683" s="87"/>
    </row>
    <row r="684" spans="15:46" x14ac:dyDescent="0.25">
      <c r="O684" s="49" t="e">
        <f t="shared" si="74"/>
        <v>#N/A</v>
      </c>
      <c r="P684" s="42"/>
      <c r="Q684" s="42"/>
      <c r="AC684" s="3"/>
      <c r="AE684" s="42"/>
      <c r="AF684" s="42"/>
      <c r="AG684" s="42"/>
      <c r="AH684" s="42"/>
      <c r="AI684" s="42"/>
      <c r="AJ684" s="42"/>
      <c r="AK684" s="42"/>
      <c r="AO684" s="86"/>
      <c r="AP684" s="87"/>
      <c r="AQ684" s="87"/>
      <c r="AR684" s="88"/>
      <c r="AS684" s="87"/>
      <c r="AT684" s="87"/>
    </row>
    <row r="685" spans="15:46" x14ac:dyDescent="0.25">
      <c r="O685" s="49" t="e">
        <f t="shared" si="74"/>
        <v>#N/A</v>
      </c>
      <c r="P685" s="42"/>
      <c r="Q685" s="42"/>
      <c r="AC685" s="3"/>
      <c r="AE685" s="42"/>
      <c r="AF685" s="42"/>
      <c r="AG685" s="42"/>
      <c r="AH685" s="42"/>
      <c r="AI685" s="42"/>
      <c r="AJ685" s="42"/>
      <c r="AK685" s="42"/>
      <c r="AO685" s="86"/>
      <c r="AP685" s="87"/>
      <c r="AQ685" s="87"/>
      <c r="AR685" s="88"/>
      <c r="AS685" s="87"/>
      <c r="AT685" s="87"/>
    </row>
    <row r="686" spans="15:46" x14ac:dyDescent="0.25">
      <c r="O686" s="49" t="e">
        <f t="shared" si="74"/>
        <v>#N/A</v>
      </c>
      <c r="P686" s="42"/>
      <c r="Q686" s="42"/>
      <c r="AC686" s="3"/>
      <c r="AE686" s="42"/>
      <c r="AF686" s="42"/>
      <c r="AG686" s="42"/>
      <c r="AH686" s="42"/>
      <c r="AI686" s="42"/>
      <c r="AJ686" s="42"/>
      <c r="AK686" s="42"/>
      <c r="AO686" s="86"/>
      <c r="AP686" s="87"/>
      <c r="AQ686" s="87"/>
      <c r="AR686" s="88"/>
      <c r="AS686" s="87"/>
      <c r="AT686" s="87"/>
    </row>
    <row r="687" spans="15:46" x14ac:dyDescent="0.25">
      <c r="O687" s="49" t="e">
        <f t="shared" si="74"/>
        <v>#N/A</v>
      </c>
      <c r="P687" s="42"/>
      <c r="Q687" s="42"/>
      <c r="AC687" s="3"/>
      <c r="AE687" s="42"/>
      <c r="AF687" s="42"/>
      <c r="AG687" s="42"/>
      <c r="AH687" s="42"/>
      <c r="AI687" s="42"/>
      <c r="AJ687" s="42"/>
      <c r="AK687" s="42"/>
      <c r="AO687" s="86"/>
      <c r="AP687" s="87"/>
      <c r="AQ687" s="87"/>
      <c r="AR687" s="88"/>
      <c r="AS687" s="87"/>
      <c r="AT687" s="87"/>
    </row>
    <row r="688" spans="15:46" x14ac:dyDescent="0.25">
      <c r="O688" s="49" t="e">
        <f t="shared" si="74"/>
        <v>#N/A</v>
      </c>
      <c r="P688" s="42"/>
      <c r="Q688" s="42"/>
      <c r="AC688" s="3"/>
      <c r="AE688" s="42"/>
      <c r="AF688" s="42"/>
      <c r="AG688" s="42"/>
      <c r="AH688" s="42"/>
      <c r="AI688" s="42"/>
      <c r="AJ688" s="42"/>
      <c r="AK688" s="42"/>
      <c r="AO688" s="86"/>
      <c r="AP688" s="87"/>
      <c r="AQ688" s="87"/>
      <c r="AR688" s="88"/>
      <c r="AS688" s="87"/>
      <c r="AT688" s="87"/>
    </row>
    <row r="689" spans="15:46" x14ac:dyDescent="0.25">
      <c r="O689" s="49" t="e">
        <f t="shared" si="74"/>
        <v>#N/A</v>
      </c>
      <c r="P689" s="42"/>
      <c r="Q689" s="42"/>
      <c r="AC689" s="25"/>
      <c r="AE689" s="42"/>
      <c r="AF689" s="42"/>
      <c r="AG689" s="42"/>
      <c r="AH689" s="42"/>
      <c r="AI689" s="42"/>
      <c r="AJ689" s="42"/>
      <c r="AK689" s="42"/>
      <c r="AO689" s="86"/>
      <c r="AP689" s="87"/>
      <c r="AQ689" s="87"/>
      <c r="AR689" s="88"/>
      <c r="AS689" s="87"/>
      <c r="AT689" s="87"/>
    </row>
    <row r="690" spans="15:46" x14ac:dyDescent="0.25">
      <c r="O690" s="49" t="e">
        <f t="shared" si="74"/>
        <v>#N/A</v>
      </c>
      <c r="P690" s="42"/>
      <c r="Q690" s="42"/>
      <c r="AC690" s="25"/>
      <c r="AE690" s="42"/>
      <c r="AF690" s="42"/>
      <c r="AG690" s="42"/>
      <c r="AH690" s="42"/>
      <c r="AI690" s="42"/>
      <c r="AJ690" s="42"/>
      <c r="AK690" s="42"/>
      <c r="AO690" s="86"/>
      <c r="AP690" s="87"/>
      <c r="AQ690" s="87"/>
      <c r="AR690" s="88"/>
      <c r="AS690" s="87"/>
      <c r="AT690" s="87"/>
    </row>
    <row r="691" spans="15:46" x14ac:dyDescent="0.25">
      <c r="O691" s="49" t="e">
        <f t="shared" si="74"/>
        <v>#N/A</v>
      </c>
      <c r="P691" s="42"/>
      <c r="Q691" s="42"/>
      <c r="AC691" s="25"/>
      <c r="AE691" s="42"/>
      <c r="AF691" s="42"/>
      <c r="AG691" s="42"/>
      <c r="AH691" s="42"/>
      <c r="AI691" s="42"/>
      <c r="AJ691" s="42"/>
      <c r="AK691" s="42"/>
      <c r="AO691" s="86"/>
      <c r="AP691" s="87"/>
      <c r="AQ691" s="87"/>
      <c r="AR691" s="88"/>
      <c r="AS691" s="87"/>
      <c r="AT691" s="87"/>
    </row>
    <row r="692" spans="15:46" x14ac:dyDescent="0.25">
      <c r="O692" s="49" t="e">
        <f t="shared" si="74"/>
        <v>#N/A</v>
      </c>
      <c r="P692" s="42"/>
      <c r="Q692" s="42"/>
      <c r="AC692" s="25"/>
      <c r="AE692" s="42"/>
      <c r="AF692" s="42"/>
      <c r="AG692" s="42"/>
      <c r="AH692" s="42"/>
      <c r="AI692" s="42"/>
      <c r="AJ692" s="42"/>
      <c r="AK692" s="42"/>
      <c r="AO692" s="86"/>
      <c r="AP692" s="87"/>
      <c r="AQ692" s="87"/>
      <c r="AR692" s="88"/>
      <c r="AS692" s="87"/>
      <c r="AT692" s="87"/>
    </row>
    <row r="693" spans="15:46" x14ac:dyDescent="0.25">
      <c r="O693" s="49" t="e">
        <f t="shared" si="74"/>
        <v>#N/A</v>
      </c>
      <c r="P693" s="42"/>
      <c r="Q693" s="42"/>
      <c r="AC693" s="25"/>
      <c r="AE693" s="42"/>
      <c r="AF693" s="42"/>
      <c r="AG693" s="42"/>
      <c r="AH693" s="42"/>
      <c r="AI693" s="42"/>
      <c r="AJ693" s="42"/>
      <c r="AK693" s="42"/>
      <c r="AO693" s="86"/>
      <c r="AP693" s="87"/>
      <c r="AQ693" s="87"/>
      <c r="AR693" s="88"/>
      <c r="AS693" s="87"/>
      <c r="AT693" s="87"/>
    </row>
    <row r="694" spans="15:46" x14ac:dyDescent="0.25">
      <c r="O694" s="49" t="e">
        <f t="shared" si="74"/>
        <v>#N/A</v>
      </c>
      <c r="P694" s="42"/>
      <c r="Q694" s="42"/>
      <c r="AC694" s="25"/>
      <c r="AE694" s="42"/>
      <c r="AF694" s="42"/>
      <c r="AG694" s="42"/>
      <c r="AH694" s="42"/>
      <c r="AI694" s="42"/>
      <c r="AJ694" s="42"/>
      <c r="AK694" s="42"/>
      <c r="AO694" s="86"/>
      <c r="AP694" s="87"/>
      <c r="AQ694" s="87"/>
      <c r="AR694" s="88"/>
      <c r="AS694" s="87"/>
      <c r="AT694" s="87"/>
    </row>
    <row r="695" spans="15:46" x14ac:dyDescent="0.25">
      <c r="O695" s="49" t="e">
        <f t="shared" si="74"/>
        <v>#N/A</v>
      </c>
      <c r="P695" s="42"/>
      <c r="Q695" s="42"/>
      <c r="AC695" s="25"/>
      <c r="AE695" s="42"/>
      <c r="AF695" s="42"/>
      <c r="AG695" s="42"/>
      <c r="AH695" s="42"/>
      <c r="AI695" s="42"/>
      <c r="AJ695" s="42"/>
      <c r="AK695" s="42"/>
      <c r="AO695" s="86"/>
      <c r="AP695" s="87"/>
      <c r="AQ695" s="87"/>
      <c r="AR695" s="88"/>
      <c r="AS695" s="87"/>
      <c r="AT695" s="87"/>
    </row>
    <row r="696" spans="15:46" x14ac:dyDescent="0.25">
      <c r="O696" s="49" t="e">
        <f t="shared" si="74"/>
        <v>#N/A</v>
      </c>
      <c r="P696" s="42"/>
      <c r="Q696" s="42"/>
      <c r="AC696" s="25"/>
      <c r="AE696" s="42"/>
      <c r="AF696" s="42"/>
      <c r="AG696" s="42"/>
      <c r="AH696" s="42"/>
      <c r="AI696" s="42"/>
      <c r="AJ696" s="42"/>
      <c r="AK696" s="42"/>
      <c r="AO696" s="86"/>
      <c r="AP696" s="87"/>
      <c r="AQ696" s="87"/>
      <c r="AR696" s="88"/>
      <c r="AS696" s="87"/>
      <c r="AT696" s="87"/>
    </row>
    <row r="697" spans="15:46" x14ac:dyDescent="0.25">
      <c r="O697" s="49" t="e">
        <f t="shared" si="74"/>
        <v>#N/A</v>
      </c>
      <c r="P697" s="42"/>
      <c r="Q697" s="42"/>
      <c r="AC697" s="25"/>
      <c r="AE697" s="42"/>
      <c r="AF697" s="42"/>
      <c r="AG697" s="42"/>
      <c r="AH697" s="42"/>
      <c r="AI697" s="42"/>
      <c r="AJ697" s="42"/>
      <c r="AK697" s="42"/>
      <c r="AO697" s="86"/>
      <c r="AP697" s="87"/>
      <c r="AQ697" s="87"/>
      <c r="AR697" s="88"/>
      <c r="AS697" s="87"/>
      <c r="AT697" s="87"/>
    </row>
    <row r="698" spans="15:46" x14ac:dyDescent="0.25">
      <c r="O698" s="49" t="e">
        <f t="shared" si="74"/>
        <v>#N/A</v>
      </c>
      <c r="P698" s="42"/>
      <c r="Q698" s="42"/>
      <c r="AC698" s="25"/>
      <c r="AE698" s="42"/>
      <c r="AF698" s="42"/>
      <c r="AG698" s="42"/>
      <c r="AH698" s="42"/>
      <c r="AI698" s="42"/>
      <c r="AJ698" s="42"/>
      <c r="AK698" s="42"/>
      <c r="AO698" s="86"/>
      <c r="AP698" s="87"/>
      <c r="AQ698" s="87"/>
      <c r="AR698" s="88"/>
      <c r="AS698" s="87"/>
      <c r="AT698" s="87"/>
    </row>
    <row r="699" spans="15:46" x14ac:dyDescent="0.25">
      <c r="O699" s="49" t="e">
        <f t="shared" si="74"/>
        <v>#N/A</v>
      </c>
      <c r="P699" s="42"/>
      <c r="Q699" s="42"/>
      <c r="AC699" s="25"/>
      <c r="AE699" s="42"/>
      <c r="AF699" s="42"/>
      <c r="AG699" s="42"/>
      <c r="AH699" s="42"/>
      <c r="AI699" s="42"/>
      <c r="AJ699" s="42"/>
      <c r="AK699" s="42"/>
      <c r="AO699" s="86"/>
      <c r="AP699" s="87"/>
      <c r="AQ699" s="87"/>
      <c r="AR699" s="88"/>
      <c r="AS699" s="87"/>
      <c r="AT699" s="87"/>
    </row>
    <row r="700" spans="15:46" x14ac:dyDescent="0.25">
      <c r="O700" s="49" t="e">
        <f t="shared" si="74"/>
        <v>#N/A</v>
      </c>
      <c r="P700" s="42"/>
      <c r="Q700" s="42"/>
      <c r="AC700" s="25"/>
      <c r="AE700" s="42"/>
      <c r="AF700" s="42"/>
      <c r="AG700" s="42"/>
      <c r="AH700" s="42"/>
      <c r="AI700" s="42"/>
      <c r="AJ700" s="42"/>
      <c r="AK700" s="42"/>
      <c r="AO700" s="86"/>
      <c r="AP700" s="87"/>
      <c r="AQ700" s="87"/>
      <c r="AR700" s="88"/>
      <c r="AS700" s="87"/>
      <c r="AT700" s="87"/>
    </row>
    <row r="701" spans="15:46" x14ac:dyDescent="0.25">
      <c r="O701" s="49" t="e">
        <f t="shared" si="74"/>
        <v>#N/A</v>
      </c>
      <c r="P701" s="42"/>
      <c r="Q701" s="42"/>
      <c r="AE701" s="42"/>
      <c r="AF701" s="42"/>
      <c r="AG701" s="42"/>
      <c r="AH701" s="42"/>
      <c r="AI701" s="42"/>
      <c r="AJ701" s="42"/>
      <c r="AK701" s="42"/>
      <c r="AO701" s="86"/>
      <c r="AP701" s="87"/>
      <c r="AQ701" s="87"/>
      <c r="AR701" s="88"/>
      <c r="AS701" s="87"/>
      <c r="AT701" s="87"/>
    </row>
    <row r="702" spans="15:46" x14ac:dyDescent="0.25">
      <c r="O702" s="49" t="e">
        <f t="shared" si="74"/>
        <v>#N/A</v>
      </c>
      <c r="P702" s="42"/>
      <c r="Q702" s="42"/>
      <c r="AE702" s="42"/>
      <c r="AF702" s="42"/>
      <c r="AG702" s="42"/>
      <c r="AH702" s="42"/>
      <c r="AI702" s="42"/>
      <c r="AJ702" s="42"/>
      <c r="AK702" s="42"/>
      <c r="AO702" s="86"/>
      <c r="AP702" s="87"/>
      <c r="AQ702" s="87"/>
      <c r="AR702" s="88"/>
      <c r="AS702" s="87"/>
      <c r="AT702" s="87"/>
    </row>
    <row r="703" spans="15:46" x14ac:dyDescent="0.25">
      <c r="O703" s="49" t="e">
        <f t="shared" si="74"/>
        <v>#N/A</v>
      </c>
      <c r="P703" s="42"/>
      <c r="Q703" s="42"/>
      <c r="AE703" s="42"/>
      <c r="AF703" s="42"/>
      <c r="AG703" s="42"/>
      <c r="AH703" s="42"/>
      <c r="AI703" s="42"/>
      <c r="AJ703" s="42"/>
      <c r="AK703" s="42"/>
      <c r="AO703" s="86"/>
      <c r="AP703" s="87"/>
      <c r="AQ703" s="87"/>
      <c r="AR703" s="88"/>
      <c r="AS703" s="87"/>
      <c r="AT703" s="87"/>
    </row>
    <row r="704" spans="15:46" x14ac:dyDescent="0.25">
      <c r="O704" s="49" t="e">
        <f t="shared" si="74"/>
        <v>#N/A</v>
      </c>
      <c r="P704" s="42"/>
      <c r="Q704" s="42"/>
      <c r="AE704" s="42"/>
      <c r="AF704" s="42"/>
      <c r="AG704" s="42"/>
      <c r="AH704" s="42"/>
      <c r="AI704" s="42"/>
      <c r="AJ704" s="42"/>
      <c r="AK704" s="42"/>
      <c r="AO704" s="86"/>
      <c r="AP704" s="87"/>
      <c r="AQ704" s="87"/>
      <c r="AR704" s="88"/>
      <c r="AS704" s="87"/>
      <c r="AT704" s="87"/>
    </row>
    <row r="705" spans="15:46" x14ac:dyDescent="0.25">
      <c r="O705" s="49" t="e">
        <f t="shared" si="74"/>
        <v>#N/A</v>
      </c>
      <c r="P705" s="42"/>
      <c r="Q705" s="42"/>
      <c r="AE705" s="42"/>
      <c r="AF705" s="42"/>
      <c r="AG705" s="42"/>
      <c r="AH705" s="42"/>
      <c r="AI705" s="42"/>
      <c r="AJ705" s="42"/>
      <c r="AK705" s="42"/>
      <c r="AO705" s="86"/>
      <c r="AP705" s="87"/>
      <c r="AQ705" s="87"/>
      <c r="AR705" s="88"/>
      <c r="AS705" s="87"/>
      <c r="AT705" s="87"/>
    </row>
    <row r="706" spans="15:46" x14ac:dyDescent="0.25">
      <c r="O706" s="49" t="e">
        <f t="shared" si="74"/>
        <v>#N/A</v>
      </c>
      <c r="P706" s="42"/>
      <c r="Q706" s="42"/>
      <c r="AE706" s="42"/>
      <c r="AF706" s="42"/>
      <c r="AG706" s="42"/>
      <c r="AH706" s="42"/>
      <c r="AI706" s="42"/>
      <c r="AJ706" s="42"/>
      <c r="AK706" s="42"/>
      <c r="AO706" s="86"/>
      <c r="AP706" s="87"/>
      <c r="AQ706" s="87"/>
      <c r="AR706" s="88"/>
      <c r="AS706" s="87"/>
      <c r="AT706" s="87"/>
    </row>
    <row r="707" spans="15:46" x14ac:dyDescent="0.25">
      <c r="O707" s="49" t="e">
        <f t="shared" si="74"/>
        <v>#N/A</v>
      </c>
      <c r="P707" s="42"/>
      <c r="Q707" s="42"/>
      <c r="AE707" s="42"/>
      <c r="AF707" s="42"/>
      <c r="AG707" s="42"/>
      <c r="AH707" s="42"/>
      <c r="AI707" s="42"/>
      <c r="AJ707" s="42"/>
      <c r="AK707" s="42"/>
      <c r="AO707" s="86"/>
      <c r="AP707" s="87"/>
      <c r="AQ707" s="87"/>
      <c r="AR707" s="88"/>
      <c r="AS707" s="87"/>
      <c r="AT707" s="87"/>
    </row>
    <row r="708" spans="15:46" x14ac:dyDescent="0.25">
      <c r="O708" s="49" t="e">
        <f t="shared" si="74"/>
        <v>#N/A</v>
      </c>
      <c r="P708" s="42"/>
      <c r="Q708" s="42"/>
      <c r="AE708" s="42"/>
      <c r="AF708" s="42"/>
      <c r="AG708" s="42"/>
      <c r="AH708" s="42"/>
      <c r="AI708" s="42"/>
      <c r="AJ708" s="42"/>
      <c r="AK708" s="42"/>
      <c r="AO708" s="86"/>
      <c r="AP708" s="87"/>
      <c r="AQ708" s="87"/>
      <c r="AR708" s="88"/>
      <c r="AS708" s="87"/>
      <c r="AT708" s="87"/>
    </row>
    <row r="709" spans="15:46" x14ac:dyDescent="0.25">
      <c r="O709" s="49" t="e">
        <f t="shared" si="74"/>
        <v>#N/A</v>
      </c>
      <c r="P709" s="42"/>
      <c r="Q709" s="42"/>
      <c r="AE709" s="42"/>
      <c r="AF709" s="42"/>
      <c r="AG709" s="42"/>
      <c r="AH709" s="42"/>
      <c r="AI709" s="42"/>
      <c r="AJ709" s="42"/>
      <c r="AK709" s="42"/>
      <c r="AO709" s="86"/>
      <c r="AP709" s="87"/>
      <c r="AQ709" s="87"/>
      <c r="AR709" s="88"/>
      <c r="AS709" s="87"/>
      <c r="AT709" s="87"/>
    </row>
    <row r="710" spans="15:46" x14ac:dyDescent="0.25">
      <c r="O710" s="49" t="e">
        <f t="shared" si="74"/>
        <v>#N/A</v>
      </c>
      <c r="P710" s="42"/>
      <c r="Q710" s="42"/>
      <c r="AE710" s="42"/>
      <c r="AF710" s="42"/>
      <c r="AG710" s="42"/>
      <c r="AH710" s="42"/>
      <c r="AI710" s="42"/>
      <c r="AJ710" s="42"/>
      <c r="AK710" s="42"/>
      <c r="AO710" s="86"/>
      <c r="AP710" s="87"/>
      <c r="AQ710" s="87"/>
      <c r="AR710" s="88"/>
      <c r="AS710" s="87"/>
      <c r="AT710" s="87"/>
    </row>
    <row r="711" spans="15:46" x14ac:dyDescent="0.25">
      <c r="O711" s="49" t="e">
        <f t="shared" si="74"/>
        <v>#N/A</v>
      </c>
      <c r="P711" s="42"/>
      <c r="Q711" s="42"/>
      <c r="AE711" s="42"/>
      <c r="AF711" s="42"/>
      <c r="AG711" s="42"/>
      <c r="AH711" s="42"/>
      <c r="AI711" s="42"/>
      <c r="AJ711" s="42"/>
      <c r="AK711" s="42"/>
      <c r="AO711" s="86"/>
      <c r="AP711" s="87"/>
      <c r="AQ711" s="87"/>
      <c r="AR711" s="88"/>
      <c r="AS711" s="87"/>
      <c r="AT711" s="87"/>
    </row>
    <row r="712" spans="15:46" x14ac:dyDescent="0.25">
      <c r="O712" s="49" t="e">
        <f t="shared" si="74"/>
        <v>#N/A</v>
      </c>
      <c r="P712" s="42"/>
      <c r="Q712" s="42"/>
      <c r="AE712" s="42"/>
      <c r="AF712" s="42"/>
      <c r="AG712" s="42"/>
      <c r="AH712" s="42"/>
      <c r="AI712" s="42"/>
      <c r="AJ712" s="42"/>
      <c r="AK712" s="42"/>
      <c r="AO712" s="86"/>
      <c r="AP712" s="87"/>
      <c r="AQ712" s="87"/>
      <c r="AR712" s="88"/>
      <c r="AS712" s="87"/>
      <c r="AT712" s="87"/>
    </row>
    <row r="713" spans="15:46" x14ac:dyDescent="0.25">
      <c r="O713" s="49" t="e">
        <f t="shared" si="74"/>
        <v>#N/A</v>
      </c>
      <c r="P713" s="42"/>
      <c r="Q713" s="42"/>
      <c r="AE713" s="42"/>
      <c r="AF713" s="42"/>
      <c r="AG713" s="42"/>
      <c r="AH713" s="42"/>
      <c r="AI713" s="42"/>
      <c r="AJ713" s="42"/>
      <c r="AK713" s="42"/>
      <c r="AO713" s="86"/>
      <c r="AP713" s="87"/>
      <c r="AQ713" s="87"/>
      <c r="AR713" s="88"/>
      <c r="AS713" s="87"/>
      <c r="AT713" s="87"/>
    </row>
    <row r="714" spans="15:46" x14ac:dyDescent="0.25">
      <c r="O714" s="49" t="e">
        <f t="shared" si="74"/>
        <v>#N/A</v>
      </c>
      <c r="P714" s="42"/>
      <c r="Q714" s="42"/>
      <c r="AE714" s="42"/>
      <c r="AF714" s="42"/>
      <c r="AG714" s="42"/>
      <c r="AH714" s="42"/>
      <c r="AI714" s="42"/>
      <c r="AJ714" s="42"/>
      <c r="AK714" s="42"/>
      <c r="AO714" s="86"/>
      <c r="AP714" s="87"/>
      <c r="AQ714" s="87"/>
      <c r="AR714" s="88"/>
      <c r="AS714" s="87"/>
      <c r="AT714" s="87"/>
    </row>
    <row r="715" spans="15:46" x14ac:dyDescent="0.25">
      <c r="O715" s="49" t="e">
        <f t="shared" si="74"/>
        <v>#N/A</v>
      </c>
      <c r="P715" s="42"/>
      <c r="Q715" s="42"/>
      <c r="AE715" s="42"/>
      <c r="AF715" s="42"/>
      <c r="AG715" s="42"/>
      <c r="AH715" s="42"/>
      <c r="AI715" s="42"/>
      <c r="AJ715" s="42"/>
      <c r="AK715" s="42"/>
      <c r="AO715" s="86"/>
      <c r="AP715" s="87"/>
      <c r="AQ715" s="87"/>
      <c r="AR715" s="88"/>
      <c r="AS715" s="87"/>
      <c r="AT715" s="87"/>
    </row>
    <row r="716" spans="15:46" x14ac:dyDescent="0.25">
      <c r="O716" s="49" t="e">
        <f t="shared" si="74"/>
        <v>#N/A</v>
      </c>
      <c r="P716" s="42"/>
      <c r="Q716" s="42"/>
      <c r="AE716" s="42"/>
      <c r="AF716" s="42"/>
      <c r="AG716" s="42"/>
      <c r="AH716" s="42"/>
      <c r="AI716" s="42"/>
      <c r="AJ716" s="42"/>
      <c r="AK716" s="42"/>
      <c r="AO716" s="86"/>
      <c r="AP716" s="87"/>
      <c r="AQ716" s="87"/>
      <c r="AR716" s="88"/>
      <c r="AS716" s="87"/>
      <c r="AT716" s="87"/>
    </row>
    <row r="717" spans="15:46" x14ac:dyDescent="0.25">
      <c r="O717" s="49" t="e">
        <f t="shared" si="74"/>
        <v>#N/A</v>
      </c>
      <c r="P717" s="42"/>
      <c r="Q717" s="42"/>
      <c r="AE717" s="42"/>
      <c r="AF717" s="42"/>
      <c r="AG717" s="42"/>
      <c r="AH717" s="42"/>
      <c r="AI717" s="42"/>
      <c r="AJ717" s="42"/>
      <c r="AK717" s="42"/>
      <c r="AO717" s="86"/>
      <c r="AP717" s="87"/>
      <c r="AQ717" s="87"/>
      <c r="AR717" s="88"/>
      <c r="AS717" s="87"/>
      <c r="AT717" s="87"/>
    </row>
    <row r="718" spans="15:46" x14ac:dyDescent="0.25">
      <c r="O718" s="49" t="e">
        <f t="shared" si="74"/>
        <v>#N/A</v>
      </c>
      <c r="P718" s="42"/>
      <c r="Q718" s="42"/>
      <c r="AE718" s="42"/>
      <c r="AF718" s="42"/>
      <c r="AG718" s="42"/>
      <c r="AH718" s="42"/>
      <c r="AI718" s="42"/>
      <c r="AJ718" s="42"/>
      <c r="AK718" s="42"/>
      <c r="AO718" s="86"/>
      <c r="AP718" s="87"/>
      <c r="AQ718" s="87"/>
      <c r="AR718" s="88"/>
      <c r="AS718" s="87"/>
      <c r="AT718" s="87"/>
    </row>
    <row r="719" spans="15:46" x14ac:dyDescent="0.25">
      <c r="O719" s="49" t="e">
        <f t="shared" si="74"/>
        <v>#N/A</v>
      </c>
      <c r="P719" s="42"/>
      <c r="Q719" s="42"/>
      <c r="AE719" s="42"/>
      <c r="AF719" s="42"/>
      <c r="AG719" s="42"/>
      <c r="AH719" s="42"/>
      <c r="AI719" s="42"/>
      <c r="AJ719" s="42"/>
      <c r="AK719" s="42"/>
      <c r="AO719" s="86"/>
      <c r="AP719" s="87"/>
      <c r="AQ719" s="87"/>
      <c r="AR719" s="88"/>
      <c r="AS719" s="87"/>
      <c r="AT719" s="87"/>
    </row>
    <row r="720" spans="15:46" x14ac:dyDescent="0.25">
      <c r="O720" s="49" t="e">
        <f t="shared" si="74"/>
        <v>#N/A</v>
      </c>
      <c r="P720" s="42"/>
      <c r="Q720" s="42"/>
      <c r="AE720" s="42"/>
      <c r="AF720" s="42"/>
      <c r="AG720" s="42"/>
      <c r="AH720" s="42"/>
      <c r="AI720" s="42"/>
      <c r="AJ720" s="42"/>
      <c r="AK720" s="42"/>
      <c r="AO720" s="86"/>
      <c r="AP720" s="87"/>
      <c r="AQ720" s="87"/>
      <c r="AR720" s="88"/>
      <c r="AS720" s="87"/>
      <c r="AT720" s="87"/>
    </row>
    <row r="721" spans="15:46" x14ac:dyDescent="0.25">
      <c r="O721" s="49" t="e">
        <f t="shared" si="74"/>
        <v>#N/A</v>
      </c>
      <c r="P721" s="42"/>
      <c r="Q721" s="42"/>
      <c r="AE721" s="42"/>
      <c r="AF721" s="42"/>
      <c r="AG721" s="42"/>
      <c r="AH721" s="42"/>
      <c r="AI721" s="42"/>
      <c r="AJ721" s="42"/>
      <c r="AK721" s="42"/>
      <c r="AO721" s="86"/>
      <c r="AP721" s="87"/>
      <c r="AQ721" s="87"/>
      <c r="AR721" s="88"/>
      <c r="AS721" s="87"/>
      <c r="AT721" s="87"/>
    </row>
    <row r="722" spans="15:46" x14ac:dyDescent="0.25">
      <c r="O722" s="49" t="e">
        <f t="shared" si="74"/>
        <v>#N/A</v>
      </c>
      <c r="P722" s="42"/>
      <c r="Q722" s="42"/>
      <c r="AE722" s="42"/>
      <c r="AF722" s="42"/>
      <c r="AG722" s="42"/>
      <c r="AH722" s="42"/>
      <c r="AI722" s="42"/>
      <c r="AJ722" s="42"/>
      <c r="AK722" s="42"/>
      <c r="AO722" s="86"/>
      <c r="AP722" s="87"/>
      <c r="AQ722" s="87"/>
      <c r="AR722" s="88"/>
      <c r="AS722" s="87"/>
      <c r="AT722" s="87"/>
    </row>
    <row r="723" spans="15:46" x14ac:dyDescent="0.25">
      <c r="O723" s="49" t="e">
        <f t="shared" si="74"/>
        <v>#N/A</v>
      </c>
      <c r="P723" s="42"/>
      <c r="Q723" s="42"/>
      <c r="AE723" s="42"/>
      <c r="AF723" s="42"/>
      <c r="AG723" s="42"/>
      <c r="AH723" s="42"/>
      <c r="AI723" s="42"/>
      <c r="AJ723" s="42"/>
      <c r="AK723" s="42"/>
      <c r="AO723" s="86"/>
      <c r="AP723" s="87"/>
      <c r="AQ723" s="87"/>
      <c r="AR723" s="88"/>
      <c r="AS723" s="87"/>
      <c r="AT723" s="87"/>
    </row>
    <row r="724" spans="15:46" x14ac:dyDescent="0.25">
      <c r="O724" s="49" t="e">
        <f t="shared" si="74"/>
        <v>#N/A</v>
      </c>
      <c r="P724" s="42"/>
      <c r="Q724" s="42"/>
      <c r="AE724" s="42"/>
      <c r="AF724" s="42"/>
      <c r="AG724" s="42"/>
      <c r="AH724" s="42"/>
      <c r="AI724" s="42"/>
      <c r="AJ724" s="42"/>
      <c r="AK724" s="42"/>
      <c r="AO724" s="86"/>
      <c r="AP724" s="87"/>
      <c r="AQ724" s="87"/>
      <c r="AR724" s="88"/>
      <c r="AS724" s="87"/>
      <c r="AT724" s="87"/>
    </row>
    <row r="725" spans="15:46" x14ac:dyDescent="0.25">
      <c r="O725" s="49" t="e">
        <f t="shared" si="74"/>
        <v>#N/A</v>
      </c>
      <c r="P725" s="42"/>
      <c r="Q725" s="42"/>
      <c r="AE725" s="42"/>
      <c r="AF725" s="42"/>
      <c r="AG725" s="42"/>
      <c r="AH725" s="42"/>
      <c r="AI725" s="42"/>
      <c r="AJ725" s="42"/>
      <c r="AK725" s="42"/>
      <c r="AO725" s="86"/>
      <c r="AP725" s="87"/>
      <c r="AQ725" s="87"/>
      <c r="AR725" s="88"/>
      <c r="AS725" s="87"/>
      <c r="AT725" s="87"/>
    </row>
    <row r="726" spans="15:46" x14ac:dyDescent="0.25">
      <c r="O726" s="49" t="e">
        <f t="shared" si="74"/>
        <v>#N/A</v>
      </c>
      <c r="P726" s="42"/>
      <c r="Q726" s="42"/>
      <c r="AE726" s="42"/>
      <c r="AF726" s="42"/>
      <c r="AG726" s="42"/>
      <c r="AH726" s="42"/>
      <c r="AI726" s="42"/>
      <c r="AJ726" s="42"/>
      <c r="AK726" s="42"/>
      <c r="AO726" s="86"/>
      <c r="AP726" s="87"/>
      <c r="AQ726" s="87"/>
      <c r="AR726" s="88"/>
      <c r="AS726" s="87"/>
      <c r="AT726" s="87"/>
    </row>
    <row r="727" spans="15:46" x14ac:dyDescent="0.25">
      <c r="O727" s="49" t="e">
        <f t="shared" ref="O727:O790" si="75">IF(ISTEXT(N727),IF(MID(N727,11,2)="24",1+DATEVALUE(LEFT(N727,10))+TIMEVALUE(CONCATENATE(MID(N727,11,2),":",MID(N727,13,2))),DATEVALUE(LEFT(N727,10))+TIMEVALUE(CONCATENATE(MID(N727,11,2),":",MID(N727,13,2)))),#N/A)</f>
        <v>#N/A</v>
      </c>
      <c r="P727" s="42"/>
      <c r="Q727" s="42"/>
      <c r="AE727" s="42"/>
      <c r="AF727" s="42"/>
      <c r="AG727" s="42"/>
      <c r="AH727" s="42"/>
      <c r="AI727" s="42"/>
      <c r="AJ727" s="42"/>
      <c r="AK727" s="42"/>
      <c r="AO727" s="86"/>
      <c r="AP727" s="87"/>
      <c r="AQ727" s="87"/>
      <c r="AR727" s="88"/>
      <c r="AS727" s="87"/>
      <c r="AT727" s="87"/>
    </row>
    <row r="728" spans="15:46" x14ac:dyDescent="0.25">
      <c r="O728" s="49" t="e">
        <f t="shared" si="75"/>
        <v>#N/A</v>
      </c>
      <c r="P728" s="42"/>
      <c r="Q728" s="42"/>
      <c r="AE728" s="42"/>
      <c r="AF728" s="42"/>
      <c r="AG728" s="42"/>
      <c r="AH728" s="42"/>
      <c r="AI728" s="42"/>
      <c r="AJ728" s="42"/>
      <c r="AK728" s="42"/>
      <c r="AO728" s="86"/>
      <c r="AP728" s="87"/>
      <c r="AQ728" s="87"/>
      <c r="AR728" s="88"/>
      <c r="AS728" s="87"/>
      <c r="AT728" s="87"/>
    </row>
    <row r="729" spans="15:46" x14ac:dyDescent="0.25">
      <c r="O729" s="49" t="e">
        <f t="shared" si="75"/>
        <v>#N/A</v>
      </c>
      <c r="P729" s="42"/>
      <c r="Q729" s="42"/>
      <c r="AE729" s="42"/>
      <c r="AF729" s="42"/>
      <c r="AG729" s="42"/>
      <c r="AH729" s="42"/>
      <c r="AI729" s="42"/>
      <c r="AJ729" s="42"/>
      <c r="AK729" s="42"/>
      <c r="AO729" s="86"/>
      <c r="AP729" s="87"/>
      <c r="AQ729" s="87"/>
      <c r="AR729" s="88"/>
      <c r="AS729" s="87"/>
      <c r="AT729" s="87"/>
    </row>
    <row r="730" spans="15:46" x14ac:dyDescent="0.25">
      <c r="O730" s="49" t="e">
        <f t="shared" si="75"/>
        <v>#N/A</v>
      </c>
      <c r="P730" s="42"/>
      <c r="Q730" s="42"/>
      <c r="AE730" s="42"/>
      <c r="AF730" s="42"/>
      <c r="AG730" s="42"/>
      <c r="AH730" s="42"/>
      <c r="AI730" s="42"/>
      <c r="AJ730" s="42"/>
      <c r="AK730" s="42"/>
      <c r="AO730" s="86"/>
      <c r="AP730" s="87"/>
      <c r="AQ730" s="87"/>
      <c r="AR730" s="88"/>
      <c r="AS730" s="87"/>
      <c r="AT730" s="87"/>
    </row>
    <row r="731" spans="15:46" x14ac:dyDescent="0.25">
      <c r="O731" s="49" t="e">
        <f t="shared" si="75"/>
        <v>#N/A</v>
      </c>
      <c r="P731" s="42"/>
      <c r="Q731" s="42"/>
      <c r="AE731" s="42"/>
      <c r="AF731" s="42"/>
      <c r="AG731" s="42"/>
      <c r="AH731" s="42"/>
      <c r="AI731" s="42"/>
      <c r="AJ731" s="42"/>
      <c r="AK731" s="42"/>
      <c r="AO731" s="86"/>
      <c r="AP731" s="87"/>
      <c r="AQ731" s="87"/>
      <c r="AR731" s="88"/>
      <c r="AS731" s="87"/>
      <c r="AT731" s="87"/>
    </row>
    <row r="732" spans="15:46" x14ac:dyDescent="0.25">
      <c r="O732" s="49" t="e">
        <f t="shared" si="75"/>
        <v>#N/A</v>
      </c>
      <c r="P732" s="42"/>
      <c r="Q732" s="42"/>
      <c r="AE732" s="42"/>
      <c r="AF732" s="42"/>
      <c r="AG732" s="42"/>
      <c r="AH732" s="42"/>
      <c r="AI732" s="42"/>
      <c r="AJ732" s="42"/>
      <c r="AK732" s="42"/>
      <c r="AO732" s="86"/>
      <c r="AP732" s="87"/>
      <c r="AQ732" s="87"/>
      <c r="AR732" s="88"/>
      <c r="AS732" s="87"/>
      <c r="AT732" s="87"/>
    </row>
    <row r="733" spans="15:46" x14ac:dyDescent="0.25">
      <c r="O733" s="49" t="e">
        <f t="shared" si="75"/>
        <v>#N/A</v>
      </c>
      <c r="P733" s="42"/>
      <c r="Q733" s="42"/>
      <c r="AE733" s="42"/>
      <c r="AF733" s="42"/>
      <c r="AG733" s="42"/>
      <c r="AH733" s="42"/>
      <c r="AI733" s="42"/>
      <c r="AJ733" s="42"/>
      <c r="AK733" s="42"/>
      <c r="AO733" s="86"/>
      <c r="AP733" s="87"/>
      <c r="AQ733" s="87"/>
      <c r="AR733" s="88"/>
      <c r="AS733" s="87"/>
      <c r="AT733" s="87"/>
    </row>
    <row r="734" spans="15:46" x14ac:dyDescent="0.25">
      <c r="O734" s="49" t="e">
        <f t="shared" si="75"/>
        <v>#N/A</v>
      </c>
      <c r="P734" s="42"/>
      <c r="Q734" s="42"/>
      <c r="AE734" s="42"/>
      <c r="AF734" s="42"/>
      <c r="AG734" s="42"/>
      <c r="AH734" s="42"/>
      <c r="AI734" s="42"/>
      <c r="AJ734" s="42"/>
      <c r="AK734" s="42"/>
      <c r="AO734" s="86"/>
      <c r="AP734" s="87"/>
      <c r="AQ734" s="87"/>
      <c r="AR734" s="88"/>
      <c r="AS734" s="87"/>
      <c r="AT734" s="87"/>
    </row>
    <row r="735" spans="15:46" x14ac:dyDescent="0.25">
      <c r="O735" s="49" t="e">
        <f t="shared" si="75"/>
        <v>#N/A</v>
      </c>
      <c r="P735" s="42"/>
      <c r="Q735" s="42"/>
      <c r="AE735" s="42"/>
      <c r="AF735" s="42"/>
      <c r="AG735" s="42"/>
      <c r="AH735" s="42"/>
      <c r="AI735" s="42"/>
      <c r="AJ735" s="42"/>
      <c r="AK735" s="42"/>
      <c r="AO735" s="86"/>
      <c r="AP735" s="87"/>
      <c r="AQ735" s="87"/>
      <c r="AR735" s="88"/>
      <c r="AS735" s="87"/>
      <c r="AT735" s="87"/>
    </row>
    <row r="736" spans="15:46" x14ac:dyDescent="0.25">
      <c r="O736" s="49" t="e">
        <f t="shared" si="75"/>
        <v>#N/A</v>
      </c>
      <c r="P736" s="42"/>
      <c r="Q736" s="42"/>
      <c r="AE736" s="42"/>
      <c r="AF736" s="42"/>
      <c r="AG736" s="42"/>
      <c r="AH736" s="42"/>
      <c r="AI736" s="42"/>
      <c r="AJ736" s="42"/>
      <c r="AK736" s="42"/>
      <c r="AO736" s="86"/>
      <c r="AP736" s="87"/>
      <c r="AQ736" s="87"/>
      <c r="AR736" s="88"/>
      <c r="AS736" s="87"/>
      <c r="AT736" s="87"/>
    </row>
    <row r="737" spans="15:46" x14ac:dyDescent="0.25">
      <c r="O737" s="49" t="e">
        <f t="shared" si="75"/>
        <v>#N/A</v>
      </c>
      <c r="P737" s="42"/>
      <c r="Q737" s="42"/>
      <c r="AE737" s="42"/>
      <c r="AF737" s="42"/>
      <c r="AG737" s="42"/>
      <c r="AH737" s="42"/>
      <c r="AI737" s="42"/>
      <c r="AJ737" s="42"/>
      <c r="AK737" s="42"/>
      <c r="AO737" s="86"/>
      <c r="AP737" s="87"/>
      <c r="AQ737" s="87"/>
      <c r="AR737" s="88"/>
      <c r="AS737" s="87"/>
      <c r="AT737" s="87"/>
    </row>
    <row r="738" spans="15:46" x14ac:dyDescent="0.25">
      <c r="O738" s="49" t="e">
        <f t="shared" si="75"/>
        <v>#N/A</v>
      </c>
      <c r="P738" s="42"/>
      <c r="Q738" s="42"/>
      <c r="AE738" s="42"/>
      <c r="AF738" s="42"/>
      <c r="AG738" s="42"/>
      <c r="AH738" s="42"/>
      <c r="AI738" s="42"/>
      <c r="AJ738" s="42"/>
      <c r="AK738" s="42"/>
      <c r="AO738" s="86"/>
      <c r="AP738" s="87"/>
      <c r="AQ738" s="87"/>
      <c r="AR738" s="88"/>
      <c r="AS738" s="87"/>
      <c r="AT738" s="87"/>
    </row>
    <row r="739" spans="15:46" x14ac:dyDescent="0.25">
      <c r="O739" s="49" t="e">
        <f t="shared" si="75"/>
        <v>#N/A</v>
      </c>
      <c r="P739" s="42"/>
      <c r="Q739" s="42"/>
      <c r="AE739" s="42"/>
      <c r="AF739" s="42"/>
      <c r="AG739" s="42"/>
      <c r="AH739" s="42"/>
      <c r="AI739" s="42"/>
      <c r="AJ739" s="42"/>
      <c r="AK739" s="42"/>
      <c r="AO739" s="86"/>
      <c r="AP739" s="87"/>
      <c r="AQ739" s="87"/>
      <c r="AR739" s="88"/>
      <c r="AS739" s="87"/>
      <c r="AT739" s="87"/>
    </row>
    <row r="740" spans="15:46" x14ac:dyDescent="0.25">
      <c r="O740" s="49" t="e">
        <f t="shared" si="75"/>
        <v>#N/A</v>
      </c>
      <c r="P740" s="42"/>
      <c r="Q740" s="42"/>
      <c r="AE740" s="42"/>
      <c r="AF740" s="42"/>
      <c r="AG740" s="42"/>
      <c r="AH740" s="42"/>
      <c r="AI740" s="42"/>
      <c r="AJ740" s="42"/>
      <c r="AK740" s="42"/>
      <c r="AO740" s="86"/>
      <c r="AP740" s="87"/>
      <c r="AQ740" s="87"/>
      <c r="AR740" s="88"/>
      <c r="AS740" s="87"/>
      <c r="AT740" s="87"/>
    </row>
    <row r="741" spans="15:46" x14ac:dyDescent="0.25">
      <c r="O741" s="49" t="e">
        <f t="shared" si="75"/>
        <v>#N/A</v>
      </c>
      <c r="P741" s="42"/>
      <c r="Q741" s="42"/>
      <c r="AE741" s="42"/>
      <c r="AF741" s="42"/>
      <c r="AG741" s="42"/>
      <c r="AH741" s="42"/>
      <c r="AI741" s="42"/>
      <c r="AJ741" s="42"/>
      <c r="AK741" s="42"/>
      <c r="AO741" s="86"/>
      <c r="AP741" s="87"/>
      <c r="AQ741" s="87"/>
      <c r="AR741" s="88"/>
      <c r="AS741" s="87"/>
      <c r="AT741" s="87"/>
    </row>
    <row r="742" spans="15:46" x14ac:dyDescent="0.25">
      <c r="O742" s="49" t="e">
        <f t="shared" si="75"/>
        <v>#N/A</v>
      </c>
      <c r="P742" s="42"/>
      <c r="Q742" s="42"/>
      <c r="AE742" s="42"/>
      <c r="AF742" s="42"/>
      <c r="AG742" s="42"/>
      <c r="AH742" s="42"/>
      <c r="AI742" s="42"/>
      <c r="AJ742" s="42"/>
      <c r="AK742" s="42"/>
      <c r="AO742" s="86"/>
      <c r="AP742" s="87"/>
      <c r="AQ742" s="87"/>
      <c r="AR742" s="88"/>
      <c r="AS742" s="87"/>
      <c r="AT742" s="87"/>
    </row>
    <row r="743" spans="15:46" x14ac:dyDescent="0.25">
      <c r="O743" s="49" t="e">
        <f t="shared" si="75"/>
        <v>#N/A</v>
      </c>
      <c r="P743" s="42"/>
      <c r="Q743" s="42"/>
      <c r="AE743" s="42"/>
      <c r="AF743" s="42"/>
      <c r="AG743" s="42"/>
      <c r="AH743" s="42"/>
      <c r="AI743" s="42"/>
      <c r="AJ743" s="42"/>
      <c r="AK743" s="42"/>
      <c r="AO743" s="86"/>
      <c r="AP743" s="87"/>
      <c r="AQ743" s="87"/>
      <c r="AR743" s="88"/>
      <c r="AS743" s="87"/>
      <c r="AT743" s="87"/>
    </row>
    <row r="744" spans="15:46" x14ac:dyDescent="0.25">
      <c r="O744" s="49" t="e">
        <f t="shared" si="75"/>
        <v>#N/A</v>
      </c>
      <c r="P744" s="42"/>
      <c r="Q744" s="42"/>
      <c r="AE744" s="42"/>
      <c r="AF744" s="42"/>
      <c r="AG744" s="42"/>
      <c r="AH744" s="42"/>
      <c r="AI744" s="42"/>
      <c r="AJ744" s="42"/>
      <c r="AK744" s="42"/>
      <c r="AO744" s="86"/>
      <c r="AP744" s="87"/>
      <c r="AQ744" s="87"/>
      <c r="AR744" s="88"/>
      <c r="AS744" s="87"/>
      <c r="AT744" s="87"/>
    </row>
    <row r="745" spans="15:46" x14ac:dyDescent="0.25">
      <c r="O745" s="49" t="e">
        <f t="shared" si="75"/>
        <v>#N/A</v>
      </c>
      <c r="P745" s="42"/>
      <c r="Q745" s="42"/>
      <c r="AE745" s="42"/>
      <c r="AF745" s="42"/>
      <c r="AG745" s="42"/>
      <c r="AH745" s="42"/>
      <c r="AI745" s="42"/>
      <c r="AJ745" s="42"/>
      <c r="AK745" s="42"/>
      <c r="AO745" s="86"/>
      <c r="AP745" s="87"/>
      <c r="AQ745" s="87"/>
      <c r="AR745" s="88"/>
      <c r="AS745" s="87"/>
      <c r="AT745" s="87"/>
    </row>
    <row r="746" spans="15:46" x14ac:dyDescent="0.25">
      <c r="O746" s="49" t="e">
        <f t="shared" si="75"/>
        <v>#N/A</v>
      </c>
      <c r="P746" s="42"/>
      <c r="Q746" s="42"/>
      <c r="AE746" s="42"/>
      <c r="AF746" s="42"/>
      <c r="AG746" s="42"/>
      <c r="AH746" s="42"/>
      <c r="AI746" s="42"/>
      <c r="AJ746" s="42"/>
      <c r="AK746" s="42"/>
      <c r="AO746" s="86"/>
      <c r="AP746" s="87"/>
      <c r="AQ746" s="87"/>
      <c r="AR746" s="88"/>
      <c r="AS746" s="87"/>
      <c r="AT746" s="87"/>
    </row>
    <row r="747" spans="15:46" x14ac:dyDescent="0.25">
      <c r="O747" s="49" t="e">
        <f t="shared" si="75"/>
        <v>#N/A</v>
      </c>
      <c r="P747" s="42"/>
      <c r="Q747" s="42"/>
      <c r="AE747" s="42"/>
      <c r="AF747" s="42"/>
      <c r="AG747" s="42"/>
      <c r="AH747" s="42"/>
      <c r="AI747" s="42"/>
      <c r="AJ747" s="42"/>
      <c r="AK747" s="42"/>
      <c r="AO747" s="86"/>
      <c r="AP747" s="87"/>
      <c r="AQ747" s="87"/>
      <c r="AR747" s="88"/>
      <c r="AS747" s="87"/>
      <c r="AT747" s="87"/>
    </row>
    <row r="748" spans="15:46" x14ac:dyDescent="0.25">
      <c r="O748" s="49" t="e">
        <f t="shared" si="75"/>
        <v>#N/A</v>
      </c>
      <c r="P748" s="42"/>
      <c r="Q748" s="42"/>
      <c r="AE748" s="42"/>
      <c r="AF748" s="42"/>
      <c r="AG748" s="42"/>
      <c r="AH748" s="42"/>
      <c r="AI748" s="42"/>
      <c r="AJ748" s="42"/>
      <c r="AK748" s="42"/>
      <c r="AO748" s="86"/>
      <c r="AP748" s="87"/>
      <c r="AQ748" s="87"/>
      <c r="AR748" s="88"/>
      <c r="AS748" s="87"/>
      <c r="AT748" s="87"/>
    </row>
    <row r="749" spans="15:46" x14ac:dyDescent="0.25">
      <c r="O749" s="49" t="e">
        <f t="shared" si="75"/>
        <v>#N/A</v>
      </c>
      <c r="P749" s="42"/>
      <c r="Q749" s="42"/>
      <c r="AE749" s="42"/>
      <c r="AF749" s="42"/>
      <c r="AG749" s="42"/>
      <c r="AH749" s="42"/>
      <c r="AI749" s="42"/>
      <c r="AJ749" s="42"/>
      <c r="AK749" s="42"/>
      <c r="AO749" s="86"/>
      <c r="AP749" s="87"/>
      <c r="AQ749" s="87"/>
      <c r="AR749" s="88"/>
      <c r="AS749" s="87"/>
      <c r="AT749" s="87"/>
    </row>
    <row r="750" spans="15:46" x14ac:dyDescent="0.25">
      <c r="O750" s="49" t="e">
        <f t="shared" si="75"/>
        <v>#N/A</v>
      </c>
      <c r="P750" s="42"/>
      <c r="Q750" s="42"/>
      <c r="AE750" s="42"/>
      <c r="AF750" s="42"/>
      <c r="AG750" s="42"/>
      <c r="AH750" s="42"/>
      <c r="AI750" s="42"/>
      <c r="AJ750" s="42"/>
      <c r="AK750" s="42"/>
      <c r="AO750" s="86"/>
      <c r="AP750" s="87"/>
      <c r="AQ750" s="87"/>
      <c r="AR750" s="88"/>
      <c r="AS750" s="87"/>
      <c r="AT750" s="87"/>
    </row>
    <row r="751" spans="15:46" x14ac:dyDescent="0.25">
      <c r="O751" s="49" t="e">
        <f t="shared" si="75"/>
        <v>#N/A</v>
      </c>
      <c r="P751" s="42"/>
      <c r="Q751" s="42"/>
      <c r="AE751" s="42"/>
      <c r="AF751" s="42"/>
      <c r="AG751" s="42"/>
      <c r="AH751" s="42"/>
      <c r="AI751" s="42"/>
      <c r="AJ751" s="42"/>
      <c r="AK751" s="42"/>
      <c r="AO751" s="86"/>
      <c r="AP751" s="87"/>
      <c r="AQ751" s="87"/>
      <c r="AR751" s="88"/>
      <c r="AS751" s="87"/>
      <c r="AT751" s="87"/>
    </row>
    <row r="752" spans="15:46" x14ac:dyDescent="0.25">
      <c r="O752" s="49" t="e">
        <f t="shared" si="75"/>
        <v>#N/A</v>
      </c>
      <c r="P752" s="42"/>
      <c r="Q752" s="42"/>
      <c r="AE752" s="42"/>
      <c r="AF752" s="42"/>
      <c r="AG752" s="42"/>
      <c r="AH752" s="42"/>
      <c r="AI752" s="42"/>
      <c r="AJ752" s="42"/>
      <c r="AK752" s="42"/>
      <c r="AO752" s="86"/>
      <c r="AP752" s="87"/>
      <c r="AQ752" s="87"/>
      <c r="AR752" s="88"/>
      <c r="AS752" s="87"/>
      <c r="AT752" s="87"/>
    </row>
    <row r="753" spans="15:46" x14ac:dyDescent="0.25">
      <c r="O753" s="49" t="e">
        <f t="shared" si="75"/>
        <v>#N/A</v>
      </c>
      <c r="P753" s="42"/>
      <c r="Q753" s="42"/>
      <c r="AE753" s="42"/>
      <c r="AF753" s="42"/>
      <c r="AG753" s="42"/>
      <c r="AH753" s="42"/>
      <c r="AI753" s="42"/>
      <c r="AJ753" s="42"/>
      <c r="AK753" s="42"/>
      <c r="AO753" s="86"/>
      <c r="AP753" s="87"/>
      <c r="AQ753" s="87"/>
      <c r="AR753" s="88"/>
      <c r="AS753" s="87"/>
      <c r="AT753" s="87"/>
    </row>
    <row r="754" spans="15:46" x14ac:dyDescent="0.25">
      <c r="O754" s="49" t="e">
        <f t="shared" si="75"/>
        <v>#N/A</v>
      </c>
      <c r="P754" s="42"/>
      <c r="Q754" s="42"/>
      <c r="AE754" s="42"/>
      <c r="AF754" s="42"/>
      <c r="AG754" s="42"/>
      <c r="AH754" s="42"/>
      <c r="AI754" s="42"/>
      <c r="AJ754" s="42"/>
      <c r="AK754" s="42"/>
      <c r="AO754" s="86"/>
      <c r="AP754" s="87"/>
      <c r="AQ754" s="87"/>
      <c r="AR754" s="88"/>
      <c r="AS754" s="87"/>
      <c r="AT754" s="87"/>
    </row>
    <row r="755" spans="15:46" x14ac:dyDescent="0.25">
      <c r="O755" s="49" t="e">
        <f t="shared" si="75"/>
        <v>#N/A</v>
      </c>
      <c r="P755" s="42"/>
      <c r="Q755" s="42"/>
      <c r="AE755" s="42"/>
      <c r="AF755" s="42"/>
      <c r="AG755" s="42"/>
      <c r="AH755" s="42"/>
      <c r="AI755" s="42"/>
      <c r="AJ755" s="42"/>
      <c r="AK755" s="42"/>
      <c r="AO755" s="86"/>
      <c r="AP755" s="87"/>
      <c r="AQ755" s="87"/>
      <c r="AR755" s="88"/>
      <c r="AS755" s="87"/>
      <c r="AT755" s="87"/>
    </row>
    <row r="756" spans="15:46" x14ac:dyDescent="0.25">
      <c r="O756" s="49" t="e">
        <f t="shared" si="75"/>
        <v>#N/A</v>
      </c>
      <c r="P756" s="42"/>
      <c r="Q756" s="42"/>
      <c r="AE756" s="42"/>
      <c r="AF756" s="42"/>
      <c r="AG756" s="42"/>
      <c r="AH756" s="42"/>
      <c r="AI756" s="42"/>
      <c r="AJ756" s="42"/>
      <c r="AK756" s="42"/>
      <c r="AO756" s="86"/>
      <c r="AP756" s="87"/>
      <c r="AQ756" s="87"/>
      <c r="AR756" s="88"/>
      <c r="AS756" s="87"/>
      <c r="AT756" s="87"/>
    </row>
    <row r="757" spans="15:46" x14ac:dyDescent="0.25">
      <c r="O757" s="49" t="e">
        <f t="shared" si="75"/>
        <v>#N/A</v>
      </c>
      <c r="P757" s="42"/>
      <c r="Q757" s="42"/>
      <c r="AE757" s="42"/>
      <c r="AF757" s="42"/>
      <c r="AG757" s="42"/>
      <c r="AH757" s="42"/>
      <c r="AI757" s="42"/>
      <c r="AJ757" s="42"/>
      <c r="AK757" s="42"/>
      <c r="AO757" s="86"/>
      <c r="AP757" s="87"/>
      <c r="AQ757" s="87"/>
      <c r="AR757" s="88"/>
      <c r="AS757" s="87"/>
      <c r="AT757" s="87"/>
    </row>
    <row r="758" spans="15:46" x14ac:dyDescent="0.25">
      <c r="O758" s="49" t="e">
        <f t="shared" si="75"/>
        <v>#N/A</v>
      </c>
      <c r="P758" s="42"/>
      <c r="Q758" s="42"/>
      <c r="AE758" s="42"/>
      <c r="AF758" s="42"/>
      <c r="AG758" s="42"/>
      <c r="AH758" s="42"/>
      <c r="AI758" s="42"/>
      <c r="AJ758" s="42"/>
      <c r="AK758" s="42"/>
      <c r="AO758" s="86"/>
      <c r="AP758" s="87"/>
      <c r="AQ758" s="87"/>
      <c r="AR758" s="88"/>
      <c r="AS758" s="87"/>
      <c r="AT758" s="87"/>
    </row>
    <row r="759" spans="15:46" x14ac:dyDescent="0.25">
      <c r="O759" s="49" t="e">
        <f t="shared" si="75"/>
        <v>#N/A</v>
      </c>
      <c r="P759" s="42"/>
      <c r="Q759" s="42"/>
      <c r="AE759" s="42"/>
      <c r="AF759" s="42"/>
      <c r="AG759" s="42"/>
      <c r="AH759" s="42"/>
      <c r="AI759" s="42"/>
      <c r="AJ759" s="42"/>
      <c r="AK759" s="42"/>
      <c r="AO759" s="86"/>
      <c r="AP759" s="87"/>
      <c r="AQ759" s="87"/>
      <c r="AR759" s="88"/>
      <c r="AS759" s="87"/>
      <c r="AT759" s="87"/>
    </row>
    <row r="760" spans="15:46" x14ac:dyDescent="0.25">
      <c r="O760" s="49" t="e">
        <f t="shared" si="75"/>
        <v>#N/A</v>
      </c>
      <c r="P760" s="42"/>
      <c r="Q760" s="42"/>
      <c r="AE760" s="42"/>
      <c r="AF760" s="42"/>
      <c r="AG760" s="42"/>
      <c r="AH760" s="42"/>
      <c r="AI760" s="42"/>
      <c r="AJ760" s="42"/>
      <c r="AK760" s="42"/>
      <c r="AO760" s="86"/>
      <c r="AP760" s="87"/>
      <c r="AQ760" s="87"/>
      <c r="AR760" s="88"/>
      <c r="AS760" s="87"/>
      <c r="AT760" s="87"/>
    </row>
    <row r="761" spans="15:46" x14ac:dyDescent="0.25">
      <c r="O761" s="49" t="e">
        <f t="shared" si="75"/>
        <v>#N/A</v>
      </c>
      <c r="P761" s="42"/>
      <c r="Q761" s="42"/>
      <c r="AE761" s="42"/>
      <c r="AF761" s="42"/>
      <c r="AG761" s="42"/>
      <c r="AH761" s="42"/>
      <c r="AI761" s="42"/>
      <c r="AJ761" s="42"/>
      <c r="AK761" s="42"/>
      <c r="AO761" s="86"/>
      <c r="AP761" s="87"/>
      <c r="AQ761" s="87"/>
      <c r="AR761" s="88"/>
      <c r="AS761" s="87"/>
      <c r="AT761" s="87"/>
    </row>
    <row r="762" spans="15:46" x14ac:dyDescent="0.25">
      <c r="O762" s="49" t="e">
        <f t="shared" si="75"/>
        <v>#N/A</v>
      </c>
      <c r="P762" s="42"/>
      <c r="Q762" s="42"/>
      <c r="AE762" s="42"/>
      <c r="AF762" s="42"/>
      <c r="AG762" s="42"/>
      <c r="AH762" s="42"/>
      <c r="AI762" s="42"/>
      <c r="AJ762" s="42"/>
      <c r="AK762" s="42"/>
      <c r="AO762" s="86"/>
      <c r="AP762" s="87"/>
      <c r="AQ762" s="87"/>
      <c r="AR762" s="88"/>
      <c r="AS762" s="87"/>
      <c r="AT762" s="87"/>
    </row>
    <row r="763" spans="15:46" x14ac:dyDescent="0.25">
      <c r="O763" s="49" t="e">
        <f t="shared" si="75"/>
        <v>#N/A</v>
      </c>
      <c r="P763" s="42"/>
      <c r="Q763" s="42"/>
      <c r="AE763" s="42"/>
      <c r="AF763" s="42"/>
      <c r="AG763" s="42"/>
      <c r="AH763" s="42"/>
      <c r="AI763" s="42"/>
      <c r="AJ763" s="42"/>
      <c r="AK763" s="42"/>
      <c r="AO763" s="86"/>
      <c r="AP763" s="87"/>
      <c r="AQ763" s="87"/>
      <c r="AR763" s="88"/>
      <c r="AS763" s="87"/>
      <c r="AT763" s="87"/>
    </row>
    <row r="764" spans="15:46" x14ac:dyDescent="0.25">
      <c r="O764" s="49" t="e">
        <f t="shared" si="75"/>
        <v>#N/A</v>
      </c>
      <c r="P764" s="42"/>
      <c r="Q764" s="42"/>
      <c r="AE764" s="42"/>
      <c r="AF764" s="42"/>
      <c r="AG764" s="42"/>
      <c r="AH764" s="42"/>
      <c r="AI764" s="42"/>
      <c r="AJ764" s="42"/>
      <c r="AK764" s="42"/>
      <c r="AO764" s="86"/>
      <c r="AP764" s="87"/>
      <c r="AQ764" s="87"/>
      <c r="AR764" s="88"/>
      <c r="AS764" s="87"/>
      <c r="AT764" s="87"/>
    </row>
    <row r="765" spans="15:46" x14ac:dyDescent="0.25">
      <c r="O765" s="49" t="e">
        <f t="shared" si="75"/>
        <v>#N/A</v>
      </c>
      <c r="P765" s="42"/>
      <c r="Q765" s="42"/>
      <c r="AE765" s="42"/>
      <c r="AF765" s="42"/>
      <c r="AG765" s="42"/>
      <c r="AH765" s="42"/>
      <c r="AI765" s="42"/>
      <c r="AJ765" s="42"/>
      <c r="AK765" s="42"/>
      <c r="AO765" s="86"/>
      <c r="AP765" s="87"/>
      <c r="AQ765" s="87"/>
      <c r="AR765" s="88"/>
      <c r="AS765" s="87"/>
      <c r="AT765" s="87"/>
    </row>
    <row r="766" spans="15:46" x14ac:dyDescent="0.25">
      <c r="O766" s="49" t="e">
        <f t="shared" si="75"/>
        <v>#N/A</v>
      </c>
      <c r="P766" s="42"/>
      <c r="Q766" s="42"/>
      <c r="AE766" s="42"/>
      <c r="AF766" s="42"/>
      <c r="AG766" s="42"/>
      <c r="AH766" s="42"/>
      <c r="AI766" s="42"/>
      <c r="AJ766" s="42"/>
      <c r="AK766" s="42"/>
      <c r="AO766" s="86"/>
      <c r="AP766" s="87"/>
      <c r="AQ766" s="87"/>
      <c r="AR766" s="88"/>
      <c r="AS766" s="87"/>
      <c r="AT766" s="87"/>
    </row>
    <row r="767" spans="15:46" x14ac:dyDescent="0.25">
      <c r="O767" s="49" t="e">
        <f t="shared" si="75"/>
        <v>#N/A</v>
      </c>
      <c r="P767" s="42"/>
      <c r="Q767" s="42"/>
      <c r="AE767" s="42"/>
      <c r="AF767" s="42"/>
      <c r="AG767" s="42"/>
      <c r="AH767" s="42"/>
      <c r="AI767" s="42"/>
      <c r="AJ767" s="42"/>
      <c r="AK767" s="42"/>
      <c r="AO767" s="86"/>
      <c r="AP767" s="87"/>
      <c r="AQ767" s="87"/>
      <c r="AR767" s="88"/>
      <c r="AS767" s="87"/>
      <c r="AT767" s="87"/>
    </row>
    <row r="768" spans="15:46" x14ac:dyDescent="0.25">
      <c r="O768" s="49" t="e">
        <f t="shared" si="75"/>
        <v>#N/A</v>
      </c>
      <c r="P768" s="42"/>
      <c r="Q768" s="42"/>
      <c r="AE768" s="42"/>
      <c r="AF768" s="42"/>
      <c r="AG768" s="42"/>
      <c r="AH768" s="42"/>
      <c r="AI768" s="42"/>
      <c r="AJ768" s="42"/>
      <c r="AK768" s="42"/>
      <c r="AO768" s="86"/>
      <c r="AP768" s="87"/>
      <c r="AQ768" s="87"/>
      <c r="AR768" s="88"/>
      <c r="AS768" s="87"/>
      <c r="AT768" s="87"/>
    </row>
    <row r="769" spans="15:46" x14ac:dyDescent="0.25">
      <c r="O769" s="49" t="e">
        <f t="shared" si="75"/>
        <v>#N/A</v>
      </c>
      <c r="P769" s="42"/>
      <c r="Q769" s="42"/>
      <c r="AE769" s="42"/>
      <c r="AF769" s="42"/>
      <c r="AG769" s="42"/>
      <c r="AH769" s="42"/>
      <c r="AI769" s="42"/>
      <c r="AJ769" s="42"/>
      <c r="AK769" s="42"/>
      <c r="AO769" s="86"/>
      <c r="AP769" s="87"/>
      <c r="AQ769" s="87"/>
      <c r="AR769" s="88"/>
      <c r="AS769" s="87"/>
      <c r="AT769" s="87"/>
    </row>
    <row r="770" spans="15:46" x14ac:dyDescent="0.25">
      <c r="O770" s="49" t="e">
        <f t="shared" si="75"/>
        <v>#N/A</v>
      </c>
      <c r="P770" s="42"/>
      <c r="Q770" s="42"/>
      <c r="AE770" s="42"/>
      <c r="AF770" s="42"/>
      <c r="AG770" s="42"/>
      <c r="AH770" s="42"/>
      <c r="AI770" s="42"/>
      <c r="AJ770" s="42"/>
      <c r="AK770" s="42"/>
      <c r="AO770" s="86"/>
      <c r="AP770" s="87"/>
      <c r="AQ770" s="87"/>
      <c r="AR770" s="88"/>
      <c r="AS770" s="87"/>
      <c r="AT770" s="87"/>
    </row>
    <row r="771" spans="15:46" x14ac:dyDescent="0.25">
      <c r="O771" s="49" t="e">
        <f t="shared" si="75"/>
        <v>#N/A</v>
      </c>
      <c r="P771" s="42"/>
      <c r="Q771" s="42"/>
      <c r="AE771" s="42"/>
      <c r="AF771" s="42"/>
      <c r="AG771" s="42"/>
      <c r="AH771" s="42"/>
      <c r="AI771" s="42"/>
      <c r="AJ771" s="42"/>
      <c r="AK771" s="42"/>
      <c r="AO771" s="86"/>
      <c r="AP771" s="87"/>
      <c r="AQ771" s="87"/>
      <c r="AR771" s="88"/>
      <c r="AS771" s="87"/>
      <c r="AT771" s="87"/>
    </row>
    <row r="772" spans="15:46" x14ac:dyDescent="0.25">
      <c r="O772" s="49" t="e">
        <f t="shared" si="75"/>
        <v>#N/A</v>
      </c>
      <c r="P772" s="42"/>
      <c r="Q772" s="42"/>
      <c r="AE772" s="42"/>
      <c r="AF772" s="42"/>
      <c r="AG772" s="42"/>
      <c r="AH772" s="42"/>
      <c r="AI772" s="42"/>
      <c r="AJ772" s="42"/>
      <c r="AK772" s="42"/>
      <c r="AO772" s="86"/>
      <c r="AP772" s="87"/>
      <c r="AQ772" s="87"/>
      <c r="AR772" s="88"/>
      <c r="AS772" s="87"/>
      <c r="AT772" s="87"/>
    </row>
    <row r="773" spans="15:46" x14ac:dyDescent="0.25">
      <c r="O773" s="49" t="e">
        <f t="shared" si="75"/>
        <v>#N/A</v>
      </c>
      <c r="P773" s="42"/>
      <c r="Q773" s="42"/>
      <c r="AE773" s="42"/>
      <c r="AF773" s="42"/>
      <c r="AG773" s="42"/>
      <c r="AH773" s="42"/>
      <c r="AI773" s="42"/>
      <c r="AJ773" s="42"/>
      <c r="AK773" s="42"/>
      <c r="AO773" s="86"/>
      <c r="AP773" s="87"/>
      <c r="AQ773" s="87"/>
      <c r="AR773" s="88"/>
      <c r="AS773" s="87"/>
      <c r="AT773" s="87"/>
    </row>
    <row r="774" spans="15:46" x14ac:dyDescent="0.25">
      <c r="O774" s="49" t="e">
        <f t="shared" si="75"/>
        <v>#N/A</v>
      </c>
      <c r="P774" s="42"/>
      <c r="Q774" s="42"/>
      <c r="AE774" s="42"/>
      <c r="AF774" s="42"/>
      <c r="AG774" s="42"/>
      <c r="AH774" s="42"/>
      <c r="AI774" s="42"/>
      <c r="AJ774" s="42"/>
      <c r="AK774" s="42"/>
      <c r="AO774" s="86"/>
      <c r="AP774" s="87"/>
      <c r="AQ774" s="87"/>
      <c r="AR774" s="88"/>
      <c r="AS774" s="87"/>
      <c r="AT774" s="87"/>
    </row>
    <row r="775" spans="15:46" x14ac:dyDescent="0.25">
      <c r="O775" s="49" t="e">
        <f t="shared" si="75"/>
        <v>#N/A</v>
      </c>
      <c r="P775" s="42"/>
      <c r="Q775" s="42"/>
      <c r="AE775" s="42"/>
      <c r="AF775" s="42"/>
      <c r="AG775" s="42"/>
      <c r="AH775" s="42"/>
      <c r="AI775" s="42"/>
      <c r="AJ775" s="42"/>
      <c r="AK775" s="42"/>
      <c r="AO775" s="86"/>
      <c r="AP775" s="87"/>
      <c r="AQ775" s="87"/>
      <c r="AR775" s="88"/>
      <c r="AS775" s="87"/>
      <c r="AT775" s="87"/>
    </row>
    <row r="776" spans="15:46" x14ac:dyDescent="0.25">
      <c r="O776" s="49" t="e">
        <f t="shared" si="75"/>
        <v>#N/A</v>
      </c>
      <c r="P776" s="42"/>
      <c r="Q776" s="42"/>
      <c r="AE776" s="42"/>
      <c r="AF776" s="42"/>
      <c r="AG776" s="42"/>
      <c r="AH776" s="42"/>
      <c r="AI776" s="42"/>
      <c r="AJ776" s="42"/>
      <c r="AK776" s="42"/>
      <c r="AO776" s="86"/>
      <c r="AP776" s="87"/>
      <c r="AQ776" s="87"/>
      <c r="AR776" s="88"/>
      <c r="AS776" s="87"/>
      <c r="AT776" s="87"/>
    </row>
    <row r="777" spans="15:46" x14ac:dyDescent="0.25">
      <c r="O777" s="49" t="e">
        <f t="shared" si="75"/>
        <v>#N/A</v>
      </c>
      <c r="P777" s="42"/>
      <c r="Q777" s="42"/>
      <c r="AE777" s="42"/>
      <c r="AF777" s="42"/>
      <c r="AG777" s="42"/>
      <c r="AH777" s="42"/>
      <c r="AI777" s="42"/>
      <c r="AJ777" s="42"/>
      <c r="AK777" s="42"/>
      <c r="AO777" s="86"/>
      <c r="AP777" s="87"/>
      <c r="AQ777" s="87"/>
      <c r="AR777" s="88"/>
      <c r="AS777" s="87"/>
      <c r="AT777" s="87"/>
    </row>
    <row r="778" spans="15:46" x14ac:dyDescent="0.25">
      <c r="O778" s="49" t="e">
        <f t="shared" si="75"/>
        <v>#N/A</v>
      </c>
      <c r="P778" s="42"/>
      <c r="Q778" s="42"/>
      <c r="AE778" s="42"/>
      <c r="AF778" s="42"/>
      <c r="AG778" s="42"/>
      <c r="AH778" s="42"/>
      <c r="AI778" s="42"/>
      <c r="AJ778" s="42"/>
      <c r="AK778" s="42"/>
      <c r="AO778" s="86"/>
      <c r="AP778" s="87"/>
      <c r="AQ778" s="87"/>
      <c r="AR778" s="88"/>
      <c r="AS778" s="87"/>
      <c r="AT778" s="87"/>
    </row>
    <row r="779" spans="15:46" x14ac:dyDescent="0.25">
      <c r="O779" s="49" t="e">
        <f t="shared" si="75"/>
        <v>#N/A</v>
      </c>
      <c r="P779" s="42"/>
      <c r="Q779" s="42"/>
      <c r="AE779" s="42"/>
      <c r="AF779" s="42"/>
      <c r="AG779" s="42"/>
      <c r="AH779" s="42"/>
      <c r="AI779" s="42"/>
      <c r="AJ779" s="42"/>
      <c r="AK779" s="42"/>
      <c r="AO779" s="86"/>
      <c r="AP779" s="87"/>
      <c r="AQ779" s="87"/>
      <c r="AR779" s="88"/>
      <c r="AS779" s="87"/>
      <c r="AT779" s="87"/>
    </row>
    <row r="780" spans="15:46" x14ac:dyDescent="0.25">
      <c r="O780" s="49" t="e">
        <f t="shared" si="75"/>
        <v>#N/A</v>
      </c>
      <c r="P780" s="42"/>
      <c r="Q780" s="42"/>
      <c r="AE780" s="42"/>
      <c r="AF780" s="42"/>
      <c r="AG780" s="42"/>
      <c r="AH780" s="42"/>
      <c r="AI780" s="42"/>
      <c r="AJ780" s="42"/>
      <c r="AK780" s="42"/>
      <c r="AO780" s="86"/>
      <c r="AP780" s="87"/>
      <c r="AQ780" s="87"/>
      <c r="AR780" s="88"/>
      <c r="AS780" s="87"/>
      <c r="AT780" s="87"/>
    </row>
    <row r="781" spans="15:46" x14ac:dyDescent="0.25">
      <c r="O781" s="49" t="e">
        <f t="shared" si="75"/>
        <v>#N/A</v>
      </c>
      <c r="P781" s="42"/>
      <c r="Q781" s="42"/>
      <c r="AE781" s="42"/>
      <c r="AF781" s="42"/>
      <c r="AG781" s="42"/>
      <c r="AH781" s="42"/>
      <c r="AI781" s="42"/>
      <c r="AJ781" s="42"/>
      <c r="AK781" s="42"/>
      <c r="AO781" s="86"/>
      <c r="AP781" s="87"/>
      <c r="AQ781" s="87"/>
      <c r="AR781" s="88"/>
      <c r="AS781" s="87"/>
      <c r="AT781" s="87"/>
    </row>
    <row r="782" spans="15:46" x14ac:dyDescent="0.25">
      <c r="O782" s="49" t="e">
        <f t="shared" si="75"/>
        <v>#N/A</v>
      </c>
      <c r="P782" s="42"/>
      <c r="Q782" s="42"/>
      <c r="AE782" s="42"/>
      <c r="AF782" s="42"/>
      <c r="AG782" s="42"/>
      <c r="AH782" s="42"/>
      <c r="AI782" s="42"/>
      <c r="AJ782" s="42"/>
      <c r="AK782" s="42"/>
      <c r="AO782" s="86"/>
      <c r="AP782" s="87"/>
      <c r="AQ782" s="87"/>
      <c r="AR782" s="88"/>
      <c r="AS782" s="87"/>
      <c r="AT782" s="87"/>
    </row>
    <row r="783" spans="15:46" x14ac:dyDescent="0.25">
      <c r="O783" s="49" t="e">
        <f t="shared" si="75"/>
        <v>#N/A</v>
      </c>
      <c r="P783" s="42"/>
      <c r="Q783" s="42"/>
      <c r="AE783" s="42"/>
      <c r="AF783" s="42"/>
      <c r="AG783" s="42"/>
      <c r="AH783" s="42"/>
      <c r="AI783" s="42"/>
      <c r="AJ783" s="42"/>
      <c r="AK783" s="42"/>
      <c r="AO783" s="86"/>
      <c r="AP783" s="87"/>
      <c r="AQ783" s="87"/>
      <c r="AR783" s="88"/>
      <c r="AS783" s="87"/>
      <c r="AT783" s="87"/>
    </row>
    <row r="784" spans="15:46" x14ac:dyDescent="0.25">
      <c r="O784" s="49" t="e">
        <f t="shared" si="75"/>
        <v>#N/A</v>
      </c>
      <c r="P784" s="42"/>
      <c r="Q784" s="42"/>
      <c r="AE784" s="42"/>
      <c r="AF784" s="42"/>
      <c r="AG784" s="42"/>
      <c r="AH784" s="42"/>
      <c r="AI784" s="42"/>
      <c r="AJ784" s="42"/>
      <c r="AK784" s="42"/>
      <c r="AO784" s="86"/>
      <c r="AP784" s="87"/>
      <c r="AQ784" s="87"/>
      <c r="AR784" s="88"/>
      <c r="AS784" s="87"/>
      <c r="AT784" s="87"/>
    </row>
    <row r="785" spans="15:46" x14ac:dyDescent="0.25">
      <c r="O785" s="49" t="e">
        <f t="shared" si="75"/>
        <v>#N/A</v>
      </c>
      <c r="P785" s="42"/>
      <c r="Q785" s="42"/>
      <c r="AE785" s="42"/>
      <c r="AF785" s="42"/>
      <c r="AG785" s="42"/>
      <c r="AH785" s="42"/>
      <c r="AI785" s="42"/>
      <c r="AJ785" s="42"/>
      <c r="AK785" s="42"/>
      <c r="AO785" s="86"/>
      <c r="AP785" s="87"/>
      <c r="AQ785" s="87"/>
      <c r="AR785" s="88"/>
      <c r="AS785" s="87"/>
      <c r="AT785" s="87"/>
    </row>
    <row r="786" spans="15:46" x14ac:dyDescent="0.25">
      <c r="O786" s="49" t="e">
        <f t="shared" si="75"/>
        <v>#N/A</v>
      </c>
      <c r="P786" s="42"/>
      <c r="Q786" s="42"/>
      <c r="AE786" s="42"/>
      <c r="AF786" s="42"/>
      <c r="AG786" s="42"/>
      <c r="AH786" s="42"/>
      <c r="AI786" s="42"/>
      <c r="AJ786" s="42"/>
      <c r="AK786" s="42"/>
      <c r="AO786" s="86"/>
      <c r="AP786" s="87"/>
      <c r="AQ786" s="87"/>
      <c r="AR786" s="88"/>
      <c r="AS786" s="87"/>
      <c r="AT786" s="87"/>
    </row>
    <row r="787" spans="15:46" x14ac:dyDescent="0.25">
      <c r="O787" s="49" t="e">
        <f t="shared" si="75"/>
        <v>#N/A</v>
      </c>
      <c r="P787" s="42"/>
      <c r="Q787" s="42"/>
      <c r="AE787" s="42"/>
      <c r="AF787" s="42"/>
      <c r="AG787" s="42"/>
      <c r="AH787" s="42"/>
      <c r="AI787" s="42"/>
      <c r="AJ787" s="42"/>
      <c r="AK787" s="42"/>
      <c r="AO787" s="86"/>
      <c r="AP787" s="87"/>
      <c r="AQ787" s="87"/>
      <c r="AR787" s="88"/>
      <c r="AS787" s="87"/>
      <c r="AT787" s="87"/>
    </row>
    <row r="788" spans="15:46" x14ac:dyDescent="0.25">
      <c r="O788" s="49" t="e">
        <f t="shared" si="75"/>
        <v>#N/A</v>
      </c>
      <c r="P788" s="42"/>
      <c r="Q788" s="42"/>
      <c r="AE788" s="42"/>
      <c r="AF788" s="42"/>
      <c r="AG788" s="42"/>
      <c r="AH788" s="42"/>
      <c r="AI788" s="42"/>
      <c r="AJ788" s="42"/>
      <c r="AK788" s="42"/>
      <c r="AO788" s="86"/>
      <c r="AP788" s="87"/>
      <c r="AQ788" s="87"/>
      <c r="AR788" s="88"/>
      <c r="AS788" s="87"/>
      <c r="AT788" s="87"/>
    </row>
    <row r="789" spans="15:46" x14ac:dyDescent="0.25">
      <c r="O789" s="49" t="e">
        <f t="shared" si="75"/>
        <v>#N/A</v>
      </c>
      <c r="P789" s="42"/>
      <c r="Q789" s="42"/>
      <c r="AE789" s="42"/>
      <c r="AF789" s="42"/>
      <c r="AG789" s="42"/>
      <c r="AH789" s="42"/>
      <c r="AI789" s="42"/>
      <c r="AJ789" s="42"/>
      <c r="AK789" s="42"/>
      <c r="AO789" s="86"/>
      <c r="AP789" s="87"/>
      <c r="AQ789" s="87"/>
      <c r="AR789" s="88"/>
      <c r="AS789" s="87"/>
      <c r="AT789" s="87"/>
    </row>
    <row r="790" spans="15:46" x14ac:dyDescent="0.25">
      <c r="O790" s="49" t="e">
        <f t="shared" si="75"/>
        <v>#N/A</v>
      </c>
      <c r="P790" s="42"/>
      <c r="Q790" s="42"/>
      <c r="AE790" s="42"/>
      <c r="AF790" s="42"/>
      <c r="AG790" s="42"/>
      <c r="AH790" s="42"/>
      <c r="AI790" s="42"/>
      <c r="AJ790" s="42"/>
      <c r="AK790" s="42"/>
      <c r="AO790" s="86"/>
      <c r="AP790" s="87"/>
      <c r="AQ790" s="87"/>
      <c r="AR790" s="88"/>
      <c r="AS790" s="87"/>
      <c r="AT790" s="87"/>
    </row>
    <row r="791" spans="15:46" x14ac:dyDescent="0.25">
      <c r="O791" s="49" t="e">
        <f t="shared" ref="O791:O854" si="76">IF(ISTEXT(N791),IF(MID(N791,11,2)="24",1+DATEVALUE(LEFT(N791,10))+TIMEVALUE(CONCATENATE(MID(N791,11,2),":",MID(N791,13,2))),DATEVALUE(LEFT(N791,10))+TIMEVALUE(CONCATENATE(MID(N791,11,2),":",MID(N791,13,2)))),#N/A)</f>
        <v>#N/A</v>
      </c>
      <c r="P791" s="42"/>
      <c r="Q791" s="42"/>
      <c r="AE791" s="42"/>
      <c r="AF791" s="42"/>
      <c r="AG791" s="42"/>
      <c r="AH791" s="42"/>
      <c r="AI791" s="42"/>
      <c r="AJ791" s="42"/>
      <c r="AK791" s="42"/>
      <c r="AO791" s="86"/>
      <c r="AP791" s="87"/>
      <c r="AQ791" s="87"/>
      <c r="AR791" s="88"/>
      <c r="AS791" s="87"/>
      <c r="AT791" s="87"/>
    </row>
    <row r="792" spans="15:46" x14ac:dyDescent="0.25">
      <c r="O792" s="49" t="e">
        <f t="shared" si="76"/>
        <v>#N/A</v>
      </c>
      <c r="P792" s="42"/>
      <c r="Q792" s="42"/>
      <c r="AE792" s="42"/>
      <c r="AF792" s="42"/>
      <c r="AG792" s="42"/>
      <c r="AH792" s="42"/>
      <c r="AI792" s="42"/>
      <c r="AJ792" s="42"/>
      <c r="AK792" s="42"/>
      <c r="AO792" s="86"/>
      <c r="AP792" s="87"/>
      <c r="AQ792" s="87"/>
      <c r="AR792" s="88"/>
      <c r="AS792" s="87"/>
      <c r="AT792" s="87"/>
    </row>
    <row r="793" spans="15:46" x14ac:dyDescent="0.25">
      <c r="O793" s="49" t="e">
        <f t="shared" si="76"/>
        <v>#N/A</v>
      </c>
      <c r="P793" s="42"/>
      <c r="Q793" s="42"/>
      <c r="AE793" s="42"/>
      <c r="AF793" s="42"/>
      <c r="AG793" s="42"/>
      <c r="AH793" s="42"/>
      <c r="AI793" s="42"/>
      <c r="AJ793" s="42"/>
      <c r="AK793" s="42"/>
      <c r="AO793" s="86"/>
      <c r="AP793" s="87"/>
      <c r="AQ793" s="87"/>
      <c r="AR793" s="88"/>
      <c r="AS793" s="87"/>
      <c r="AT793" s="87"/>
    </row>
    <row r="794" spans="15:46" x14ac:dyDescent="0.25">
      <c r="O794" s="49" t="e">
        <f t="shared" si="76"/>
        <v>#N/A</v>
      </c>
      <c r="P794" s="42"/>
      <c r="Q794" s="42"/>
      <c r="AE794" s="42"/>
      <c r="AF794" s="42"/>
      <c r="AG794" s="42"/>
      <c r="AH794" s="42"/>
      <c r="AI794" s="42"/>
      <c r="AJ794" s="42"/>
      <c r="AK794" s="42"/>
      <c r="AO794" s="86"/>
      <c r="AP794" s="87"/>
      <c r="AQ794" s="87"/>
      <c r="AR794" s="88"/>
      <c r="AS794" s="87"/>
      <c r="AT794" s="87"/>
    </row>
    <row r="795" spans="15:46" x14ac:dyDescent="0.25">
      <c r="O795" s="49" t="e">
        <f t="shared" si="76"/>
        <v>#N/A</v>
      </c>
      <c r="P795" s="42"/>
      <c r="Q795" s="42"/>
      <c r="AE795" s="42"/>
      <c r="AF795" s="42"/>
      <c r="AG795" s="42"/>
      <c r="AH795" s="42"/>
      <c r="AI795" s="42"/>
      <c r="AJ795" s="42"/>
      <c r="AK795" s="42"/>
      <c r="AO795" s="86"/>
      <c r="AP795" s="87"/>
      <c r="AQ795" s="87"/>
      <c r="AR795" s="88"/>
      <c r="AS795" s="87"/>
      <c r="AT795" s="87"/>
    </row>
    <row r="796" spans="15:46" x14ac:dyDescent="0.25">
      <c r="O796" s="49" t="e">
        <f t="shared" si="76"/>
        <v>#N/A</v>
      </c>
      <c r="P796" s="42"/>
      <c r="Q796" s="42"/>
      <c r="AE796" s="42"/>
      <c r="AF796" s="42"/>
      <c r="AG796" s="42"/>
      <c r="AH796" s="42"/>
      <c r="AI796" s="42"/>
      <c r="AJ796" s="42"/>
      <c r="AK796" s="42"/>
      <c r="AO796" s="86"/>
      <c r="AP796" s="87"/>
      <c r="AQ796" s="87"/>
      <c r="AR796" s="88"/>
      <c r="AS796" s="87"/>
      <c r="AT796" s="87"/>
    </row>
    <row r="797" spans="15:46" x14ac:dyDescent="0.25">
      <c r="O797" s="49" t="e">
        <f t="shared" si="76"/>
        <v>#N/A</v>
      </c>
      <c r="P797" s="42"/>
      <c r="Q797" s="42"/>
      <c r="AE797" s="42"/>
      <c r="AF797" s="42"/>
      <c r="AG797" s="42"/>
      <c r="AH797" s="42"/>
      <c r="AI797" s="42"/>
      <c r="AJ797" s="42"/>
      <c r="AK797" s="42"/>
      <c r="AO797" s="86"/>
      <c r="AP797" s="87"/>
      <c r="AQ797" s="87"/>
      <c r="AR797" s="88"/>
      <c r="AS797" s="87"/>
      <c r="AT797" s="87"/>
    </row>
    <row r="798" spans="15:46" x14ac:dyDescent="0.25">
      <c r="O798" s="49" t="e">
        <f t="shared" si="76"/>
        <v>#N/A</v>
      </c>
      <c r="P798" s="42"/>
      <c r="Q798" s="42"/>
      <c r="AE798" s="42"/>
      <c r="AF798" s="42"/>
      <c r="AG798" s="42"/>
      <c r="AH798" s="42"/>
      <c r="AI798" s="42"/>
      <c r="AJ798" s="42"/>
      <c r="AK798" s="42"/>
      <c r="AO798" s="86"/>
      <c r="AP798" s="87"/>
      <c r="AQ798" s="87"/>
      <c r="AR798" s="88"/>
      <c r="AS798" s="87"/>
      <c r="AT798" s="87"/>
    </row>
    <row r="799" spans="15:46" x14ac:dyDescent="0.25">
      <c r="O799" s="49" t="e">
        <f t="shared" si="76"/>
        <v>#N/A</v>
      </c>
      <c r="P799" s="42"/>
      <c r="Q799" s="42"/>
      <c r="AE799" s="42"/>
      <c r="AF799" s="42"/>
      <c r="AG799" s="42"/>
      <c r="AH799" s="42"/>
      <c r="AI799" s="42"/>
      <c r="AJ799" s="42"/>
      <c r="AK799" s="42"/>
      <c r="AO799" s="86"/>
      <c r="AP799" s="87"/>
      <c r="AQ799" s="87"/>
      <c r="AR799" s="88"/>
      <c r="AS799" s="87"/>
      <c r="AT799" s="87"/>
    </row>
    <row r="800" spans="15:46" x14ac:dyDescent="0.25">
      <c r="O800" s="49" t="e">
        <f t="shared" si="76"/>
        <v>#N/A</v>
      </c>
      <c r="P800" s="42"/>
      <c r="Q800" s="42"/>
      <c r="AE800" s="42"/>
      <c r="AF800" s="42"/>
      <c r="AG800" s="42"/>
      <c r="AH800" s="42"/>
      <c r="AI800" s="42"/>
      <c r="AJ800" s="42"/>
      <c r="AK800" s="42"/>
      <c r="AO800" s="86"/>
      <c r="AP800" s="87"/>
      <c r="AQ800" s="87"/>
      <c r="AR800" s="88"/>
      <c r="AS800" s="87"/>
      <c r="AT800" s="87"/>
    </row>
    <row r="801" spans="15:46" x14ac:dyDescent="0.25">
      <c r="O801" s="49" t="e">
        <f t="shared" si="76"/>
        <v>#N/A</v>
      </c>
      <c r="P801" s="42"/>
      <c r="Q801" s="42"/>
      <c r="AE801" s="42"/>
      <c r="AF801" s="42"/>
      <c r="AG801" s="42"/>
      <c r="AH801" s="42"/>
      <c r="AI801" s="42"/>
      <c r="AJ801" s="42"/>
      <c r="AK801" s="42"/>
      <c r="AO801" s="86"/>
      <c r="AP801" s="87"/>
      <c r="AQ801" s="87"/>
      <c r="AR801" s="88"/>
      <c r="AS801" s="87"/>
      <c r="AT801" s="87"/>
    </row>
    <row r="802" spans="15:46" x14ac:dyDescent="0.25">
      <c r="O802" s="49" t="e">
        <f t="shared" si="76"/>
        <v>#N/A</v>
      </c>
      <c r="P802" s="42"/>
      <c r="Q802" s="42"/>
      <c r="AE802" s="42"/>
      <c r="AF802" s="42"/>
      <c r="AG802" s="42"/>
      <c r="AH802" s="42"/>
      <c r="AI802" s="42"/>
      <c r="AJ802" s="42"/>
      <c r="AK802" s="42"/>
      <c r="AO802" s="86"/>
      <c r="AP802" s="87"/>
      <c r="AQ802" s="87"/>
      <c r="AR802" s="88"/>
      <c r="AS802" s="87"/>
      <c r="AT802" s="87"/>
    </row>
    <row r="803" spans="15:46" x14ac:dyDescent="0.25">
      <c r="O803" s="49" t="e">
        <f t="shared" si="76"/>
        <v>#N/A</v>
      </c>
      <c r="P803" s="42"/>
      <c r="Q803" s="42"/>
      <c r="AE803" s="42"/>
      <c r="AF803" s="42"/>
      <c r="AG803" s="42"/>
      <c r="AH803" s="42"/>
      <c r="AI803" s="42"/>
      <c r="AJ803" s="42"/>
      <c r="AK803" s="42"/>
      <c r="AO803" s="86"/>
      <c r="AP803" s="87"/>
      <c r="AQ803" s="87"/>
      <c r="AR803" s="88"/>
      <c r="AS803" s="87"/>
      <c r="AT803" s="87"/>
    </row>
    <row r="804" spans="15:46" x14ac:dyDescent="0.25">
      <c r="O804" s="49" t="e">
        <f t="shared" si="76"/>
        <v>#N/A</v>
      </c>
      <c r="P804" s="42"/>
      <c r="Q804" s="42"/>
      <c r="AE804" s="42"/>
      <c r="AF804" s="42"/>
      <c r="AG804" s="42"/>
      <c r="AH804" s="42"/>
      <c r="AI804" s="42"/>
      <c r="AJ804" s="42"/>
      <c r="AK804" s="42"/>
      <c r="AO804" s="86"/>
      <c r="AP804" s="87"/>
      <c r="AQ804" s="87"/>
      <c r="AR804" s="88"/>
      <c r="AS804" s="87"/>
      <c r="AT804" s="87"/>
    </row>
    <row r="805" spans="15:46" x14ac:dyDescent="0.25">
      <c r="O805" s="49" t="e">
        <f t="shared" si="76"/>
        <v>#N/A</v>
      </c>
      <c r="P805" s="42"/>
      <c r="Q805" s="42"/>
      <c r="AE805" s="42"/>
      <c r="AF805" s="42"/>
      <c r="AG805" s="42"/>
      <c r="AH805" s="42"/>
      <c r="AI805" s="42"/>
      <c r="AJ805" s="42"/>
      <c r="AK805" s="42"/>
      <c r="AO805" s="86"/>
      <c r="AP805" s="87"/>
      <c r="AQ805" s="87"/>
      <c r="AR805" s="88"/>
      <c r="AS805" s="87"/>
      <c r="AT805" s="87"/>
    </row>
    <row r="806" spans="15:46" x14ac:dyDescent="0.25">
      <c r="O806" s="49" t="e">
        <f t="shared" si="76"/>
        <v>#N/A</v>
      </c>
      <c r="P806" s="42"/>
      <c r="Q806" s="42"/>
      <c r="AE806" s="42"/>
      <c r="AF806" s="42"/>
      <c r="AG806" s="42"/>
      <c r="AH806" s="42"/>
      <c r="AI806" s="42"/>
      <c r="AJ806" s="42"/>
      <c r="AK806" s="42"/>
      <c r="AO806" s="86"/>
      <c r="AP806" s="87"/>
      <c r="AQ806" s="87"/>
      <c r="AR806" s="88"/>
      <c r="AS806" s="87"/>
      <c r="AT806" s="87"/>
    </row>
    <row r="807" spans="15:46" x14ac:dyDescent="0.25">
      <c r="O807" s="49" t="e">
        <f t="shared" si="76"/>
        <v>#N/A</v>
      </c>
      <c r="P807" s="42"/>
      <c r="Q807" s="42"/>
      <c r="AE807" s="42"/>
      <c r="AF807" s="42"/>
      <c r="AG807" s="42"/>
      <c r="AH807" s="42"/>
      <c r="AI807" s="42"/>
      <c r="AJ807" s="42"/>
      <c r="AK807" s="42"/>
      <c r="AO807" s="86"/>
      <c r="AP807" s="87"/>
      <c r="AQ807" s="87"/>
      <c r="AR807" s="88"/>
      <c r="AS807" s="87"/>
      <c r="AT807" s="87"/>
    </row>
    <row r="808" spans="15:46" x14ac:dyDescent="0.25">
      <c r="O808" s="49" t="e">
        <f t="shared" si="76"/>
        <v>#N/A</v>
      </c>
      <c r="P808" s="42"/>
      <c r="Q808" s="42"/>
      <c r="AE808" s="42"/>
      <c r="AF808" s="42"/>
      <c r="AG808" s="42"/>
      <c r="AH808" s="42"/>
      <c r="AI808" s="42"/>
      <c r="AJ808" s="42"/>
      <c r="AK808" s="42"/>
      <c r="AO808" s="86"/>
      <c r="AP808" s="87"/>
      <c r="AQ808" s="87"/>
      <c r="AR808" s="88"/>
      <c r="AS808" s="87"/>
      <c r="AT808" s="87"/>
    </row>
    <row r="809" spans="15:46" x14ac:dyDescent="0.25">
      <c r="O809" s="49" t="e">
        <f t="shared" si="76"/>
        <v>#N/A</v>
      </c>
      <c r="P809" s="42"/>
      <c r="Q809" s="42"/>
      <c r="AE809" s="42"/>
      <c r="AF809" s="42"/>
      <c r="AG809" s="42"/>
      <c r="AH809" s="42"/>
      <c r="AI809" s="42"/>
      <c r="AJ809" s="42"/>
      <c r="AK809" s="42"/>
      <c r="AO809" s="86"/>
      <c r="AP809" s="87"/>
      <c r="AQ809" s="87"/>
      <c r="AR809" s="88"/>
      <c r="AS809" s="87"/>
      <c r="AT809" s="87"/>
    </row>
    <row r="810" spans="15:46" x14ac:dyDescent="0.25">
      <c r="O810" s="49" t="e">
        <f t="shared" si="76"/>
        <v>#N/A</v>
      </c>
      <c r="P810" s="42"/>
      <c r="Q810" s="42"/>
      <c r="AE810" s="42"/>
      <c r="AF810" s="42"/>
      <c r="AG810" s="42"/>
      <c r="AH810" s="42"/>
      <c r="AI810" s="42"/>
      <c r="AJ810" s="42"/>
      <c r="AK810" s="42"/>
      <c r="AO810" s="86"/>
      <c r="AP810" s="87"/>
      <c r="AQ810" s="87"/>
      <c r="AR810" s="88"/>
      <c r="AS810" s="87"/>
      <c r="AT810" s="87"/>
    </row>
    <row r="811" spans="15:46" x14ac:dyDescent="0.25">
      <c r="O811" s="49" t="e">
        <f t="shared" si="76"/>
        <v>#N/A</v>
      </c>
      <c r="P811" s="42"/>
      <c r="Q811" s="42"/>
      <c r="AE811" s="42"/>
      <c r="AF811" s="42"/>
      <c r="AG811" s="42"/>
      <c r="AH811" s="42"/>
      <c r="AI811" s="42"/>
      <c r="AJ811" s="42"/>
      <c r="AK811" s="42"/>
      <c r="AO811" s="86"/>
      <c r="AP811" s="87"/>
      <c r="AQ811" s="87"/>
      <c r="AR811" s="88"/>
      <c r="AS811" s="87"/>
      <c r="AT811" s="87"/>
    </row>
    <row r="812" spans="15:46" x14ac:dyDescent="0.25">
      <c r="O812" s="49" t="e">
        <f t="shared" si="76"/>
        <v>#N/A</v>
      </c>
      <c r="P812" s="42"/>
      <c r="Q812" s="42"/>
      <c r="AE812" s="42"/>
      <c r="AF812" s="42"/>
      <c r="AG812" s="42"/>
      <c r="AH812" s="42"/>
      <c r="AI812" s="42"/>
      <c r="AJ812" s="42"/>
      <c r="AK812" s="42"/>
      <c r="AO812" s="86"/>
      <c r="AP812" s="87"/>
      <c r="AQ812" s="87"/>
      <c r="AR812" s="88"/>
      <c r="AS812" s="87"/>
      <c r="AT812" s="87"/>
    </row>
    <row r="813" spans="15:46" x14ac:dyDescent="0.25">
      <c r="O813" s="49" t="e">
        <f t="shared" si="76"/>
        <v>#N/A</v>
      </c>
      <c r="P813" s="42"/>
      <c r="Q813" s="42"/>
      <c r="AE813" s="42"/>
      <c r="AF813" s="42"/>
      <c r="AG813" s="42"/>
      <c r="AH813" s="42"/>
      <c r="AI813" s="42"/>
      <c r="AJ813" s="42"/>
      <c r="AK813" s="42"/>
      <c r="AO813" s="86"/>
      <c r="AP813" s="87"/>
      <c r="AQ813" s="87"/>
      <c r="AR813" s="88"/>
      <c r="AS813" s="87"/>
      <c r="AT813" s="87"/>
    </row>
    <row r="814" spans="15:46" x14ac:dyDescent="0.25">
      <c r="O814" s="49" t="e">
        <f t="shared" si="76"/>
        <v>#N/A</v>
      </c>
      <c r="P814" s="42"/>
      <c r="Q814" s="42"/>
      <c r="AE814" s="42"/>
      <c r="AF814" s="42"/>
      <c r="AG814" s="42"/>
      <c r="AH814" s="42"/>
      <c r="AI814" s="42"/>
      <c r="AJ814" s="42"/>
      <c r="AK814" s="42"/>
      <c r="AO814" s="86"/>
      <c r="AP814" s="87"/>
      <c r="AQ814" s="87"/>
      <c r="AR814" s="88"/>
      <c r="AS814" s="87"/>
      <c r="AT814" s="87"/>
    </row>
    <row r="815" spans="15:46" x14ac:dyDescent="0.25">
      <c r="O815" s="49" t="e">
        <f t="shared" si="76"/>
        <v>#N/A</v>
      </c>
      <c r="P815" s="42"/>
      <c r="Q815" s="42"/>
      <c r="AE815" s="42"/>
      <c r="AF815" s="42"/>
      <c r="AG815" s="42"/>
      <c r="AH815" s="42"/>
      <c r="AI815" s="42"/>
      <c r="AJ815" s="42"/>
      <c r="AK815" s="42"/>
      <c r="AO815" s="86"/>
      <c r="AP815" s="87"/>
      <c r="AQ815" s="87"/>
      <c r="AR815" s="88"/>
      <c r="AS815" s="87"/>
      <c r="AT815" s="87"/>
    </row>
    <row r="816" spans="15:46" x14ac:dyDescent="0.25">
      <c r="O816" s="49" t="e">
        <f t="shared" si="76"/>
        <v>#N/A</v>
      </c>
      <c r="P816" s="42"/>
      <c r="Q816" s="42"/>
      <c r="AE816" s="42"/>
      <c r="AF816" s="42"/>
      <c r="AG816" s="42"/>
      <c r="AH816" s="42"/>
      <c r="AI816" s="42"/>
      <c r="AJ816" s="42"/>
      <c r="AK816" s="42"/>
      <c r="AO816" s="86"/>
      <c r="AP816" s="87"/>
      <c r="AQ816" s="87"/>
      <c r="AR816" s="88"/>
      <c r="AS816" s="87"/>
      <c r="AT816" s="87"/>
    </row>
    <row r="817" spans="15:46" x14ac:dyDescent="0.25">
      <c r="O817" s="49" t="e">
        <f t="shared" si="76"/>
        <v>#N/A</v>
      </c>
      <c r="P817" s="42"/>
      <c r="Q817" s="42"/>
      <c r="AE817" s="42"/>
      <c r="AF817" s="42"/>
      <c r="AG817" s="42"/>
      <c r="AH817" s="42"/>
      <c r="AI817" s="42"/>
      <c r="AJ817" s="42"/>
      <c r="AK817" s="42"/>
      <c r="AO817" s="86"/>
      <c r="AP817" s="87"/>
      <c r="AQ817" s="87"/>
      <c r="AR817" s="88"/>
      <c r="AS817" s="87"/>
      <c r="AT817" s="87"/>
    </row>
    <row r="818" spans="15:46" x14ac:dyDescent="0.25">
      <c r="O818" s="49" t="e">
        <f t="shared" si="76"/>
        <v>#N/A</v>
      </c>
      <c r="P818" s="42"/>
      <c r="Q818" s="42"/>
      <c r="AE818" s="42"/>
      <c r="AF818" s="42"/>
      <c r="AG818" s="42"/>
      <c r="AH818" s="42"/>
      <c r="AI818" s="42"/>
      <c r="AJ818" s="42"/>
      <c r="AK818" s="42"/>
      <c r="AO818" s="86"/>
      <c r="AP818" s="87"/>
      <c r="AQ818" s="87"/>
      <c r="AR818" s="88"/>
      <c r="AS818" s="87"/>
      <c r="AT818" s="87"/>
    </row>
    <row r="819" spans="15:46" x14ac:dyDescent="0.25">
      <c r="O819" s="49" t="e">
        <f t="shared" si="76"/>
        <v>#N/A</v>
      </c>
      <c r="P819" s="42"/>
      <c r="Q819" s="42"/>
      <c r="AE819" s="42"/>
      <c r="AF819" s="42"/>
      <c r="AG819" s="42"/>
      <c r="AH819" s="42"/>
      <c r="AI819" s="42"/>
      <c r="AJ819" s="42"/>
      <c r="AK819" s="42"/>
      <c r="AO819" s="86"/>
      <c r="AP819" s="87"/>
      <c r="AQ819" s="87"/>
      <c r="AR819" s="88"/>
      <c r="AS819" s="87"/>
      <c r="AT819" s="87"/>
    </row>
    <row r="820" spans="15:46" x14ac:dyDescent="0.25">
      <c r="O820" s="49" t="e">
        <f t="shared" si="76"/>
        <v>#N/A</v>
      </c>
      <c r="P820" s="42"/>
      <c r="Q820" s="42"/>
      <c r="AE820" s="42"/>
      <c r="AF820" s="42"/>
      <c r="AG820" s="42"/>
      <c r="AH820" s="42"/>
      <c r="AI820" s="42"/>
      <c r="AJ820" s="42"/>
      <c r="AK820" s="42"/>
      <c r="AO820" s="86"/>
      <c r="AP820" s="87"/>
      <c r="AQ820" s="87"/>
      <c r="AR820" s="88"/>
      <c r="AS820" s="87"/>
      <c r="AT820" s="87"/>
    </row>
    <row r="821" spans="15:46" x14ac:dyDescent="0.25">
      <c r="O821" s="49" t="e">
        <f t="shared" si="76"/>
        <v>#N/A</v>
      </c>
      <c r="P821" s="42"/>
      <c r="Q821" s="42"/>
      <c r="AE821" s="42"/>
      <c r="AF821" s="42"/>
      <c r="AG821" s="42"/>
      <c r="AH821" s="42"/>
      <c r="AI821" s="42"/>
      <c r="AJ821" s="42"/>
      <c r="AK821" s="42"/>
      <c r="AO821" s="86"/>
      <c r="AP821" s="87"/>
      <c r="AQ821" s="87"/>
      <c r="AR821" s="88"/>
      <c r="AS821" s="87"/>
      <c r="AT821" s="87"/>
    </row>
    <row r="822" spans="15:46" x14ac:dyDescent="0.25">
      <c r="O822" s="49" t="e">
        <f t="shared" si="76"/>
        <v>#N/A</v>
      </c>
      <c r="P822" s="42"/>
      <c r="Q822" s="42"/>
      <c r="AE822" s="42"/>
      <c r="AF822" s="42"/>
      <c r="AG822" s="42"/>
      <c r="AH822" s="42"/>
      <c r="AI822" s="42"/>
      <c r="AJ822" s="42"/>
      <c r="AK822" s="42"/>
      <c r="AO822" s="86"/>
      <c r="AP822" s="87"/>
      <c r="AQ822" s="87"/>
      <c r="AR822" s="88"/>
      <c r="AS822" s="87"/>
      <c r="AT822" s="87"/>
    </row>
    <row r="823" spans="15:46" x14ac:dyDescent="0.25">
      <c r="O823" s="49" t="e">
        <f t="shared" si="76"/>
        <v>#N/A</v>
      </c>
      <c r="P823" s="42"/>
      <c r="Q823" s="42"/>
      <c r="AE823" s="42"/>
      <c r="AF823" s="42"/>
      <c r="AG823" s="42"/>
      <c r="AH823" s="42"/>
      <c r="AI823" s="42"/>
      <c r="AJ823" s="42"/>
      <c r="AK823" s="42"/>
      <c r="AO823" s="86"/>
      <c r="AP823" s="87"/>
      <c r="AQ823" s="87"/>
      <c r="AR823" s="88"/>
      <c r="AS823" s="87"/>
      <c r="AT823" s="87"/>
    </row>
    <row r="824" spans="15:46" x14ac:dyDescent="0.25">
      <c r="O824" s="49" t="e">
        <f t="shared" si="76"/>
        <v>#N/A</v>
      </c>
      <c r="P824" s="42"/>
      <c r="Q824" s="42"/>
      <c r="AE824" s="42"/>
      <c r="AF824" s="42"/>
      <c r="AG824" s="42"/>
      <c r="AH824" s="42"/>
      <c r="AI824" s="42"/>
      <c r="AJ824" s="42"/>
      <c r="AK824" s="42"/>
      <c r="AO824" s="86"/>
      <c r="AP824" s="87"/>
      <c r="AQ824" s="87"/>
      <c r="AR824" s="88"/>
      <c r="AS824" s="87"/>
      <c r="AT824" s="87"/>
    </row>
    <row r="825" spans="15:46" x14ac:dyDescent="0.25">
      <c r="O825" s="49" t="e">
        <f t="shared" si="76"/>
        <v>#N/A</v>
      </c>
      <c r="P825" s="42"/>
      <c r="Q825" s="42"/>
      <c r="AE825" s="42"/>
      <c r="AF825" s="42"/>
      <c r="AG825" s="42"/>
      <c r="AH825" s="42"/>
      <c r="AI825" s="42"/>
      <c r="AJ825" s="42"/>
      <c r="AK825" s="42"/>
      <c r="AO825" s="86"/>
      <c r="AP825" s="87"/>
      <c r="AQ825" s="87"/>
      <c r="AR825" s="88"/>
      <c r="AS825" s="87"/>
      <c r="AT825" s="87"/>
    </row>
    <row r="826" spans="15:46" x14ac:dyDescent="0.25">
      <c r="O826" s="49" t="e">
        <f t="shared" si="76"/>
        <v>#N/A</v>
      </c>
      <c r="P826" s="42"/>
      <c r="Q826" s="42"/>
      <c r="AE826" s="42"/>
      <c r="AF826" s="42"/>
      <c r="AG826" s="42"/>
      <c r="AH826" s="42"/>
      <c r="AI826" s="42"/>
      <c r="AJ826" s="42"/>
      <c r="AK826" s="42"/>
      <c r="AO826" s="86"/>
      <c r="AP826" s="87"/>
      <c r="AQ826" s="87"/>
      <c r="AR826" s="88"/>
      <c r="AS826" s="87"/>
      <c r="AT826" s="87"/>
    </row>
    <row r="827" spans="15:46" x14ac:dyDescent="0.25">
      <c r="O827" s="49" t="e">
        <f t="shared" si="76"/>
        <v>#N/A</v>
      </c>
      <c r="P827" s="42"/>
      <c r="Q827" s="42"/>
      <c r="AE827" s="42"/>
      <c r="AF827" s="42"/>
      <c r="AG827" s="42"/>
      <c r="AH827" s="42"/>
      <c r="AI827" s="42"/>
      <c r="AJ827" s="42"/>
      <c r="AK827" s="42"/>
      <c r="AO827" s="86"/>
      <c r="AP827" s="87"/>
      <c r="AQ827" s="87"/>
      <c r="AR827" s="88"/>
      <c r="AS827" s="87"/>
      <c r="AT827" s="87"/>
    </row>
    <row r="828" spans="15:46" x14ac:dyDescent="0.25">
      <c r="O828" s="49" t="e">
        <f t="shared" si="76"/>
        <v>#N/A</v>
      </c>
      <c r="P828" s="42"/>
      <c r="Q828" s="42"/>
      <c r="AE828" s="42"/>
      <c r="AF828" s="42"/>
      <c r="AG828" s="42"/>
      <c r="AH828" s="42"/>
      <c r="AI828" s="42"/>
      <c r="AJ828" s="42"/>
      <c r="AK828" s="42"/>
      <c r="AO828" s="86"/>
      <c r="AP828" s="87"/>
      <c r="AQ828" s="87"/>
      <c r="AR828" s="88"/>
      <c r="AS828" s="87"/>
      <c r="AT828" s="87"/>
    </row>
    <row r="829" spans="15:46" x14ac:dyDescent="0.25">
      <c r="O829" s="49" t="e">
        <f t="shared" si="76"/>
        <v>#N/A</v>
      </c>
      <c r="P829" s="42"/>
      <c r="Q829" s="42"/>
      <c r="AE829" s="42"/>
      <c r="AF829" s="42"/>
      <c r="AG829" s="42"/>
      <c r="AH829" s="42"/>
      <c r="AI829" s="42"/>
      <c r="AJ829" s="42"/>
      <c r="AK829" s="42"/>
      <c r="AO829" s="86"/>
      <c r="AP829" s="87"/>
      <c r="AQ829" s="87"/>
      <c r="AR829" s="88"/>
      <c r="AS829" s="87"/>
      <c r="AT829" s="87"/>
    </row>
    <row r="830" spans="15:46" x14ac:dyDescent="0.25">
      <c r="O830" s="49" t="e">
        <f t="shared" si="76"/>
        <v>#N/A</v>
      </c>
      <c r="P830" s="42"/>
      <c r="Q830" s="42"/>
      <c r="AE830" s="42"/>
      <c r="AF830" s="42"/>
      <c r="AG830" s="42"/>
      <c r="AH830" s="42"/>
      <c r="AI830" s="42"/>
      <c r="AJ830" s="42"/>
      <c r="AK830" s="42"/>
      <c r="AO830" s="86"/>
      <c r="AP830" s="87"/>
      <c r="AQ830" s="87"/>
      <c r="AR830" s="88"/>
      <c r="AS830" s="87"/>
      <c r="AT830" s="87"/>
    </row>
    <row r="831" spans="15:46" x14ac:dyDescent="0.25">
      <c r="O831" s="49" t="e">
        <f t="shared" si="76"/>
        <v>#N/A</v>
      </c>
      <c r="P831" s="42"/>
      <c r="Q831" s="42"/>
      <c r="AE831" s="42"/>
      <c r="AF831" s="42"/>
      <c r="AG831" s="42"/>
      <c r="AH831" s="42"/>
      <c r="AI831" s="42"/>
      <c r="AJ831" s="42"/>
      <c r="AK831" s="42"/>
      <c r="AO831" s="86"/>
      <c r="AP831" s="87"/>
      <c r="AQ831" s="87"/>
      <c r="AR831" s="88"/>
      <c r="AS831" s="87"/>
      <c r="AT831" s="87"/>
    </row>
    <row r="832" spans="15:46" x14ac:dyDescent="0.25">
      <c r="O832" s="49" t="e">
        <f t="shared" si="76"/>
        <v>#N/A</v>
      </c>
      <c r="P832" s="42"/>
      <c r="Q832" s="42"/>
      <c r="AE832" s="42"/>
      <c r="AF832" s="42"/>
      <c r="AG832" s="42"/>
      <c r="AH832" s="42"/>
      <c r="AI832" s="42"/>
      <c r="AJ832" s="42"/>
      <c r="AK832" s="42"/>
      <c r="AO832" s="86"/>
      <c r="AP832" s="87"/>
      <c r="AQ832" s="87"/>
      <c r="AR832" s="88"/>
      <c r="AS832" s="87"/>
      <c r="AT832" s="87"/>
    </row>
    <row r="833" spans="15:46" x14ac:dyDescent="0.25">
      <c r="O833" s="49" t="e">
        <f t="shared" si="76"/>
        <v>#N/A</v>
      </c>
      <c r="P833" s="42"/>
      <c r="Q833" s="42"/>
      <c r="AE833" s="42"/>
      <c r="AF833" s="42"/>
      <c r="AG833" s="42"/>
      <c r="AH833" s="42"/>
      <c r="AI833" s="42"/>
      <c r="AJ833" s="42"/>
      <c r="AK833" s="42"/>
      <c r="AO833" s="86"/>
      <c r="AP833" s="87"/>
      <c r="AQ833" s="87"/>
      <c r="AR833" s="88"/>
      <c r="AS833" s="87"/>
      <c r="AT833" s="87"/>
    </row>
    <row r="834" spans="15:46" x14ac:dyDescent="0.25">
      <c r="O834" s="49" t="e">
        <f t="shared" si="76"/>
        <v>#N/A</v>
      </c>
      <c r="P834" s="42"/>
      <c r="Q834" s="42"/>
      <c r="AE834" s="42"/>
      <c r="AF834" s="42"/>
      <c r="AG834" s="42"/>
      <c r="AH834" s="42"/>
      <c r="AI834" s="42"/>
      <c r="AJ834" s="42"/>
      <c r="AK834" s="42"/>
      <c r="AO834" s="86"/>
      <c r="AP834" s="87"/>
      <c r="AQ834" s="87"/>
      <c r="AR834" s="88"/>
      <c r="AS834" s="87"/>
      <c r="AT834" s="87"/>
    </row>
    <row r="835" spans="15:46" x14ac:dyDescent="0.25">
      <c r="O835" s="49" t="e">
        <f t="shared" si="76"/>
        <v>#N/A</v>
      </c>
      <c r="P835" s="42"/>
      <c r="Q835" s="42"/>
      <c r="AE835" s="42"/>
      <c r="AF835" s="42"/>
      <c r="AG835" s="42"/>
      <c r="AH835" s="42"/>
      <c r="AI835" s="42"/>
      <c r="AJ835" s="42"/>
      <c r="AK835" s="42"/>
      <c r="AO835" s="86"/>
      <c r="AP835" s="87"/>
      <c r="AQ835" s="87"/>
      <c r="AR835" s="88"/>
      <c r="AS835" s="87"/>
      <c r="AT835" s="87"/>
    </row>
    <row r="836" spans="15:46" x14ac:dyDescent="0.25">
      <c r="O836" s="49" t="e">
        <f t="shared" si="76"/>
        <v>#N/A</v>
      </c>
      <c r="P836" s="42"/>
      <c r="Q836" s="42"/>
      <c r="AE836" s="42"/>
      <c r="AF836" s="42"/>
      <c r="AG836" s="42"/>
      <c r="AH836" s="42"/>
      <c r="AI836" s="42"/>
      <c r="AJ836" s="42"/>
      <c r="AK836" s="42"/>
      <c r="AO836" s="86"/>
      <c r="AP836" s="87"/>
      <c r="AQ836" s="87"/>
      <c r="AR836" s="88"/>
      <c r="AS836" s="87"/>
      <c r="AT836" s="87"/>
    </row>
    <row r="837" spans="15:46" x14ac:dyDescent="0.25">
      <c r="O837" s="49" t="e">
        <f t="shared" si="76"/>
        <v>#N/A</v>
      </c>
      <c r="P837" s="42"/>
      <c r="Q837" s="42"/>
      <c r="AE837" s="42"/>
      <c r="AF837" s="42"/>
      <c r="AG837" s="42"/>
      <c r="AH837" s="42"/>
      <c r="AI837" s="42"/>
      <c r="AJ837" s="42"/>
      <c r="AK837" s="42"/>
      <c r="AO837" s="86"/>
      <c r="AP837" s="87"/>
      <c r="AQ837" s="87"/>
      <c r="AR837" s="88"/>
      <c r="AS837" s="87"/>
      <c r="AT837" s="87"/>
    </row>
    <row r="838" spans="15:46" x14ac:dyDescent="0.25">
      <c r="O838" s="49" t="e">
        <f t="shared" si="76"/>
        <v>#N/A</v>
      </c>
      <c r="P838" s="42"/>
      <c r="Q838" s="42"/>
      <c r="AE838" s="42"/>
      <c r="AF838" s="42"/>
      <c r="AG838" s="42"/>
      <c r="AH838" s="42"/>
      <c r="AI838" s="42"/>
      <c r="AJ838" s="42"/>
      <c r="AK838" s="42"/>
      <c r="AO838" s="86"/>
      <c r="AP838" s="87"/>
      <c r="AQ838" s="87"/>
      <c r="AR838" s="88"/>
      <c r="AS838" s="87"/>
      <c r="AT838" s="87"/>
    </row>
    <row r="839" spans="15:46" x14ac:dyDescent="0.25">
      <c r="O839" s="49" t="e">
        <f t="shared" si="76"/>
        <v>#N/A</v>
      </c>
      <c r="P839" s="42"/>
      <c r="Q839" s="42"/>
      <c r="AE839" s="42"/>
      <c r="AF839" s="42"/>
      <c r="AG839" s="42"/>
      <c r="AH839" s="42"/>
      <c r="AI839" s="42"/>
      <c r="AJ839" s="42"/>
      <c r="AK839" s="42"/>
      <c r="AO839" s="86"/>
      <c r="AP839" s="87"/>
      <c r="AQ839" s="87"/>
      <c r="AR839" s="88"/>
      <c r="AS839" s="87"/>
      <c r="AT839" s="87"/>
    </row>
    <row r="840" spans="15:46" x14ac:dyDescent="0.25">
      <c r="O840" s="49" t="e">
        <f t="shared" si="76"/>
        <v>#N/A</v>
      </c>
      <c r="P840" s="42"/>
      <c r="Q840" s="42"/>
      <c r="AE840" s="42"/>
      <c r="AF840" s="42"/>
      <c r="AG840" s="42"/>
      <c r="AH840" s="42"/>
      <c r="AI840" s="42"/>
      <c r="AJ840" s="42"/>
      <c r="AK840" s="42"/>
      <c r="AO840" s="86"/>
      <c r="AP840" s="87"/>
      <c r="AQ840" s="87"/>
      <c r="AR840" s="88"/>
      <c r="AS840" s="87"/>
      <c r="AT840" s="87"/>
    </row>
    <row r="841" spans="15:46" x14ac:dyDescent="0.25">
      <c r="O841" s="49" t="e">
        <f t="shared" si="76"/>
        <v>#N/A</v>
      </c>
      <c r="P841" s="42"/>
      <c r="Q841" s="42"/>
      <c r="AE841" s="42"/>
      <c r="AF841" s="42"/>
      <c r="AG841" s="42"/>
      <c r="AH841" s="42"/>
      <c r="AI841" s="42"/>
      <c r="AJ841" s="42"/>
      <c r="AK841" s="42"/>
      <c r="AO841" s="86"/>
      <c r="AP841" s="87"/>
      <c r="AQ841" s="87"/>
      <c r="AR841" s="88"/>
      <c r="AS841" s="87"/>
      <c r="AT841" s="87"/>
    </row>
    <row r="842" spans="15:46" x14ac:dyDescent="0.25">
      <c r="O842" s="49" t="e">
        <f t="shared" si="76"/>
        <v>#N/A</v>
      </c>
      <c r="P842" s="42"/>
      <c r="Q842" s="42"/>
      <c r="AE842" s="42"/>
      <c r="AF842" s="42"/>
      <c r="AG842" s="42"/>
      <c r="AH842" s="42"/>
      <c r="AI842" s="42"/>
      <c r="AJ842" s="42"/>
      <c r="AK842" s="42"/>
      <c r="AO842" s="86"/>
      <c r="AP842" s="87"/>
      <c r="AQ842" s="87"/>
      <c r="AR842" s="88"/>
      <c r="AS842" s="87"/>
      <c r="AT842" s="87"/>
    </row>
    <row r="843" spans="15:46" x14ac:dyDescent="0.25">
      <c r="O843" s="49" t="e">
        <f t="shared" si="76"/>
        <v>#N/A</v>
      </c>
      <c r="P843" s="42"/>
      <c r="Q843" s="42"/>
      <c r="AE843" s="42"/>
      <c r="AF843" s="42"/>
      <c r="AG843" s="42"/>
      <c r="AH843" s="42"/>
      <c r="AI843" s="42"/>
      <c r="AJ843" s="42"/>
      <c r="AK843" s="42"/>
      <c r="AO843" s="86"/>
      <c r="AP843" s="87"/>
      <c r="AQ843" s="87"/>
      <c r="AR843" s="88"/>
      <c r="AS843" s="87"/>
      <c r="AT843" s="87"/>
    </row>
    <row r="844" spans="15:46" x14ac:dyDescent="0.25">
      <c r="O844" s="49" t="e">
        <f t="shared" si="76"/>
        <v>#N/A</v>
      </c>
      <c r="P844" s="42"/>
      <c r="Q844" s="42"/>
      <c r="AE844" s="42"/>
      <c r="AF844" s="42"/>
      <c r="AG844" s="42"/>
      <c r="AH844" s="42"/>
      <c r="AI844" s="42"/>
      <c r="AJ844" s="42"/>
      <c r="AK844" s="42"/>
      <c r="AO844" s="86"/>
      <c r="AP844" s="87"/>
      <c r="AQ844" s="87"/>
      <c r="AR844" s="88"/>
      <c r="AS844" s="87"/>
      <c r="AT844" s="87"/>
    </row>
    <row r="845" spans="15:46" x14ac:dyDescent="0.25">
      <c r="O845" s="49" t="e">
        <f t="shared" si="76"/>
        <v>#N/A</v>
      </c>
      <c r="P845" s="42"/>
      <c r="Q845" s="42"/>
      <c r="AE845" s="42"/>
      <c r="AF845" s="42"/>
      <c r="AG845" s="42"/>
      <c r="AH845" s="42"/>
      <c r="AI845" s="42"/>
      <c r="AJ845" s="42"/>
      <c r="AK845" s="42"/>
      <c r="AO845" s="86"/>
      <c r="AP845" s="87"/>
      <c r="AQ845" s="87"/>
      <c r="AR845" s="88"/>
      <c r="AS845" s="87"/>
      <c r="AT845" s="87"/>
    </row>
    <row r="846" spans="15:46" x14ac:dyDescent="0.25">
      <c r="O846" s="49" t="e">
        <f t="shared" si="76"/>
        <v>#N/A</v>
      </c>
      <c r="P846" s="42"/>
      <c r="Q846" s="42"/>
      <c r="AE846" s="42"/>
      <c r="AF846" s="42"/>
      <c r="AG846" s="42"/>
      <c r="AH846" s="42"/>
      <c r="AI846" s="42"/>
      <c r="AJ846" s="42"/>
      <c r="AK846" s="42"/>
      <c r="AO846" s="86"/>
      <c r="AP846" s="87"/>
      <c r="AQ846" s="87"/>
      <c r="AR846" s="88"/>
      <c r="AS846" s="87"/>
      <c r="AT846" s="87"/>
    </row>
    <row r="847" spans="15:46" x14ac:dyDescent="0.25">
      <c r="O847" s="49" t="e">
        <f t="shared" si="76"/>
        <v>#N/A</v>
      </c>
      <c r="P847" s="42"/>
      <c r="Q847" s="42"/>
      <c r="AE847" s="42"/>
      <c r="AF847" s="42"/>
      <c r="AG847" s="42"/>
      <c r="AH847" s="42"/>
      <c r="AI847" s="42"/>
      <c r="AJ847" s="42"/>
      <c r="AK847" s="42"/>
      <c r="AO847" s="86"/>
      <c r="AP847" s="87"/>
      <c r="AQ847" s="87"/>
      <c r="AR847" s="88"/>
      <c r="AS847" s="87"/>
      <c r="AT847" s="87"/>
    </row>
    <row r="848" spans="15:46" x14ac:dyDescent="0.25">
      <c r="O848" s="49" t="e">
        <f t="shared" si="76"/>
        <v>#N/A</v>
      </c>
      <c r="P848" s="42"/>
      <c r="Q848" s="42"/>
      <c r="AE848" s="42"/>
      <c r="AF848" s="42"/>
      <c r="AG848" s="42"/>
      <c r="AH848" s="42"/>
      <c r="AI848" s="42"/>
      <c r="AJ848" s="42"/>
      <c r="AK848" s="42"/>
      <c r="AO848" s="86"/>
      <c r="AP848" s="87"/>
      <c r="AQ848" s="87"/>
      <c r="AR848" s="88"/>
      <c r="AS848" s="87"/>
      <c r="AT848" s="87"/>
    </row>
    <row r="849" spans="15:46" x14ac:dyDescent="0.25">
      <c r="O849" s="49" t="e">
        <f t="shared" si="76"/>
        <v>#N/A</v>
      </c>
      <c r="P849" s="42"/>
      <c r="Q849" s="42"/>
      <c r="AE849" s="42"/>
      <c r="AF849" s="42"/>
      <c r="AG849" s="42"/>
      <c r="AH849" s="42"/>
      <c r="AI849" s="42"/>
      <c r="AJ849" s="42"/>
      <c r="AK849" s="42"/>
      <c r="AO849" s="86"/>
      <c r="AP849" s="87"/>
      <c r="AQ849" s="87"/>
      <c r="AR849" s="88"/>
      <c r="AS849" s="87"/>
      <c r="AT849" s="87"/>
    </row>
    <row r="850" spans="15:46" x14ac:dyDescent="0.25">
      <c r="O850" s="49" t="e">
        <f t="shared" si="76"/>
        <v>#N/A</v>
      </c>
      <c r="P850" s="42"/>
      <c r="Q850" s="42"/>
      <c r="AE850" s="42"/>
      <c r="AF850" s="42"/>
      <c r="AG850" s="42"/>
      <c r="AH850" s="42"/>
      <c r="AI850" s="42"/>
      <c r="AJ850" s="42"/>
      <c r="AK850" s="42"/>
      <c r="AO850" s="86"/>
      <c r="AP850" s="87"/>
      <c r="AQ850" s="87"/>
      <c r="AR850" s="88"/>
      <c r="AS850" s="87"/>
      <c r="AT850" s="87"/>
    </row>
    <row r="851" spans="15:46" x14ac:dyDescent="0.25">
      <c r="O851" s="49" t="e">
        <f t="shared" si="76"/>
        <v>#N/A</v>
      </c>
      <c r="P851" s="42"/>
      <c r="Q851" s="42"/>
      <c r="AE851" s="42"/>
      <c r="AF851" s="42"/>
      <c r="AG851" s="42"/>
      <c r="AH851" s="42"/>
      <c r="AI851" s="42"/>
      <c r="AJ851" s="42"/>
      <c r="AK851" s="42"/>
      <c r="AO851" s="86"/>
      <c r="AP851" s="87"/>
      <c r="AQ851" s="87"/>
      <c r="AR851" s="88"/>
      <c r="AS851" s="87"/>
      <c r="AT851" s="87"/>
    </row>
    <row r="852" spans="15:46" x14ac:dyDescent="0.25">
      <c r="O852" s="49" t="e">
        <f t="shared" si="76"/>
        <v>#N/A</v>
      </c>
      <c r="P852" s="42"/>
      <c r="Q852" s="42"/>
      <c r="AE852" s="42"/>
      <c r="AF852" s="42"/>
      <c r="AG852" s="42"/>
      <c r="AH852" s="42"/>
      <c r="AI852" s="42"/>
      <c r="AJ852" s="42"/>
      <c r="AK852" s="42"/>
      <c r="AO852" s="86"/>
      <c r="AP852" s="87"/>
      <c r="AQ852" s="87"/>
      <c r="AR852" s="88"/>
      <c r="AS852" s="87"/>
      <c r="AT852" s="87"/>
    </row>
    <row r="853" spans="15:46" x14ac:dyDescent="0.25">
      <c r="O853" s="49" t="e">
        <f t="shared" si="76"/>
        <v>#N/A</v>
      </c>
      <c r="P853" s="42"/>
      <c r="Q853" s="42"/>
      <c r="AE853" s="42"/>
      <c r="AF853" s="42"/>
      <c r="AG853" s="42"/>
      <c r="AH853" s="42"/>
      <c r="AI853" s="42"/>
      <c r="AJ853" s="42"/>
      <c r="AK853" s="42"/>
      <c r="AO853" s="86"/>
      <c r="AP853" s="87"/>
      <c r="AQ853" s="87"/>
      <c r="AR853" s="88"/>
      <c r="AS853" s="87"/>
      <c r="AT853" s="87"/>
    </row>
    <row r="854" spans="15:46" x14ac:dyDescent="0.25">
      <c r="O854" s="49" t="e">
        <f t="shared" si="76"/>
        <v>#N/A</v>
      </c>
      <c r="P854" s="42"/>
      <c r="Q854" s="42"/>
      <c r="AE854" s="42"/>
      <c r="AF854" s="42"/>
      <c r="AG854" s="42"/>
      <c r="AH854" s="42"/>
      <c r="AI854" s="42"/>
      <c r="AJ854" s="42"/>
      <c r="AK854" s="42"/>
      <c r="AO854" s="86"/>
      <c r="AP854" s="87"/>
      <c r="AQ854" s="87"/>
      <c r="AR854" s="88"/>
      <c r="AS854" s="87"/>
      <c r="AT854" s="87"/>
    </row>
    <row r="855" spans="15:46" x14ac:dyDescent="0.25">
      <c r="O855" s="49" t="e">
        <f t="shared" ref="O855:O918" si="77">IF(ISTEXT(N855),IF(MID(N855,11,2)="24",1+DATEVALUE(LEFT(N855,10))+TIMEVALUE(CONCATENATE(MID(N855,11,2),":",MID(N855,13,2))),DATEVALUE(LEFT(N855,10))+TIMEVALUE(CONCATENATE(MID(N855,11,2),":",MID(N855,13,2)))),#N/A)</f>
        <v>#N/A</v>
      </c>
      <c r="P855" s="42"/>
      <c r="Q855" s="42"/>
      <c r="AE855" s="42"/>
      <c r="AF855" s="42"/>
      <c r="AG855" s="42"/>
      <c r="AH855" s="42"/>
      <c r="AI855" s="42"/>
      <c r="AJ855" s="42"/>
      <c r="AK855" s="42"/>
      <c r="AO855" s="86"/>
      <c r="AP855" s="87"/>
      <c r="AQ855" s="87"/>
      <c r="AR855" s="88"/>
      <c r="AS855" s="87"/>
      <c r="AT855" s="87"/>
    </row>
    <row r="856" spans="15:46" x14ac:dyDescent="0.25">
      <c r="O856" s="49" t="e">
        <f t="shared" si="77"/>
        <v>#N/A</v>
      </c>
      <c r="P856" s="42"/>
      <c r="Q856" s="42"/>
      <c r="AE856" s="42"/>
      <c r="AF856" s="42"/>
      <c r="AG856" s="42"/>
      <c r="AH856" s="42"/>
      <c r="AI856" s="42"/>
      <c r="AJ856" s="42"/>
      <c r="AK856" s="42"/>
      <c r="AO856" s="86"/>
      <c r="AP856" s="87"/>
      <c r="AQ856" s="87"/>
      <c r="AR856" s="88"/>
      <c r="AS856" s="87"/>
      <c r="AT856" s="87"/>
    </row>
    <row r="857" spans="15:46" x14ac:dyDescent="0.25">
      <c r="O857" s="49" t="e">
        <f t="shared" si="77"/>
        <v>#N/A</v>
      </c>
      <c r="P857" s="42"/>
      <c r="Q857" s="42"/>
      <c r="AE857" s="42"/>
      <c r="AF857" s="42"/>
      <c r="AG857" s="42"/>
      <c r="AH857" s="42"/>
      <c r="AI857" s="42"/>
      <c r="AJ857" s="42"/>
      <c r="AK857" s="42"/>
      <c r="AO857" s="86"/>
      <c r="AP857" s="87"/>
      <c r="AQ857" s="87"/>
      <c r="AR857" s="88"/>
      <c r="AS857" s="87"/>
      <c r="AT857" s="87"/>
    </row>
    <row r="858" spans="15:46" x14ac:dyDescent="0.25">
      <c r="O858" s="49" t="e">
        <f t="shared" si="77"/>
        <v>#N/A</v>
      </c>
      <c r="P858" s="42"/>
      <c r="Q858" s="42"/>
      <c r="AE858" s="42"/>
      <c r="AF858" s="42"/>
      <c r="AG858" s="42"/>
      <c r="AH858" s="42"/>
      <c r="AI858" s="42"/>
      <c r="AJ858" s="42"/>
      <c r="AK858" s="42"/>
      <c r="AO858" s="86"/>
      <c r="AP858" s="87"/>
      <c r="AQ858" s="87"/>
      <c r="AR858" s="88"/>
      <c r="AS858" s="87"/>
      <c r="AT858" s="87"/>
    </row>
    <row r="859" spans="15:46" x14ac:dyDescent="0.25">
      <c r="O859" s="49" t="e">
        <f t="shared" si="77"/>
        <v>#N/A</v>
      </c>
      <c r="P859" s="42"/>
      <c r="Q859" s="42"/>
      <c r="AE859" s="42"/>
      <c r="AF859" s="42"/>
      <c r="AG859" s="42"/>
      <c r="AH859" s="42"/>
      <c r="AI859" s="42"/>
      <c r="AJ859" s="42"/>
      <c r="AK859" s="42"/>
      <c r="AO859" s="86"/>
      <c r="AP859" s="87"/>
      <c r="AQ859" s="87"/>
      <c r="AR859" s="88"/>
      <c r="AS859" s="87"/>
      <c r="AT859" s="87"/>
    </row>
    <row r="860" spans="15:46" x14ac:dyDescent="0.25">
      <c r="O860" s="49" t="e">
        <f t="shared" si="77"/>
        <v>#N/A</v>
      </c>
      <c r="P860" s="42"/>
      <c r="Q860" s="42"/>
      <c r="AE860" s="42"/>
      <c r="AF860" s="42"/>
      <c r="AG860" s="42"/>
      <c r="AH860" s="42"/>
      <c r="AI860" s="42"/>
      <c r="AJ860" s="42"/>
      <c r="AK860" s="42"/>
      <c r="AO860" s="86"/>
      <c r="AP860" s="87"/>
      <c r="AQ860" s="87"/>
      <c r="AR860" s="88"/>
      <c r="AS860" s="87"/>
      <c r="AT860" s="87"/>
    </row>
    <row r="861" spans="15:46" x14ac:dyDescent="0.25">
      <c r="O861" s="49" t="e">
        <f t="shared" si="77"/>
        <v>#N/A</v>
      </c>
      <c r="P861" s="42"/>
      <c r="Q861" s="42"/>
      <c r="AE861" s="42"/>
      <c r="AF861" s="42"/>
      <c r="AG861" s="42"/>
      <c r="AH861" s="42"/>
      <c r="AI861" s="42"/>
      <c r="AJ861" s="42"/>
      <c r="AK861" s="42"/>
      <c r="AO861" s="86"/>
      <c r="AP861" s="87"/>
      <c r="AQ861" s="87"/>
      <c r="AR861" s="88"/>
      <c r="AS861" s="87"/>
      <c r="AT861" s="87"/>
    </row>
    <row r="862" spans="15:46" x14ac:dyDescent="0.25">
      <c r="O862" s="49" t="e">
        <f t="shared" si="77"/>
        <v>#N/A</v>
      </c>
      <c r="P862" s="42"/>
      <c r="Q862" s="42"/>
      <c r="AE862" s="42"/>
      <c r="AF862" s="42"/>
      <c r="AG862" s="42"/>
      <c r="AH862" s="42"/>
      <c r="AI862" s="42"/>
      <c r="AJ862" s="42"/>
      <c r="AK862" s="42"/>
      <c r="AO862" s="86"/>
      <c r="AP862" s="87"/>
      <c r="AQ862" s="87"/>
      <c r="AR862" s="88"/>
      <c r="AS862" s="87"/>
      <c r="AT862" s="87"/>
    </row>
    <row r="863" spans="15:46" x14ac:dyDescent="0.25">
      <c r="O863" s="49" t="e">
        <f t="shared" si="77"/>
        <v>#N/A</v>
      </c>
      <c r="P863" s="42"/>
      <c r="Q863" s="42"/>
      <c r="AE863" s="42"/>
      <c r="AF863" s="42"/>
      <c r="AG863" s="42"/>
      <c r="AH863" s="42"/>
      <c r="AI863" s="42"/>
      <c r="AJ863" s="42"/>
      <c r="AK863" s="42"/>
      <c r="AO863" s="86"/>
      <c r="AP863" s="87"/>
      <c r="AQ863" s="87"/>
      <c r="AR863" s="88"/>
      <c r="AS863" s="87"/>
      <c r="AT863" s="87"/>
    </row>
    <row r="864" spans="15:46" x14ac:dyDescent="0.25">
      <c r="O864" s="49" t="e">
        <f t="shared" si="77"/>
        <v>#N/A</v>
      </c>
      <c r="P864" s="42"/>
      <c r="Q864" s="42"/>
      <c r="AE864" s="42"/>
      <c r="AF864" s="42"/>
      <c r="AG864" s="42"/>
      <c r="AH864" s="42"/>
      <c r="AI864" s="42"/>
      <c r="AJ864" s="42"/>
      <c r="AK864" s="42"/>
      <c r="AO864" s="86"/>
      <c r="AP864" s="87"/>
      <c r="AQ864" s="87"/>
      <c r="AR864" s="88"/>
      <c r="AS864" s="87"/>
      <c r="AT864" s="87"/>
    </row>
    <row r="865" spans="15:46" x14ac:dyDescent="0.25">
      <c r="O865" s="49" t="e">
        <f t="shared" si="77"/>
        <v>#N/A</v>
      </c>
      <c r="P865" s="42"/>
      <c r="Q865" s="42"/>
      <c r="AE865" s="42"/>
      <c r="AF865" s="42"/>
      <c r="AG865" s="42"/>
      <c r="AH865" s="42"/>
      <c r="AI865" s="42"/>
      <c r="AJ865" s="42"/>
      <c r="AK865" s="42"/>
      <c r="AO865" s="86"/>
      <c r="AP865" s="87"/>
      <c r="AQ865" s="87"/>
      <c r="AR865" s="88"/>
      <c r="AS865" s="87"/>
      <c r="AT865" s="87"/>
    </row>
    <row r="866" spans="15:46" x14ac:dyDescent="0.25">
      <c r="O866" s="49" t="e">
        <f t="shared" si="77"/>
        <v>#N/A</v>
      </c>
      <c r="P866" s="42"/>
      <c r="Q866" s="42"/>
      <c r="AE866" s="42"/>
      <c r="AF866" s="42"/>
      <c r="AG866" s="42"/>
      <c r="AH866" s="42"/>
      <c r="AI866" s="42"/>
      <c r="AJ866" s="42"/>
      <c r="AK866" s="42"/>
      <c r="AO866" s="86"/>
      <c r="AP866" s="87"/>
      <c r="AQ866" s="87"/>
      <c r="AR866" s="88"/>
      <c r="AS866" s="87"/>
      <c r="AT866" s="87"/>
    </row>
    <row r="867" spans="15:46" x14ac:dyDescent="0.25">
      <c r="O867" s="49" t="e">
        <f t="shared" si="77"/>
        <v>#N/A</v>
      </c>
      <c r="P867" s="42"/>
      <c r="Q867" s="42"/>
      <c r="AE867" s="42"/>
      <c r="AF867" s="42"/>
      <c r="AG867" s="42"/>
      <c r="AH867" s="42"/>
      <c r="AI867" s="42"/>
      <c r="AJ867" s="42"/>
      <c r="AK867" s="42"/>
      <c r="AO867" s="86"/>
      <c r="AP867" s="87"/>
      <c r="AQ867" s="87"/>
      <c r="AR867" s="88"/>
      <c r="AS867" s="87"/>
      <c r="AT867" s="87"/>
    </row>
    <row r="868" spans="15:46" x14ac:dyDescent="0.25">
      <c r="O868" s="49" t="e">
        <f t="shared" si="77"/>
        <v>#N/A</v>
      </c>
      <c r="P868" s="42"/>
      <c r="Q868" s="42"/>
      <c r="AE868" s="42"/>
      <c r="AF868" s="42"/>
      <c r="AG868" s="42"/>
      <c r="AH868" s="42"/>
      <c r="AI868" s="42"/>
      <c r="AJ868" s="42"/>
      <c r="AK868" s="42"/>
      <c r="AO868" s="86"/>
      <c r="AP868" s="87"/>
      <c r="AQ868" s="87"/>
      <c r="AR868" s="88"/>
      <c r="AS868" s="87"/>
      <c r="AT868" s="87"/>
    </row>
    <row r="869" spans="15:46" x14ac:dyDescent="0.25">
      <c r="O869" s="49" t="e">
        <f t="shared" si="77"/>
        <v>#N/A</v>
      </c>
      <c r="P869" s="42"/>
      <c r="Q869" s="42"/>
      <c r="AE869" s="42"/>
      <c r="AF869" s="42"/>
      <c r="AG869" s="42"/>
      <c r="AH869" s="42"/>
      <c r="AI869" s="42"/>
      <c r="AJ869" s="42"/>
      <c r="AK869" s="42"/>
      <c r="AO869" s="86"/>
      <c r="AP869" s="87"/>
      <c r="AQ869" s="87"/>
      <c r="AR869" s="88"/>
      <c r="AS869" s="87"/>
      <c r="AT869" s="87"/>
    </row>
    <row r="870" spans="15:46" x14ac:dyDescent="0.25">
      <c r="O870" s="49" t="e">
        <f t="shared" si="77"/>
        <v>#N/A</v>
      </c>
      <c r="P870" s="42"/>
      <c r="Q870" s="42"/>
      <c r="AE870" s="42"/>
      <c r="AF870" s="42"/>
      <c r="AG870" s="42"/>
      <c r="AH870" s="42"/>
      <c r="AI870" s="42"/>
      <c r="AJ870" s="42"/>
      <c r="AK870" s="42"/>
      <c r="AO870" s="86"/>
      <c r="AP870" s="87"/>
      <c r="AQ870" s="87"/>
      <c r="AR870" s="88"/>
      <c r="AS870" s="87"/>
      <c r="AT870" s="87"/>
    </row>
    <row r="871" spans="15:46" x14ac:dyDescent="0.25">
      <c r="O871" s="49" t="e">
        <f t="shared" si="77"/>
        <v>#N/A</v>
      </c>
      <c r="P871" s="42"/>
      <c r="Q871" s="42"/>
      <c r="AE871" s="42"/>
      <c r="AF871" s="42"/>
      <c r="AG871" s="42"/>
      <c r="AH871" s="42"/>
      <c r="AI871" s="42"/>
      <c r="AJ871" s="42"/>
      <c r="AK871" s="42"/>
      <c r="AO871" s="86"/>
      <c r="AP871" s="87"/>
      <c r="AQ871" s="87"/>
      <c r="AR871" s="88"/>
      <c r="AS871" s="87"/>
      <c r="AT871" s="87"/>
    </row>
    <row r="872" spans="15:46" x14ac:dyDescent="0.25">
      <c r="O872" s="49" t="e">
        <f t="shared" si="77"/>
        <v>#N/A</v>
      </c>
      <c r="P872" s="42"/>
      <c r="Q872" s="42"/>
      <c r="AE872" s="42"/>
      <c r="AF872" s="42"/>
      <c r="AG872" s="42"/>
      <c r="AH872" s="42"/>
      <c r="AI872" s="42"/>
      <c r="AJ872" s="42"/>
      <c r="AK872" s="42"/>
      <c r="AO872" s="86"/>
      <c r="AP872" s="87"/>
      <c r="AQ872" s="87"/>
      <c r="AR872" s="88"/>
      <c r="AS872" s="87"/>
      <c r="AT872" s="87"/>
    </row>
    <row r="873" spans="15:46" x14ac:dyDescent="0.25">
      <c r="O873" s="49" t="e">
        <f t="shared" si="77"/>
        <v>#N/A</v>
      </c>
      <c r="P873" s="42"/>
      <c r="Q873" s="42"/>
      <c r="AE873" s="42"/>
      <c r="AF873" s="42"/>
      <c r="AG873" s="42"/>
      <c r="AH873" s="42"/>
      <c r="AI873" s="42"/>
      <c r="AJ873" s="42"/>
      <c r="AK873" s="42"/>
      <c r="AO873" s="86"/>
      <c r="AP873" s="87"/>
      <c r="AQ873" s="87"/>
      <c r="AR873" s="88"/>
      <c r="AS873" s="87"/>
      <c r="AT873" s="87"/>
    </row>
    <row r="874" spans="15:46" x14ac:dyDescent="0.25">
      <c r="O874" s="49" t="e">
        <f t="shared" si="77"/>
        <v>#N/A</v>
      </c>
      <c r="P874" s="42"/>
      <c r="Q874" s="42"/>
      <c r="AE874" s="42"/>
      <c r="AF874" s="42"/>
      <c r="AG874" s="42"/>
      <c r="AH874" s="42"/>
      <c r="AI874" s="42"/>
      <c r="AJ874" s="42"/>
      <c r="AK874" s="42"/>
      <c r="AO874" s="86"/>
      <c r="AP874" s="87"/>
      <c r="AQ874" s="87"/>
      <c r="AR874" s="88"/>
      <c r="AS874" s="87"/>
      <c r="AT874" s="87"/>
    </row>
    <row r="875" spans="15:46" x14ac:dyDescent="0.25">
      <c r="O875" s="49" t="e">
        <f t="shared" si="77"/>
        <v>#N/A</v>
      </c>
      <c r="P875" s="42"/>
      <c r="Q875" s="42"/>
      <c r="AE875" s="42"/>
      <c r="AF875" s="42"/>
      <c r="AG875" s="42"/>
      <c r="AH875" s="42"/>
      <c r="AI875" s="42"/>
      <c r="AJ875" s="42"/>
      <c r="AK875" s="42"/>
      <c r="AO875" s="86"/>
      <c r="AP875" s="87"/>
      <c r="AQ875" s="87"/>
      <c r="AR875" s="88"/>
      <c r="AS875" s="87"/>
      <c r="AT875" s="87"/>
    </row>
    <row r="876" spans="15:46" x14ac:dyDescent="0.25">
      <c r="O876" s="49" t="e">
        <f t="shared" si="77"/>
        <v>#N/A</v>
      </c>
      <c r="P876" s="42"/>
      <c r="Q876" s="42"/>
      <c r="AE876" s="42"/>
      <c r="AF876" s="42"/>
      <c r="AG876" s="42"/>
      <c r="AH876" s="42"/>
      <c r="AI876" s="42"/>
      <c r="AJ876" s="42"/>
      <c r="AK876" s="42"/>
      <c r="AO876" s="86"/>
      <c r="AP876" s="87"/>
      <c r="AQ876" s="87"/>
      <c r="AR876" s="88"/>
      <c r="AS876" s="87"/>
      <c r="AT876" s="87"/>
    </row>
    <row r="877" spans="15:46" x14ac:dyDescent="0.25">
      <c r="O877" s="49" t="e">
        <f t="shared" si="77"/>
        <v>#N/A</v>
      </c>
      <c r="P877" s="42"/>
      <c r="Q877" s="42"/>
      <c r="AE877" s="42"/>
      <c r="AF877" s="42"/>
      <c r="AG877" s="42"/>
      <c r="AH877" s="42"/>
      <c r="AI877" s="42"/>
      <c r="AJ877" s="42"/>
      <c r="AK877" s="42"/>
      <c r="AO877" s="86"/>
      <c r="AP877" s="87"/>
      <c r="AQ877" s="87"/>
      <c r="AR877" s="88"/>
      <c r="AS877" s="87"/>
      <c r="AT877" s="87"/>
    </row>
    <row r="878" spans="15:46" x14ac:dyDescent="0.25">
      <c r="O878" s="49" t="e">
        <f t="shared" si="77"/>
        <v>#N/A</v>
      </c>
      <c r="P878" s="42"/>
      <c r="Q878" s="42"/>
      <c r="AE878" s="42"/>
      <c r="AF878" s="42"/>
      <c r="AG878" s="42"/>
      <c r="AH878" s="42"/>
      <c r="AI878" s="42"/>
      <c r="AJ878" s="42"/>
      <c r="AK878" s="42"/>
      <c r="AO878" s="86"/>
      <c r="AP878" s="87"/>
      <c r="AQ878" s="87"/>
      <c r="AR878" s="88"/>
      <c r="AS878" s="87"/>
      <c r="AT878" s="87"/>
    </row>
    <row r="879" spans="15:46" x14ac:dyDescent="0.25">
      <c r="O879" s="49" t="e">
        <f t="shared" si="77"/>
        <v>#N/A</v>
      </c>
      <c r="P879" s="42"/>
      <c r="Q879" s="42"/>
      <c r="AE879" s="42"/>
      <c r="AF879" s="42"/>
      <c r="AG879" s="42"/>
      <c r="AH879" s="42"/>
      <c r="AI879" s="42"/>
      <c r="AJ879" s="42"/>
      <c r="AK879" s="42"/>
      <c r="AO879" s="86"/>
      <c r="AP879" s="87"/>
      <c r="AQ879" s="87"/>
      <c r="AR879" s="88"/>
      <c r="AS879" s="87"/>
      <c r="AT879" s="87"/>
    </row>
    <row r="880" spans="15:46" x14ac:dyDescent="0.25">
      <c r="O880" s="49" t="e">
        <f t="shared" si="77"/>
        <v>#N/A</v>
      </c>
      <c r="P880" s="42"/>
      <c r="Q880" s="42"/>
      <c r="AE880" s="42"/>
      <c r="AF880" s="42"/>
      <c r="AG880" s="42"/>
      <c r="AH880" s="42"/>
      <c r="AI880" s="42"/>
      <c r="AJ880" s="42"/>
      <c r="AK880" s="42"/>
      <c r="AO880" s="86"/>
      <c r="AP880" s="87"/>
      <c r="AQ880" s="87"/>
      <c r="AR880" s="88"/>
      <c r="AS880" s="87"/>
      <c r="AT880" s="87"/>
    </row>
    <row r="881" spans="15:46" x14ac:dyDescent="0.25">
      <c r="O881" s="49" t="e">
        <f t="shared" si="77"/>
        <v>#N/A</v>
      </c>
      <c r="P881" s="42"/>
      <c r="Q881" s="42"/>
      <c r="AE881" s="42"/>
      <c r="AF881" s="42"/>
      <c r="AG881" s="42"/>
      <c r="AH881" s="42"/>
      <c r="AI881" s="42"/>
      <c r="AJ881" s="42"/>
      <c r="AK881" s="42"/>
      <c r="AO881" s="86"/>
      <c r="AP881" s="87"/>
      <c r="AQ881" s="87"/>
      <c r="AR881" s="88"/>
      <c r="AS881" s="87"/>
      <c r="AT881" s="87"/>
    </row>
    <row r="882" spans="15:46" x14ac:dyDescent="0.25">
      <c r="O882" s="49" t="e">
        <f t="shared" si="77"/>
        <v>#N/A</v>
      </c>
      <c r="P882" s="42"/>
      <c r="Q882" s="42"/>
      <c r="AE882" s="42"/>
      <c r="AF882" s="42"/>
      <c r="AG882" s="42"/>
      <c r="AH882" s="42"/>
      <c r="AI882" s="42"/>
      <c r="AJ882" s="42"/>
      <c r="AK882" s="42"/>
      <c r="AO882" s="86"/>
      <c r="AP882" s="87"/>
      <c r="AQ882" s="87"/>
      <c r="AR882" s="88"/>
      <c r="AS882" s="87"/>
      <c r="AT882" s="87"/>
    </row>
    <row r="883" spans="15:46" x14ac:dyDescent="0.25">
      <c r="O883" s="49" t="e">
        <f t="shared" si="77"/>
        <v>#N/A</v>
      </c>
      <c r="P883" s="42"/>
      <c r="Q883" s="42"/>
      <c r="AE883" s="42"/>
      <c r="AF883" s="42"/>
      <c r="AG883" s="42"/>
      <c r="AH883" s="42"/>
      <c r="AI883" s="42"/>
      <c r="AJ883" s="42"/>
      <c r="AK883" s="42"/>
      <c r="AO883" s="86"/>
      <c r="AP883" s="87"/>
      <c r="AQ883" s="87"/>
      <c r="AR883" s="88"/>
      <c r="AS883" s="87"/>
      <c r="AT883" s="87"/>
    </row>
    <row r="884" spans="15:46" x14ac:dyDescent="0.25">
      <c r="O884" s="49" t="e">
        <f t="shared" si="77"/>
        <v>#N/A</v>
      </c>
      <c r="P884" s="42"/>
      <c r="Q884" s="42"/>
      <c r="AE884" s="42"/>
      <c r="AF884" s="42"/>
      <c r="AG884" s="42"/>
      <c r="AH884" s="42"/>
      <c r="AI884" s="42"/>
      <c r="AJ884" s="42"/>
      <c r="AK884" s="42"/>
      <c r="AO884" s="86"/>
      <c r="AP884" s="87"/>
      <c r="AQ884" s="87"/>
      <c r="AR884" s="88"/>
      <c r="AS884" s="87"/>
      <c r="AT884" s="87"/>
    </row>
    <row r="885" spans="15:46" x14ac:dyDescent="0.25">
      <c r="O885" s="49" t="e">
        <f t="shared" si="77"/>
        <v>#N/A</v>
      </c>
      <c r="P885" s="42"/>
      <c r="Q885" s="42"/>
      <c r="AE885" s="42"/>
      <c r="AF885" s="42"/>
      <c r="AG885" s="42"/>
      <c r="AH885" s="42"/>
      <c r="AI885" s="42"/>
      <c r="AJ885" s="42"/>
      <c r="AK885" s="42"/>
      <c r="AO885" s="86"/>
      <c r="AP885" s="87"/>
      <c r="AQ885" s="87"/>
      <c r="AR885" s="88"/>
      <c r="AS885" s="87"/>
      <c r="AT885" s="87"/>
    </row>
    <row r="886" spans="15:46" x14ac:dyDescent="0.25">
      <c r="O886" s="49" t="e">
        <f t="shared" si="77"/>
        <v>#N/A</v>
      </c>
      <c r="P886" s="42"/>
      <c r="Q886" s="42"/>
      <c r="AE886" s="42"/>
      <c r="AF886" s="42"/>
      <c r="AG886" s="42"/>
      <c r="AH886" s="42"/>
      <c r="AI886" s="42"/>
      <c r="AJ886" s="42"/>
      <c r="AK886" s="42"/>
      <c r="AO886" s="86"/>
      <c r="AP886" s="87"/>
      <c r="AQ886" s="87"/>
      <c r="AR886" s="88"/>
      <c r="AS886" s="87"/>
      <c r="AT886" s="87"/>
    </row>
    <row r="887" spans="15:46" x14ac:dyDescent="0.25">
      <c r="O887" s="49" t="e">
        <f t="shared" si="77"/>
        <v>#N/A</v>
      </c>
      <c r="P887" s="42"/>
      <c r="Q887" s="42"/>
      <c r="AE887" s="42"/>
      <c r="AF887" s="42"/>
      <c r="AG887" s="42"/>
      <c r="AH887" s="42"/>
      <c r="AI887" s="42"/>
      <c r="AJ887" s="42"/>
      <c r="AK887" s="42"/>
      <c r="AO887" s="86"/>
      <c r="AP887" s="87"/>
      <c r="AQ887" s="87"/>
      <c r="AR887" s="88"/>
      <c r="AS887" s="87"/>
      <c r="AT887" s="87"/>
    </row>
    <row r="888" spans="15:46" x14ac:dyDescent="0.25">
      <c r="O888" s="49" t="e">
        <f t="shared" si="77"/>
        <v>#N/A</v>
      </c>
      <c r="P888" s="42"/>
      <c r="Q888" s="42"/>
      <c r="AE888" s="42"/>
      <c r="AF888" s="42"/>
      <c r="AG888" s="42"/>
      <c r="AH888" s="42"/>
      <c r="AI888" s="42"/>
      <c r="AJ888" s="42"/>
      <c r="AK888" s="42"/>
      <c r="AO888" s="86"/>
      <c r="AP888" s="87"/>
      <c r="AQ888" s="87"/>
      <c r="AR888" s="88"/>
      <c r="AS888" s="87"/>
      <c r="AT888" s="87"/>
    </row>
    <row r="889" spans="15:46" x14ac:dyDescent="0.25">
      <c r="O889" s="49" t="e">
        <f t="shared" si="77"/>
        <v>#N/A</v>
      </c>
      <c r="P889" s="42"/>
      <c r="Q889" s="42"/>
      <c r="AE889" s="42"/>
      <c r="AF889" s="42"/>
      <c r="AG889" s="42"/>
      <c r="AH889" s="42"/>
      <c r="AI889" s="42"/>
      <c r="AJ889" s="42"/>
      <c r="AK889" s="42"/>
      <c r="AO889" s="86"/>
      <c r="AP889" s="87"/>
      <c r="AQ889" s="87"/>
      <c r="AR889" s="88"/>
      <c r="AS889" s="87"/>
      <c r="AT889" s="87"/>
    </row>
    <row r="890" spans="15:46" x14ac:dyDescent="0.25">
      <c r="O890" s="49" t="e">
        <f t="shared" si="77"/>
        <v>#N/A</v>
      </c>
      <c r="P890" s="42"/>
      <c r="Q890" s="42"/>
      <c r="AE890" s="42"/>
      <c r="AF890" s="42"/>
      <c r="AG890" s="42"/>
      <c r="AH890" s="42"/>
      <c r="AI890" s="42"/>
      <c r="AJ890" s="42"/>
      <c r="AK890" s="42"/>
      <c r="AO890" s="86"/>
      <c r="AP890" s="87"/>
      <c r="AQ890" s="87"/>
      <c r="AR890" s="88"/>
      <c r="AS890" s="87"/>
      <c r="AT890" s="87"/>
    </row>
    <row r="891" spans="15:46" x14ac:dyDescent="0.25">
      <c r="O891" s="49" t="e">
        <f t="shared" si="77"/>
        <v>#N/A</v>
      </c>
      <c r="P891" s="42"/>
      <c r="Q891" s="42"/>
      <c r="AE891" s="42"/>
      <c r="AF891" s="42"/>
      <c r="AG891" s="42"/>
      <c r="AH891" s="42"/>
      <c r="AI891" s="42"/>
      <c r="AJ891" s="42"/>
      <c r="AK891" s="42"/>
      <c r="AO891" s="86"/>
      <c r="AP891" s="87"/>
      <c r="AQ891" s="87"/>
      <c r="AR891" s="88"/>
      <c r="AS891" s="87"/>
      <c r="AT891" s="87"/>
    </row>
    <row r="892" spans="15:46" x14ac:dyDescent="0.25">
      <c r="O892" s="49" t="e">
        <f t="shared" si="77"/>
        <v>#N/A</v>
      </c>
      <c r="P892" s="42"/>
      <c r="Q892" s="42"/>
      <c r="AE892" s="42"/>
      <c r="AF892" s="42"/>
      <c r="AG892" s="42"/>
      <c r="AH892" s="42"/>
      <c r="AI892" s="42"/>
      <c r="AJ892" s="42"/>
      <c r="AK892" s="42"/>
      <c r="AO892" s="86"/>
      <c r="AP892" s="87"/>
      <c r="AQ892" s="87"/>
      <c r="AR892" s="88"/>
      <c r="AS892" s="87"/>
      <c r="AT892" s="87"/>
    </row>
    <row r="893" spans="15:46" x14ac:dyDescent="0.25">
      <c r="O893" s="49" t="e">
        <f t="shared" si="77"/>
        <v>#N/A</v>
      </c>
      <c r="P893" s="42"/>
      <c r="Q893" s="42"/>
      <c r="AE893" s="42"/>
      <c r="AF893" s="42"/>
      <c r="AG893" s="42"/>
      <c r="AH893" s="42"/>
      <c r="AI893" s="42"/>
      <c r="AJ893" s="42"/>
      <c r="AK893" s="42"/>
      <c r="AO893" s="86"/>
      <c r="AP893" s="87"/>
      <c r="AQ893" s="87"/>
      <c r="AR893" s="88"/>
      <c r="AS893" s="87"/>
      <c r="AT893" s="87"/>
    </row>
    <row r="894" spans="15:46" x14ac:dyDescent="0.25">
      <c r="O894" s="49" t="e">
        <f t="shared" si="77"/>
        <v>#N/A</v>
      </c>
      <c r="P894" s="42"/>
      <c r="Q894" s="42"/>
      <c r="AE894" s="42"/>
      <c r="AF894" s="42"/>
      <c r="AG894" s="42"/>
      <c r="AH894" s="42"/>
      <c r="AI894" s="42"/>
      <c r="AJ894" s="42"/>
      <c r="AK894" s="42"/>
      <c r="AO894" s="86"/>
      <c r="AP894" s="87"/>
      <c r="AQ894" s="87"/>
      <c r="AR894" s="88"/>
      <c r="AS894" s="87"/>
      <c r="AT894" s="87"/>
    </row>
    <row r="895" spans="15:46" x14ac:dyDescent="0.25">
      <c r="O895" s="49" t="e">
        <f t="shared" si="77"/>
        <v>#N/A</v>
      </c>
      <c r="P895" s="42"/>
      <c r="Q895" s="42"/>
      <c r="AE895" s="42"/>
      <c r="AF895" s="42"/>
      <c r="AG895" s="42"/>
      <c r="AH895" s="42"/>
      <c r="AI895" s="42"/>
      <c r="AJ895" s="42"/>
      <c r="AK895" s="42"/>
      <c r="AO895" s="86"/>
      <c r="AP895" s="87"/>
      <c r="AQ895" s="87"/>
      <c r="AR895" s="88"/>
      <c r="AS895" s="87"/>
      <c r="AT895" s="87"/>
    </row>
    <row r="896" spans="15:46" x14ac:dyDescent="0.25">
      <c r="O896" s="49" t="e">
        <f t="shared" si="77"/>
        <v>#N/A</v>
      </c>
      <c r="P896" s="42"/>
      <c r="Q896" s="42"/>
      <c r="AE896" s="42"/>
      <c r="AF896" s="42"/>
      <c r="AG896" s="42"/>
      <c r="AH896" s="42"/>
      <c r="AI896" s="42"/>
      <c r="AJ896" s="42"/>
      <c r="AK896" s="42"/>
      <c r="AO896" s="86"/>
      <c r="AP896" s="87"/>
      <c r="AQ896" s="87"/>
      <c r="AR896" s="88"/>
      <c r="AS896" s="87"/>
      <c r="AT896" s="87"/>
    </row>
    <row r="897" spans="15:46" x14ac:dyDescent="0.25">
      <c r="O897" s="49" t="e">
        <f t="shared" si="77"/>
        <v>#N/A</v>
      </c>
      <c r="P897" s="42"/>
      <c r="Q897" s="42"/>
      <c r="AE897" s="42"/>
      <c r="AF897" s="42"/>
      <c r="AG897" s="42"/>
      <c r="AH897" s="42"/>
      <c r="AI897" s="42"/>
      <c r="AJ897" s="42"/>
      <c r="AK897" s="42"/>
      <c r="AO897" s="86"/>
      <c r="AP897" s="87"/>
      <c r="AQ897" s="87"/>
      <c r="AR897" s="88"/>
      <c r="AS897" s="87"/>
      <c r="AT897" s="87"/>
    </row>
    <row r="898" spans="15:46" x14ac:dyDescent="0.25">
      <c r="O898" s="49" t="e">
        <f t="shared" si="77"/>
        <v>#N/A</v>
      </c>
      <c r="P898" s="42"/>
      <c r="Q898" s="42"/>
      <c r="AE898" s="42"/>
      <c r="AF898" s="42"/>
      <c r="AG898" s="42"/>
      <c r="AH898" s="42"/>
      <c r="AI898" s="42"/>
      <c r="AJ898" s="42"/>
      <c r="AK898" s="42"/>
      <c r="AO898" s="86"/>
      <c r="AP898" s="87"/>
      <c r="AQ898" s="87"/>
      <c r="AR898" s="88"/>
      <c r="AS898" s="87"/>
      <c r="AT898" s="87"/>
    </row>
    <row r="899" spans="15:46" x14ac:dyDescent="0.25">
      <c r="O899" s="49" t="e">
        <f t="shared" si="77"/>
        <v>#N/A</v>
      </c>
      <c r="P899" s="42"/>
      <c r="Q899" s="42"/>
      <c r="AE899" s="42"/>
      <c r="AF899" s="42"/>
      <c r="AG899" s="42"/>
      <c r="AH899" s="42"/>
      <c r="AI899" s="42"/>
      <c r="AJ899" s="42"/>
      <c r="AK899" s="42"/>
      <c r="AO899" s="86"/>
      <c r="AP899" s="87"/>
      <c r="AQ899" s="87"/>
      <c r="AR899" s="88"/>
      <c r="AS899" s="87"/>
      <c r="AT899" s="87"/>
    </row>
    <row r="900" spans="15:46" x14ac:dyDescent="0.25">
      <c r="O900" s="49" t="e">
        <f t="shared" si="77"/>
        <v>#N/A</v>
      </c>
      <c r="P900" s="42"/>
      <c r="Q900" s="42"/>
      <c r="AE900" s="42"/>
      <c r="AF900" s="42"/>
      <c r="AG900" s="42"/>
      <c r="AH900" s="42"/>
      <c r="AI900" s="42"/>
      <c r="AJ900" s="42"/>
      <c r="AK900" s="42"/>
      <c r="AO900" s="86"/>
      <c r="AP900" s="87"/>
      <c r="AQ900" s="87"/>
      <c r="AR900" s="88"/>
      <c r="AS900" s="87"/>
      <c r="AT900" s="87"/>
    </row>
    <row r="901" spans="15:46" x14ac:dyDescent="0.25">
      <c r="O901" s="49" t="e">
        <f t="shared" si="77"/>
        <v>#N/A</v>
      </c>
      <c r="P901" s="42"/>
      <c r="Q901" s="42"/>
      <c r="AE901" s="42"/>
      <c r="AF901" s="42"/>
      <c r="AG901" s="42"/>
      <c r="AH901" s="42"/>
      <c r="AI901" s="42"/>
      <c r="AJ901" s="42"/>
      <c r="AK901" s="42"/>
      <c r="AO901" s="86"/>
      <c r="AP901" s="87"/>
      <c r="AQ901" s="87"/>
      <c r="AR901" s="88"/>
      <c r="AS901" s="87"/>
      <c r="AT901" s="87"/>
    </row>
    <row r="902" spans="15:46" x14ac:dyDescent="0.25">
      <c r="O902" s="49" t="e">
        <f t="shared" si="77"/>
        <v>#N/A</v>
      </c>
      <c r="P902" s="42"/>
      <c r="Q902" s="42"/>
      <c r="AE902" s="42"/>
      <c r="AF902" s="42"/>
      <c r="AG902" s="42"/>
      <c r="AH902" s="42"/>
      <c r="AI902" s="42"/>
      <c r="AJ902" s="42"/>
      <c r="AK902" s="42"/>
      <c r="AO902" s="86"/>
      <c r="AP902" s="87"/>
      <c r="AQ902" s="87"/>
      <c r="AR902" s="88"/>
      <c r="AS902" s="87"/>
      <c r="AT902" s="87"/>
    </row>
    <row r="903" spans="15:46" x14ac:dyDescent="0.25">
      <c r="O903" s="49" t="e">
        <f t="shared" si="77"/>
        <v>#N/A</v>
      </c>
      <c r="P903" s="42"/>
      <c r="Q903" s="42"/>
      <c r="AE903" s="42"/>
      <c r="AF903" s="42"/>
      <c r="AG903" s="42"/>
      <c r="AH903" s="42"/>
      <c r="AI903" s="42"/>
      <c r="AJ903" s="42"/>
      <c r="AK903" s="42"/>
      <c r="AO903" s="86"/>
      <c r="AP903" s="87"/>
      <c r="AQ903" s="87"/>
      <c r="AR903" s="88"/>
      <c r="AS903" s="87"/>
      <c r="AT903" s="87"/>
    </row>
    <row r="904" spans="15:46" x14ac:dyDescent="0.25">
      <c r="O904" s="49" t="e">
        <f t="shared" si="77"/>
        <v>#N/A</v>
      </c>
      <c r="P904" s="42"/>
      <c r="Q904" s="42"/>
      <c r="AE904" s="42"/>
      <c r="AF904" s="42"/>
      <c r="AG904" s="42"/>
      <c r="AH904" s="42"/>
      <c r="AI904" s="42"/>
      <c r="AJ904" s="42"/>
      <c r="AK904" s="42"/>
      <c r="AO904" s="86"/>
      <c r="AP904" s="87"/>
      <c r="AQ904" s="87"/>
      <c r="AR904" s="88"/>
      <c r="AS904" s="87"/>
      <c r="AT904" s="87"/>
    </row>
    <row r="905" spans="15:46" x14ac:dyDescent="0.25">
      <c r="O905" s="49" t="e">
        <f t="shared" si="77"/>
        <v>#N/A</v>
      </c>
      <c r="P905" s="42"/>
      <c r="Q905" s="42"/>
      <c r="AE905" s="42"/>
      <c r="AF905" s="42"/>
      <c r="AG905" s="42"/>
      <c r="AH905" s="42"/>
      <c r="AI905" s="42"/>
      <c r="AJ905" s="42"/>
      <c r="AK905" s="42"/>
      <c r="AO905" s="86"/>
      <c r="AP905" s="87"/>
      <c r="AQ905" s="87"/>
      <c r="AR905" s="88"/>
      <c r="AS905" s="87"/>
      <c r="AT905" s="87"/>
    </row>
    <row r="906" spans="15:46" x14ac:dyDescent="0.25">
      <c r="O906" s="49" t="e">
        <f t="shared" si="77"/>
        <v>#N/A</v>
      </c>
      <c r="P906" s="42"/>
      <c r="Q906" s="42"/>
      <c r="AE906" s="42"/>
      <c r="AF906" s="42"/>
      <c r="AG906" s="42"/>
      <c r="AH906" s="42"/>
      <c r="AI906" s="42"/>
      <c r="AJ906" s="42"/>
      <c r="AK906" s="42"/>
      <c r="AO906" s="86"/>
      <c r="AP906" s="87"/>
      <c r="AQ906" s="87"/>
      <c r="AR906" s="88"/>
      <c r="AS906" s="87"/>
      <c r="AT906" s="87"/>
    </row>
    <row r="907" spans="15:46" x14ac:dyDescent="0.25">
      <c r="O907" s="49" t="e">
        <f t="shared" si="77"/>
        <v>#N/A</v>
      </c>
      <c r="P907" s="42"/>
      <c r="Q907" s="42"/>
      <c r="AE907" s="42"/>
      <c r="AF907" s="42"/>
      <c r="AG907" s="42"/>
      <c r="AH907" s="42"/>
      <c r="AI907" s="42"/>
      <c r="AJ907" s="42"/>
      <c r="AK907" s="42"/>
      <c r="AO907" s="86"/>
      <c r="AP907" s="87"/>
      <c r="AQ907" s="87"/>
      <c r="AR907" s="88"/>
      <c r="AS907" s="87"/>
      <c r="AT907" s="87"/>
    </row>
    <row r="908" spans="15:46" x14ac:dyDescent="0.25">
      <c r="O908" s="49" t="e">
        <f t="shared" si="77"/>
        <v>#N/A</v>
      </c>
      <c r="P908" s="42"/>
      <c r="Q908" s="42"/>
      <c r="AE908" s="42"/>
      <c r="AF908" s="42"/>
      <c r="AG908" s="42"/>
      <c r="AH908" s="42"/>
      <c r="AI908" s="42"/>
      <c r="AJ908" s="42"/>
      <c r="AK908" s="42"/>
      <c r="AO908" s="86"/>
      <c r="AP908" s="87"/>
      <c r="AQ908" s="87"/>
      <c r="AR908" s="88"/>
      <c r="AS908" s="87"/>
      <c r="AT908" s="87"/>
    </row>
    <row r="909" spans="15:46" x14ac:dyDescent="0.25">
      <c r="O909" s="49" t="e">
        <f t="shared" si="77"/>
        <v>#N/A</v>
      </c>
      <c r="P909" s="42"/>
      <c r="Q909" s="42"/>
      <c r="AE909" s="42"/>
      <c r="AF909" s="42"/>
      <c r="AG909" s="42"/>
      <c r="AH909" s="42"/>
      <c r="AI909" s="42"/>
      <c r="AJ909" s="42"/>
      <c r="AK909" s="42"/>
      <c r="AO909" s="86"/>
      <c r="AP909" s="87"/>
      <c r="AQ909" s="87"/>
      <c r="AR909" s="88"/>
      <c r="AS909" s="87"/>
      <c r="AT909" s="87"/>
    </row>
    <row r="910" spans="15:46" x14ac:dyDescent="0.25">
      <c r="O910" s="49" t="e">
        <f t="shared" si="77"/>
        <v>#N/A</v>
      </c>
      <c r="P910" s="42"/>
      <c r="Q910" s="42"/>
      <c r="AE910" s="42"/>
      <c r="AF910" s="42"/>
      <c r="AG910" s="42"/>
      <c r="AH910" s="42"/>
      <c r="AI910" s="42"/>
      <c r="AJ910" s="42"/>
      <c r="AK910" s="42"/>
      <c r="AO910" s="86"/>
      <c r="AP910" s="87"/>
      <c r="AQ910" s="87"/>
      <c r="AR910" s="88"/>
      <c r="AS910" s="87"/>
      <c r="AT910" s="87"/>
    </row>
    <row r="911" spans="15:46" x14ac:dyDescent="0.25">
      <c r="O911" s="49" t="e">
        <f t="shared" si="77"/>
        <v>#N/A</v>
      </c>
      <c r="P911" s="42"/>
      <c r="Q911" s="42"/>
      <c r="AE911" s="42"/>
      <c r="AF911" s="42"/>
      <c r="AG911" s="42"/>
      <c r="AH911" s="42"/>
      <c r="AI911" s="42"/>
      <c r="AJ911" s="42"/>
      <c r="AK911" s="42"/>
      <c r="AO911" s="86"/>
      <c r="AP911" s="87"/>
      <c r="AQ911" s="87"/>
      <c r="AR911" s="88"/>
      <c r="AS911" s="87"/>
      <c r="AT911" s="87"/>
    </row>
    <row r="912" spans="15:46" x14ac:dyDescent="0.25">
      <c r="O912" s="49" t="e">
        <f t="shared" si="77"/>
        <v>#N/A</v>
      </c>
      <c r="P912" s="42"/>
      <c r="Q912" s="42"/>
      <c r="AE912" s="42"/>
      <c r="AF912" s="42"/>
      <c r="AG912" s="42"/>
      <c r="AH912" s="42"/>
      <c r="AI912" s="42"/>
      <c r="AJ912" s="42"/>
      <c r="AK912" s="42"/>
      <c r="AO912" s="86"/>
      <c r="AP912" s="87"/>
      <c r="AQ912" s="87"/>
      <c r="AR912" s="88"/>
      <c r="AS912" s="87"/>
      <c r="AT912" s="87"/>
    </row>
    <row r="913" spans="15:46" x14ac:dyDescent="0.25">
      <c r="O913" s="49" t="e">
        <f t="shared" si="77"/>
        <v>#N/A</v>
      </c>
      <c r="P913" s="42"/>
      <c r="Q913" s="42"/>
      <c r="AE913" s="42"/>
      <c r="AF913" s="42"/>
      <c r="AG913" s="42"/>
      <c r="AH913" s="42"/>
      <c r="AI913" s="42"/>
      <c r="AJ913" s="42"/>
      <c r="AK913" s="42"/>
      <c r="AO913" s="86"/>
      <c r="AP913" s="87"/>
      <c r="AQ913" s="87"/>
      <c r="AR913" s="88"/>
      <c r="AS913" s="87"/>
      <c r="AT913" s="87"/>
    </row>
    <row r="914" spans="15:46" x14ac:dyDescent="0.25">
      <c r="O914" s="49" t="e">
        <f t="shared" si="77"/>
        <v>#N/A</v>
      </c>
      <c r="P914" s="42"/>
      <c r="Q914" s="42"/>
      <c r="AE914" s="42"/>
      <c r="AF914" s="42"/>
      <c r="AG914" s="42"/>
      <c r="AH914" s="42"/>
      <c r="AI914" s="42"/>
      <c r="AJ914" s="42"/>
      <c r="AK914" s="42"/>
      <c r="AO914" s="86"/>
      <c r="AP914" s="87"/>
      <c r="AQ914" s="87"/>
      <c r="AR914" s="88"/>
      <c r="AS914" s="87"/>
      <c r="AT914" s="87"/>
    </row>
    <row r="915" spans="15:46" x14ac:dyDescent="0.25">
      <c r="O915" s="49" t="e">
        <f t="shared" si="77"/>
        <v>#N/A</v>
      </c>
      <c r="P915" s="42"/>
      <c r="Q915" s="42"/>
      <c r="AE915" s="42"/>
      <c r="AF915" s="42"/>
      <c r="AG915" s="42"/>
      <c r="AH915" s="42"/>
      <c r="AI915" s="42"/>
      <c r="AJ915" s="42"/>
      <c r="AK915" s="42"/>
      <c r="AO915" s="86"/>
      <c r="AP915" s="87"/>
      <c r="AQ915" s="87"/>
      <c r="AR915" s="88"/>
      <c r="AS915" s="87"/>
      <c r="AT915" s="87"/>
    </row>
    <row r="916" spans="15:46" x14ac:dyDescent="0.25">
      <c r="O916" s="49" t="e">
        <f t="shared" si="77"/>
        <v>#N/A</v>
      </c>
      <c r="P916" s="42"/>
      <c r="Q916" s="42"/>
      <c r="AE916" s="42"/>
      <c r="AF916" s="42"/>
      <c r="AG916" s="42"/>
      <c r="AH916" s="42"/>
      <c r="AI916" s="42"/>
      <c r="AJ916" s="42"/>
      <c r="AK916" s="42"/>
      <c r="AO916" s="86"/>
      <c r="AP916" s="87"/>
      <c r="AQ916" s="87"/>
      <c r="AR916" s="88"/>
      <c r="AS916" s="87"/>
      <c r="AT916" s="87"/>
    </row>
    <row r="917" spans="15:46" x14ac:dyDescent="0.25">
      <c r="O917" s="49" t="e">
        <f t="shared" si="77"/>
        <v>#N/A</v>
      </c>
      <c r="P917" s="42"/>
      <c r="Q917" s="42"/>
      <c r="AE917" s="42"/>
      <c r="AF917" s="42"/>
      <c r="AG917" s="42"/>
      <c r="AH917" s="42"/>
      <c r="AI917" s="42"/>
      <c r="AJ917" s="42"/>
      <c r="AK917" s="42"/>
      <c r="AO917" s="86"/>
      <c r="AP917" s="87"/>
      <c r="AQ917" s="87"/>
      <c r="AR917" s="88"/>
      <c r="AS917" s="87"/>
      <c r="AT917" s="87"/>
    </row>
    <row r="918" spans="15:46" x14ac:dyDescent="0.25">
      <c r="O918" s="49" t="e">
        <f t="shared" si="77"/>
        <v>#N/A</v>
      </c>
      <c r="P918" s="42"/>
      <c r="Q918" s="42"/>
      <c r="AE918" s="42"/>
      <c r="AF918" s="42"/>
      <c r="AG918" s="42"/>
      <c r="AH918" s="42"/>
      <c r="AI918" s="42"/>
      <c r="AJ918" s="42"/>
      <c r="AK918" s="42"/>
      <c r="AO918" s="86"/>
      <c r="AP918" s="87"/>
      <c r="AQ918" s="87"/>
      <c r="AR918" s="88"/>
      <c r="AS918" s="87"/>
      <c r="AT918" s="87"/>
    </row>
    <row r="919" spans="15:46" x14ac:dyDescent="0.25">
      <c r="O919" s="49" t="e">
        <f t="shared" ref="O919:O982" si="78">IF(ISTEXT(N919),IF(MID(N919,11,2)="24",1+DATEVALUE(LEFT(N919,10))+TIMEVALUE(CONCATENATE(MID(N919,11,2),":",MID(N919,13,2))),DATEVALUE(LEFT(N919,10))+TIMEVALUE(CONCATENATE(MID(N919,11,2),":",MID(N919,13,2)))),#N/A)</f>
        <v>#N/A</v>
      </c>
      <c r="P919" s="42"/>
      <c r="Q919" s="42"/>
      <c r="AE919" s="42"/>
      <c r="AF919" s="42"/>
      <c r="AG919" s="42"/>
      <c r="AH919" s="42"/>
      <c r="AI919" s="42"/>
      <c r="AJ919" s="42"/>
      <c r="AK919" s="42"/>
      <c r="AO919" s="86"/>
      <c r="AP919" s="87"/>
      <c r="AQ919" s="87"/>
      <c r="AR919" s="88"/>
      <c r="AS919" s="87"/>
      <c r="AT919" s="87"/>
    </row>
    <row r="920" spans="15:46" x14ac:dyDescent="0.25">
      <c r="O920" s="49" t="e">
        <f t="shared" si="78"/>
        <v>#N/A</v>
      </c>
      <c r="P920" s="42"/>
      <c r="Q920" s="42"/>
      <c r="AE920" s="42"/>
      <c r="AF920" s="42"/>
      <c r="AG920" s="42"/>
      <c r="AH920" s="42"/>
      <c r="AI920" s="42"/>
      <c r="AJ920" s="42"/>
      <c r="AK920" s="42"/>
      <c r="AO920" s="86"/>
      <c r="AP920" s="87"/>
      <c r="AQ920" s="87"/>
      <c r="AR920" s="88"/>
      <c r="AS920" s="87"/>
      <c r="AT920" s="87"/>
    </row>
    <row r="921" spans="15:46" x14ac:dyDescent="0.25">
      <c r="O921" s="49" t="e">
        <f t="shared" si="78"/>
        <v>#N/A</v>
      </c>
      <c r="P921" s="42"/>
      <c r="Q921" s="42"/>
      <c r="AE921" s="42"/>
      <c r="AF921" s="42"/>
      <c r="AG921" s="42"/>
      <c r="AH921" s="42"/>
      <c r="AI921" s="42"/>
      <c r="AJ921" s="42"/>
      <c r="AK921" s="42"/>
      <c r="AO921" s="86"/>
      <c r="AP921" s="87"/>
      <c r="AQ921" s="87"/>
      <c r="AR921" s="88"/>
      <c r="AS921" s="87"/>
      <c r="AT921" s="87"/>
    </row>
    <row r="922" spans="15:46" x14ac:dyDescent="0.25">
      <c r="O922" s="49" t="e">
        <f t="shared" si="78"/>
        <v>#N/A</v>
      </c>
      <c r="P922" s="42"/>
      <c r="Q922" s="42"/>
      <c r="AE922" s="42"/>
      <c r="AF922" s="42"/>
      <c r="AG922" s="42"/>
      <c r="AH922" s="42"/>
      <c r="AI922" s="42"/>
      <c r="AJ922" s="42"/>
      <c r="AK922" s="42"/>
      <c r="AO922" s="86"/>
      <c r="AP922" s="87"/>
      <c r="AQ922" s="87"/>
      <c r="AR922" s="88"/>
      <c r="AS922" s="87"/>
      <c r="AT922" s="87"/>
    </row>
    <row r="923" spans="15:46" x14ac:dyDescent="0.25">
      <c r="O923" s="49" t="e">
        <f t="shared" si="78"/>
        <v>#N/A</v>
      </c>
      <c r="P923" s="42"/>
      <c r="Q923" s="42"/>
      <c r="AE923" s="42"/>
      <c r="AF923" s="42"/>
      <c r="AG923" s="42"/>
      <c r="AH923" s="42"/>
      <c r="AI923" s="42"/>
      <c r="AJ923" s="42"/>
      <c r="AK923" s="42"/>
      <c r="AO923" s="86"/>
      <c r="AP923" s="87"/>
      <c r="AQ923" s="87"/>
      <c r="AR923" s="88"/>
      <c r="AS923" s="87"/>
      <c r="AT923" s="87"/>
    </row>
    <row r="924" spans="15:46" x14ac:dyDescent="0.25">
      <c r="O924" s="49" t="e">
        <f t="shared" si="78"/>
        <v>#N/A</v>
      </c>
      <c r="P924" s="42"/>
      <c r="Q924" s="42"/>
      <c r="AE924" s="42"/>
      <c r="AF924" s="42"/>
      <c r="AG924" s="42"/>
      <c r="AH924" s="42"/>
      <c r="AI924" s="42"/>
      <c r="AJ924" s="42"/>
      <c r="AK924" s="42"/>
      <c r="AO924" s="86"/>
      <c r="AP924" s="87"/>
      <c r="AQ924" s="87"/>
      <c r="AR924" s="88"/>
      <c r="AS924" s="87"/>
      <c r="AT924" s="87"/>
    </row>
    <row r="925" spans="15:46" x14ac:dyDescent="0.25">
      <c r="O925" s="49" t="e">
        <f t="shared" si="78"/>
        <v>#N/A</v>
      </c>
      <c r="P925" s="42"/>
      <c r="Q925" s="42"/>
      <c r="AE925" s="42"/>
      <c r="AF925" s="42"/>
      <c r="AG925" s="42"/>
      <c r="AH925" s="42"/>
      <c r="AI925" s="42"/>
      <c r="AJ925" s="42"/>
      <c r="AK925" s="42"/>
      <c r="AO925" s="86"/>
      <c r="AP925" s="87"/>
      <c r="AQ925" s="87"/>
      <c r="AR925" s="88"/>
      <c r="AS925" s="87"/>
      <c r="AT925" s="87"/>
    </row>
    <row r="926" spans="15:46" x14ac:dyDescent="0.25">
      <c r="O926" s="49" t="e">
        <f t="shared" si="78"/>
        <v>#N/A</v>
      </c>
      <c r="P926" s="42"/>
      <c r="Q926" s="42"/>
      <c r="AE926" s="42"/>
      <c r="AF926" s="42"/>
      <c r="AG926" s="42"/>
      <c r="AH926" s="42"/>
      <c r="AI926" s="42"/>
      <c r="AJ926" s="42"/>
      <c r="AK926" s="42"/>
      <c r="AO926" s="86"/>
      <c r="AP926" s="87"/>
      <c r="AQ926" s="87"/>
      <c r="AR926" s="88"/>
      <c r="AS926" s="87"/>
      <c r="AT926" s="87"/>
    </row>
    <row r="927" spans="15:46" x14ac:dyDescent="0.25">
      <c r="O927" s="49" t="e">
        <f t="shared" si="78"/>
        <v>#N/A</v>
      </c>
      <c r="P927" s="42"/>
      <c r="Q927" s="42"/>
      <c r="AE927" s="42"/>
      <c r="AF927" s="42"/>
      <c r="AG927" s="42"/>
      <c r="AH927" s="42"/>
      <c r="AI927" s="42"/>
      <c r="AJ927" s="42"/>
      <c r="AK927" s="42"/>
      <c r="AO927" s="86"/>
      <c r="AP927" s="87"/>
      <c r="AQ927" s="87"/>
      <c r="AR927" s="88"/>
      <c r="AS927" s="87"/>
      <c r="AT927" s="87"/>
    </row>
    <row r="928" spans="15:46" x14ac:dyDescent="0.25">
      <c r="O928" s="49" t="e">
        <f t="shared" si="78"/>
        <v>#N/A</v>
      </c>
      <c r="P928" s="42"/>
      <c r="Q928" s="42"/>
      <c r="AE928" s="42"/>
      <c r="AF928" s="42"/>
      <c r="AG928" s="42"/>
      <c r="AH928" s="42"/>
      <c r="AI928" s="42"/>
      <c r="AJ928" s="42"/>
      <c r="AK928" s="42"/>
      <c r="AO928" s="86"/>
      <c r="AP928" s="87"/>
      <c r="AQ928" s="87"/>
      <c r="AR928" s="88"/>
      <c r="AS928" s="87"/>
      <c r="AT928" s="87"/>
    </row>
    <row r="929" spans="15:46" x14ac:dyDescent="0.25">
      <c r="O929" s="49" t="e">
        <f t="shared" si="78"/>
        <v>#N/A</v>
      </c>
      <c r="P929" s="42"/>
      <c r="Q929" s="42"/>
      <c r="AE929" s="42"/>
      <c r="AF929" s="42"/>
      <c r="AG929" s="42"/>
      <c r="AH929" s="42"/>
      <c r="AI929" s="42"/>
      <c r="AJ929" s="42"/>
      <c r="AK929" s="42"/>
      <c r="AO929" s="86"/>
      <c r="AP929" s="87"/>
      <c r="AQ929" s="87"/>
      <c r="AR929" s="88"/>
      <c r="AS929" s="87"/>
      <c r="AT929" s="87"/>
    </row>
    <row r="930" spans="15:46" x14ac:dyDescent="0.25">
      <c r="O930" s="49" t="e">
        <f t="shared" si="78"/>
        <v>#N/A</v>
      </c>
      <c r="P930" s="42"/>
      <c r="Q930" s="42"/>
      <c r="AE930" s="42"/>
      <c r="AF930" s="42"/>
      <c r="AG930" s="42"/>
      <c r="AH930" s="42"/>
      <c r="AI930" s="42"/>
      <c r="AJ930" s="42"/>
      <c r="AK930" s="42"/>
      <c r="AO930" s="86"/>
      <c r="AP930" s="87"/>
      <c r="AQ930" s="87"/>
      <c r="AR930" s="88"/>
      <c r="AS930" s="87"/>
      <c r="AT930" s="87"/>
    </row>
    <row r="931" spans="15:46" x14ac:dyDescent="0.25">
      <c r="O931" s="49" t="e">
        <f t="shared" si="78"/>
        <v>#N/A</v>
      </c>
      <c r="P931" s="42"/>
      <c r="Q931" s="42"/>
      <c r="AE931" s="42"/>
      <c r="AF931" s="42"/>
      <c r="AG931" s="42"/>
      <c r="AH931" s="42"/>
      <c r="AI931" s="42"/>
      <c r="AJ931" s="42"/>
      <c r="AK931" s="42"/>
      <c r="AO931" s="86"/>
      <c r="AP931" s="87"/>
      <c r="AQ931" s="87"/>
      <c r="AR931" s="88"/>
      <c r="AS931" s="87"/>
      <c r="AT931" s="87"/>
    </row>
    <row r="932" spans="15:46" x14ac:dyDescent="0.25">
      <c r="O932" s="49" t="e">
        <f t="shared" si="78"/>
        <v>#N/A</v>
      </c>
      <c r="P932" s="42"/>
      <c r="Q932" s="42"/>
      <c r="AE932" s="42"/>
      <c r="AF932" s="42"/>
      <c r="AG932" s="42"/>
      <c r="AH932" s="42"/>
      <c r="AI932" s="42"/>
      <c r="AJ932" s="42"/>
      <c r="AK932" s="42"/>
      <c r="AO932" s="86"/>
      <c r="AP932" s="87"/>
      <c r="AQ932" s="87"/>
      <c r="AR932" s="88"/>
      <c r="AS932" s="87"/>
      <c r="AT932" s="87"/>
    </row>
    <row r="933" spans="15:46" x14ac:dyDescent="0.25">
      <c r="O933" s="49" t="e">
        <f t="shared" si="78"/>
        <v>#N/A</v>
      </c>
      <c r="P933" s="42"/>
      <c r="Q933" s="42"/>
      <c r="AE933" s="42"/>
      <c r="AF933" s="42"/>
      <c r="AG933" s="42"/>
      <c r="AH933" s="42"/>
      <c r="AI933" s="42"/>
      <c r="AJ933" s="42"/>
      <c r="AK933" s="42"/>
      <c r="AO933" s="86"/>
      <c r="AP933" s="87"/>
      <c r="AQ933" s="87"/>
      <c r="AR933" s="88"/>
      <c r="AS933" s="87"/>
      <c r="AT933" s="87"/>
    </row>
    <row r="934" spans="15:46" x14ac:dyDescent="0.25">
      <c r="O934" s="49" t="e">
        <f t="shared" si="78"/>
        <v>#N/A</v>
      </c>
      <c r="P934" s="42"/>
      <c r="Q934" s="42"/>
      <c r="AE934" s="42"/>
      <c r="AF934" s="42"/>
      <c r="AG934" s="42"/>
      <c r="AH934" s="42"/>
      <c r="AI934" s="42"/>
      <c r="AJ934" s="42"/>
      <c r="AK934" s="42"/>
      <c r="AO934" s="86"/>
      <c r="AP934" s="87"/>
      <c r="AQ934" s="87"/>
      <c r="AR934" s="88"/>
      <c r="AS934" s="87"/>
      <c r="AT934" s="87"/>
    </row>
    <row r="935" spans="15:46" x14ac:dyDescent="0.25">
      <c r="O935" s="49" t="e">
        <f t="shared" si="78"/>
        <v>#N/A</v>
      </c>
      <c r="P935" s="42"/>
      <c r="Q935" s="42"/>
      <c r="AE935" s="42"/>
      <c r="AF935" s="42"/>
      <c r="AG935" s="42"/>
      <c r="AH935" s="42"/>
      <c r="AI935" s="42"/>
      <c r="AJ935" s="42"/>
      <c r="AK935" s="42"/>
      <c r="AO935" s="86"/>
      <c r="AP935" s="87"/>
      <c r="AQ935" s="87"/>
      <c r="AR935" s="88"/>
      <c r="AS935" s="87"/>
      <c r="AT935" s="87"/>
    </row>
    <row r="936" spans="15:46" x14ac:dyDescent="0.25">
      <c r="O936" s="49" t="e">
        <f t="shared" si="78"/>
        <v>#N/A</v>
      </c>
      <c r="P936" s="42"/>
      <c r="Q936" s="42"/>
      <c r="AE936" s="42"/>
      <c r="AF936" s="42"/>
      <c r="AG936" s="42"/>
      <c r="AH936" s="42"/>
      <c r="AI936" s="42"/>
      <c r="AJ936" s="42"/>
      <c r="AK936" s="42"/>
      <c r="AO936" s="86"/>
      <c r="AP936" s="87"/>
      <c r="AQ936" s="87"/>
      <c r="AR936" s="88"/>
      <c r="AS936" s="87"/>
      <c r="AT936" s="87"/>
    </row>
    <row r="937" spans="15:46" x14ac:dyDescent="0.25">
      <c r="O937" s="49" t="e">
        <f t="shared" si="78"/>
        <v>#N/A</v>
      </c>
      <c r="P937" s="42"/>
      <c r="Q937" s="42"/>
      <c r="AE937" s="42"/>
      <c r="AF937" s="42"/>
      <c r="AG937" s="42"/>
      <c r="AH937" s="42"/>
      <c r="AI937" s="42"/>
      <c r="AJ937" s="42"/>
      <c r="AK937" s="42"/>
      <c r="AO937" s="86"/>
      <c r="AP937" s="87"/>
      <c r="AQ937" s="87"/>
      <c r="AR937" s="88"/>
      <c r="AS937" s="87"/>
      <c r="AT937" s="87"/>
    </row>
    <row r="938" spans="15:46" x14ac:dyDescent="0.25">
      <c r="O938" s="49" t="e">
        <f t="shared" si="78"/>
        <v>#N/A</v>
      </c>
      <c r="P938" s="42"/>
      <c r="Q938" s="42"/>
      <c r="AE938" s="42"/>
      <c r="AF938" s="42"/>
      <c r="AG938" s="42"/>
      <c r="AH938" s="42"/>
      <c r="AI938" s="42"/>
      <c r="AJ938" s="42"/>
      <c r="AK938" s="42"/>
      <c r="AO938" s="86"/>
      <c r="AP938" s="87"/>
      <c r="AQ938" s="87"/>
      <c r="AR938" s="88"/>
      <c r="AS938" s="87"/>
      <c r="AT938" s="87"/>
    </row>
    <row r="939" spans="15:46" x14ac:dyDescent="0.25">
      <c r="O939" s="49" t="e">
        <f t="shared" si="78"/>
        <v>#N/A</v>
      </c>
      <c r="P939" s="42"/>
      <c r="Q939" s="42"/>
      <c r="AE939" s="42"/>
      <c r="AF939" s="42"/>
      <c r="AG939" s="42"/>
      <c r="AH939" s="42"/>
      <c r="AI939" s="42"/>
      <c r="AJ939" s="42"/>
      <c r="AK939" s="42"/>
      <c r="AO939" s="86"/>
      <c r="AP939" s="87"/>
      <c r="AQ939" s="87"/>
      <c r="AR939" s="88"/>
      <c r="AS939" s="87"/>
      <c r="AT939" s="87"/>
    </row>
    <row r="940" spans="15:46" x14ac:dyDescent="0.25">
      <c r="O940" s="49" t="e">
        <f t="shared" si="78"/>
        <v>#N/A</v>
      </c>
      <c r="P940" s="42"/>
      <c r="Q940" s="42"/>
      <c r="AE940" s="42"/>
      <c r="AF940" s="42"/>
      <c r="AG940" s="42"/>
      <c r="AH940" s="42"/>
      <c r="AI940" s="42"/>
      <c r="AJ940" s="42"/>
      <c r="AK940" s="42"/>
      <c r="AO940" s="86"/>
      <c r="AP940" s="87"/>
      <c r="AQ940" s="87"/>
      <c r="AR940" s="88"/>
      <c r="AS940" s="87"/>
      <c r="AT940" s="87"/>
    </row>
    <row r="941" spans="15:46" x14ac:dyDescent="0.25">
      <c r="O941" s="49" t="e">
        <f t="shared" si="78"/>
        <v>#N/A</v>
      </c>
      <c r="P941" s="42"/>
      <c r="Q941" s="42"/>
      <c r="AE941" s="42"/>
      <c r="AF941" s="42"/>
      <c r="AG941" s="42"/>
      <c r="AH941" s="42"/>
      <c r="AI941" s="42"/>
      <c r="AJ941" s="42"/>
      <c r="AK941" s="42"/>
      <c r="AO941" s="86"/>
      <c r="AP941" s="87"/>
      <c r="AQ941" s="87"/>
      <c r="AR941" s="88"/>
      <c r="AS941" s="87"/>
      <c r="AT941" s="87"/>
    </row>
    <row r="942" spans="15:46" x14ac:dyDescent="0.25">
      <c r="O942" s="49" t="e">
        <f t="shared" si="78"/>
        <v>#N/A</v>
      </c>
      <c r="P942" s="42"/>
      <c r="Q942" s="42"/>
      <c r="AE942" s="42"/>
      <c r="AF942" s="42"/>
      <c r="AG942" s="42"/>
      <c r="AH942" s="42"/>
      <c r="AI942" s="42"/>
      <c r="AJ942" s="42"/>
      <c r="AK942" s="42"/>
      <c r="AO942" s="86"/>
      <c r="AP942" s="87"/>
      <c r="AQ942" s="87"/>
      <c r="AR942" s="88"/>
      <c r="AS942" s="87"/>
      <c r="AT942" s="87"/>
    </row>
    <row r="943" spans="15:46" x14ac:dyDescent="0.25">
      <c r="O943" s="49" t="e">
        <f t="shared" si="78"/>
        <v>#N/A</v>
      </c>
      <c r="P943" s="42"/>
      <c r="Q943" s="42"/>
      <c r="AE943" s="42"/>
      <c r="AF943" s="42"/>
      <c r="AG943" s="42"/>
      <c r="AH943" s="42"/>
      <c r="AI943" s="42"/>
      <c r="AJ943" s="42"/>
      <c r="AK943" s="42"/>
      <c r="AO943" s="86"/>
      <c r="AP943" s="87"/>
      <c r="AQ943" s="87"/>
      <c r="AR943" s="88"/>
      <c r="AS943" s="87"/>
      <c r="AT943" s="87"/>
    </row>
    <row r="944" spans="15:46" x14ac:dyDescent="0.25">
      <c r="O944" s="49" t="e">
        <f t="shared" si="78"/>
        <v>#N/A</v>
      </c>
      <c r="P944" s="42"/>
      <c r="Q944" s="42"/>
      <c r="AE944" s="42"/>
      <c r="AF944" s="42"/>
      <c r="AG944" s="42"/>
      <c r="AH944" s="42"/>
      <c r="AI944" s="42"/>
      <c r="AJ944" s="42"/>
      <c r="AK944" s="42"/>
      <c r="AO944" s="86"/>
      <c r="AP944" s="87"/>
      <c r="AQ944" s="87"/>
      <c r="AR944" s="88"/>
      <c r="AS944" s="87"/>
      <c r="AT944" s="87"/>
    </row>
    <row r="945" spans="15:46" x14ac:dyDescent="0.25">
      <c r="O945" s="49" t="e">
        <f t="shared" si="78"/>
        <v>#N/A</v>
      </c>
      <c r="P945" s="42"/>
      <c r="Q945" s="42"/>
      <c r="AE945" s="42"/>
      <c r="AF945" s="42"/>
      <c r="AG945" s="42"/>
      <c r="AH945" s="42"/>
      <c r="AI945" s="42"/>
      <c r="AJ945" s="42"/>
      <c r="AK945" s="42"/>
      <c r="AO945" s="86"/>
      <c r="AP945" s="87"/>
      <c r="AQ945" s="87"/>
      <c r="AR945" s="88"/>
      <c r="AS945" s="87"/>
      <c r="AT945" s="87"/>
    </row>
    <row r="946" spans="15:46" x14ac:dyDescent="0.25">
      <c r="O946" s="49" t="e">
        <f t="shared" si="78"/>
        <v>#N/A</v>
      </c>
      <c r="P946" s="42"/>
      <c r="Q946" s="42"/>
      <c r="AE946" s="42"/>
      <c r="AF946" s="42"/>
      <c r="AG946" s="42"/>
      <c r="AH946" s="42"/>
      <c r="AI946" s="42"/>
      <c r="AJ946" s="42"/>
      <c r="AK946" s="42"/>
      <c r="AO946" s="86"/>
      <c r="AP946" s="87"/>
      <c r="AQ946" s="87"/>
      <c r="AR946" s="88"/>
      <c r="AS946" s="87"/>
      <c r="AT946" s="87"/>
    </row>
    <row r="947" spans="15:46" x14ac:dyDescent="0.25">
      <c r="O947" s="49" t="e">
        <f t="shared" si="78"/>
        <v>#N/A</v>
      </c>
      <c r="P947" s="42"/>
      <c r="Q947" s="42"/>
      <c r="AE947" s="42"/>
      <c r="AF947" s="42"/>
      <c r="AG947" s="42"/>
      <c r="AH947" s="42"/>
      <c r="AI947" s="42"/>
      <c r="AJ947" s="42"/>
      <c r="AK947" s="42"/>
      <c r="AO947" s="86"/>
      <c r="AP947" s="87"/>
      <c r="AQ947" s="87"/>
      <c r="AR947" s="88"/>
      <c r="AS947" s="87"/>
      <c r="AT947" s="87"/>
    </row>
    <row r="948" spans="15:46" x14ac:dyDescent="0.25">
      <c r="O948" s="49" t="e">
        <f t="shared" si="78"/>
        <v>#N/A</v>
      </c>
      <c r="P948" s="42"/>
      <c r="Q948" s="42"/>
      <c r="AE948" s="42"/>
      <c r="AF948" s="42"/>
      <c r="AG948" s="42"/>
      <c r="AH948" s="42"/>
      <c r="AI948" s="42"/>
      <c r="AJ948" s="42"/>
      <c r="AK948" s="42"/>
      <c r="AO948" s="86"/>
      <c r="AP948" s="87"/>
      <c r="AQ948" s="87"/>
      <c r="AR948" s="88"/>
      <c r="AS948" s="87"/>
      <c r="AT948" s="87"/>
    </row>
    <row r="949" spans="15:46" x14ac:dyDescent="0.25">
      <c r="O949" s="49" t="e">
        <f t="shared" si="78"/>
        <v>#N/A</v>
      </c>
      <c r="P949" s="42"/>
      <c r="Q949" s="42"/>
      <c r="AE949" s="42"/>
      <c r="AF949" s="42"/>
      <c r="AG949" s="42"/>
      <c r="AH949" s="42"/>
      <c r="AI949" s="42"/>
      <c r="AJ949" s="42"/>
      <c r="AK949" s="42"/>
      <c r="AO949" s="86"/>
      <c r="AP949" s="87"/>
      <c r="AQ949" s="87"/>
      <c r="AR949" s="88"/>
      <c r="AS949" s="87"/>
      <c r="AT949" s="87"/>
    </row>
    <row r="950" spans="15:46" x14ac:dyDescent="0.25">
      <c r="O950" s="49" t="e">
        <f t="shared" si="78"/>
        <v>#N/A</v>
      </c>
      <c r="P950" s="42"/>
      <c r="Q950" s="42"/>
      <c r="AE950" s="42"/>
      <c r="AF950" s="42"/>
      <c r="AG950" s="42"/>
      <c r="AH950" s="42"/>
      <c r="AI950" s="42"/>
      <c r="AJ950" s="42"/>
      <c r="AK950" s="42"/>
      <c r="AO950" s="86"/>
      <c r="AP950" s="87"/>
      <c r="AQ950" s="87"/>
      <c r="AR950" s="88"/>
      <c r="AS950" s="87"/>
      <c r="AT950" s="87"/>
    </row>
    <row r="951" spans="15:46" x14ac:dyDescent="0.25">
      <c r="O951" s="49" t="e">
        <f t="shared" si="78"/>
        <v>#N/A</v>
      </c>
      <c r="P951" s="42"/>
      <c r="Q951" s="42"/>
      <c r="AE951" s="42"/>
      <c r="AF951" s="42"/>
      <c r="AG951" s="42"/>
      <c r="AH951" s="42"/>
      <c r="AI951" s="42"/>
      <c r="AJ951" s="42"/>
      <c r="AK951" s="42"/>
      <c r="AO951" s="86"/>
      <c r="AP951" s="87"/>
      <c r="AQ951" s="87"/>
      <c r="AR951" s="88"/>
      <c r="AS951" s="87"/>
      <c r="AT951" s="87"/>
    </row>
    <row r="952" spans="15:46" x14ac:dyDescent="0.25">
      <c r="O952" s="49" t="e">
        <f t="shared" si="78"/>
        <v>#N/A</v>
      </c>
      <c r="P952" s="42"/>
      <c r="Q952" s="42"/>
      <c r="AE952" s="42"/>
      <c r="AF952" s="42"/>
      <c r="AG952" s="42"/>
      <c r="AH952" s="42"/>
      <c r="AI952" s="42"/>
      <c r="AJ952" s="42"/>
      <c r="AK952" s="42"/>
      <c r="AO952" s="86"/>
      <c r="AP952" s="87"/>
      <c r="AQ952" s="87"/>
      <c r="AR952" s="88"/>
      <c r="AS952" s="87"/>
      <c r="AT952" s="87"/>
    </row>
    <row r="953" spans="15:46" x14ac:dyDescent="0.25">
      <c r="O953" s="49" t="e">
        <f t="shared" si="78"/>
        <v>#N/A</v>
      </c>
      <c r="P953" s="42"/>
      <c r="Q953" s="42"/>
      <c r="AE953" s="42"/>
      <c r="AF953" s="42"/>
      <c r="AG953" s="42"/>
      <c r="AH953" s="42"/>
      <c r="AI953" s="42"/>
      <c r="AJ953" s="42"/>
      <c r="AK953" s="42"/>
      <c r="AO953" s="86"/>
      <c r="AP953" s="87"/>
      <c r="AQ953" s="87"/>
      <c r="AR953" s="88"/>
      <c r="AS953" s="87"/>
      <c r="AT953" s="87"/>
    </row>
    <row r="954" spans="15:46" x14ac:dyDescent="0.25">
      <c r="O954" s="49" t="e">
        <f t="shared" si="78"/>
        <v>#N/A</v>
      </c>
      <c r="P954" s="42"/>
      <c r="Q954" s="42"/>
      <c r="AE954" s="42"/>
      <c r="AF954" s="42"/>
      <c r="AG954" s="42"/>
      <c r="AH954" s="42"/>
      <c r="AI954" s="42"/>
      <c r="AJ954" s="42"/>
      <c r="AK954" s="42"/>
      <c r="AO954" s="86"/>
      <c r="AP954" s="87"/>
      <c r="AQ954" s="87"/>
      <c r="AR954" s="88"/>
      <c r="AS954" s="87"/>
      <c r="AT954" s="87"/>
    </row>
    <row r="955" spans="15:46" x14ac:dyDescent="0.25">
      <c r="O955" s="49" t="e">
        <f t="shared" si="78"/>
        <v>#N/A</v>
      </c>
      <c r="P955" s="42"/>
      <c r="Q955" s="42"/>
      <c r="AE955" s="42"/>
      <c r="AF955" s="42"/>
      <c r="AG955" s="42"/>
      <c r="AH955" s="42"/>
      <c r="AI955" s="42"/>
      <c r="AJ955" s="42"/>
      <c r="AK955" s="42"/>
      <c r="AO955" s="86"/>
      <c r="AP955" s="87"/>
      <c r="AQ955" s="87"/>
      <c r="AR955" s="88"/>
      <c r="AS955" s="87"/>
      <c r="AT955" s="87"/>
    </row>
    <row r="956" spans="15:46" x14ac:dyDescent="0.25">
      <c r="O956" s="49" t="e">
        <f t="shared" si="78"/>
        <v>#N/A</v>
      </c>
      <c r="P956" s="42"/>
      <c r="Q956" s="42"/>
      <c r="AE956" s="42"/>
      <c r="AF956" s="42"/>
      <c r="AG956" s="42"/>
      <c r="AH956" s="42"/>
      <c r="AI956" s="42"/>
      <c r="AJ956" s="42"/>
      <c r="AK956" s="42"/>
      <c r="AO956" s="86"/>
      <c r="AP956" s="87"/>
      <c r="AQ956" s="87"/>
      <c r="AR956" s="88"/>
      <c r="AS956" s="87"/>
      <c r="AT956" s="87"/>
    </row>
    <row r="957" spans="15:46" x14ac:dyDescent="0.25">
      <c r="O957" s="49" t="e">
        <f t="shared" si="78"/>
        <v>#N/A</v>
      </c>
      <c r="P957" s="42"/>
      <c r="Q957" s="42"/>
      <c r="AE957" s="42"/>
      <c r="AF957" s="42"/>
      <c r="AG957" s="42"/>
      <c r="AH957" s="42"/>
      <c r="AI957" s="42"/>
      <c r="AJ957" s="42"/>
      <c r="AK957" s="42"/>
      <c r="AO957" s="86"/>
      <c r="AP957" s="87"/>
      <c r="AQ957" s="87"/>
      <c r="AR957" s="88"/>
      <c r="AS957" s="87"/>
      <c r="AT957" s="87"/>
    </row>
    <row r="958" spans="15:46" x14ac:dyDescent="0.25">
      <c r="O958" s="49" t="e">
        <f t="shared" si="78"/>
        <v>#N/A</v>
      </c>
      <c r="P958" s="42"/>
      <c r="Q958" s="42"/>
      <c r="AE958" s="42"/>
      <c r="AF958" s="42"/>
      <c r="AG958" s="42"/>
      <c r="AH958" s="42"/>
      <c r="AI958" s="42"/>
      <c r="AJ958" s="42"/>
      <c r="AK958" s="42"/>
      <c r="AO958" s="86"/>
      <c r="AP958" s="87"/>
      <c r="AQ958" s="87"/>
      <c r="AR958" s="88"/>
      <c r="AS958" s="87"/>
      <c r="AT958" s="87"/>
    </row>
    <row r="959" spans="15:46" x14ac:dyDescent="0.25">
      <c r="O959" s="49" t="e">
        <f t="shared" si="78"/>
        <v>#N/A</v>
      </c>
      <c r="P959" s="42"/>
      <c r="Q959" s="42"/>
      <c r="AE959" s="42"/>
      <c r="AF959" s="42"/>
      <c r="AG959" s="42"/>
      <c r="AH959" s="42"/>
      <c r="AI959" s="42"/>
      <c r="AJ959" s="42"/>
      <c r="AK959" s="42"/>
      <c r="AO959" s="86"/>
      <c r="AP959" s="87"/>
      <c r="AQ959" s="87"/>
      <c r="AR959" s="88"/>
      <c r="AS959" s="87"/>
      <c r="AT959" s="87"/>
    </row>
    <row r="960" spans="15:46" x14ac:dyDescent="0.25">
      <c r="O960" s="49" t="e">
        <f t="shared" si="78"/>
        <v>#N/A</v>
      </c>
      <c r="P960" s="42"/>
      <c r="Q960" s="42"/>
      <c r="AE960" s="42"/>
      <c r="AF960" s="42"/>
      <c r="AG960" s="42"/>
      <c r="AH960" s="42"/>
      <c r="AI960" s="42"/>
      <c r="AJ960" s="42"/>
      <c r="AK960" s="42"/>
      <c r="AO960" s="86"/>
      <c r="AP960" s="87"/>
      <c r="AQ960" s="87"/>
      <c r="AR960" s="88"/>
      <c r="AS960" s="87"/>
      <c r="AT960" s="87"/>
    </row>
    <row r="961" spans="15:46" x14ac:dyDescent="0.25">
      <c r="O961" s="49" t="e">
        <f t="shared" si="78"/>
        <v>#N/A</v>
      </c>
      <c r="P961" s="42"/>
      <c r="Q961" s="42"/>
      <c r="AE961" s="42"/>
      <c r="AF961" s="42"/>
      <c r="AG961" s="42"/>
      <c r="AH961" s="42"/>
      <c r="AI961" s="42"/>
      <c r="AJ961" s="42"/>
      <c r="AK961" s="42"/>
      <c r="AO961" s="86"/>
      <c r="AP961" s="87"/>
      <c r="AQ961" s="87"/>
      <c r="AR961" s="88"/>
      <c r="AS961" s="87"/>
      <c r="AT961" s="87"/>
    </row>
    <row r="962" spans="15:46" x14ac:dyDescent="0.25">
      <c r="O962" s="49" t="e">
        <f t="shared" si="78"/>
        <v>#N/A</v>
      </c>
      <c r="P962" s="42"/>
      <c r="Q962" s="42"/>
      <c r="AE962" s="42"/>
      <c r="AF962" s="42"/>
      <c r="AG962" s="42"/>
      <c r="AH962" s="42"/>
      <c r="AI962" s="42"/>
      <c r="AJ962" s="42"/>
      <c r="AK962" s="42"/>
      <c r="AO962" s="86"/>
      <c r="AP962" s="87"/>
      <c r="AQ962" s="87"/>
      <c r="AR962" s="88"/>
      <c r="AS962" s="87"/>
      <c r="AT962" s="87"/>
    </row>
    <row r="963" spans="15:46" x14ac:dyDescent="0.25">
      <c r="O963" s="49" t="e">
        <f t="shared" si="78"/>
        <v>#N/A</v>
      </c>
      <c r="P963" s="42"/>
      <c r="Q963" s="42"/>
      <c r="AE963" s="42"/>
      <c r="AF963" s="42"/>
      <c r="AG963" s="42"/>
      <c r="AH963" s="42"/>
      <c r="AI963" s="42"/>
      <c r="AJ963" s="42"/>
      <c r="AK963" s="42"/>
      <c r="AO963" s="86"/>
      <c r="AP963" s="87"/>
      <c r="AQ963" s="87"/>
      <c r="AR963" s="88"/>
      <c r="AS963" s="87"/>
      <c r="AT963" s="87"/>
    </row>
    <row r="964" spans="15:46" x14ac:dyDescent="0.25">
      <c r="O964" s="49" t="e">
        <f t="shared" si="78"/>
        <v>#N/A</v>
      </c>
      <c r="P964" s="42"/>
      <c r="Q964" s="42"/>
      <c r="AE964" s="42"/>
      <c r="AF964" s="42"/>
      <c r="AG964" s="42"/>
      <c r="AH964" s="42"/>
      <c r="AI964" s="42"/>
      <c r="AJ964" s="42"/>
      <c r="AK964" s="42"/>
      <c r="AO964" s="86"/>
      <c r="AP964" s="87"/>
      <c r="AQ964" s="87"/>
      <c r="AR964" s="88"/>
      <c r="AS964" s="87"/>
      <c r="AT964" s="87"/>
    </row>
    <row r="965" spans="15:46" x14ac:dyDescent="0.25">
      <c r="O965" s="49" t="e">
        <f t="shared" si="78"/>
        <v>#N/A</v>
      </c>
      <c r="P965" s="42"/>
      <c r="Q965" s="42"/>
      <c r="AE965" s="42"/>
      <c r="AF965" s="42"/>
      <c r="AG965" s="42"/>
      <c r="AH965" s="42"/>
      <c r="AI965" s="42"/>
      <c r="AJ965" s="42"/>
      <c r="AK965" s="42"/>
      <c r="AO965" s="86"/>
      <c r="AP965" s="87"/>
      <c r="AQ965" s="87"/>
      <c r="AR965" s="88"/>
      <c r="AS965" s="87"/>
      <c r="AT965" s="87"/>
    </row>
    <row r="966" spans="15:46" x14ac:dyDescent="0.25">
      <c r="O966" s="49" t="e">
        <f t="shared" si="78"/>
        <v>#N/A</v>
      </c>
      <c r="P966" s="42"/>
      <c r="Q966" s="42"/>
      <c r="AE966" s="42"/>
      <c r="AF966" s="42"/>
      <c r="AG966" s="42"/>
      <c r="AH966" s="42"/>
      <c r="AI966" s="42"/>
      <c r="AJ966" s="42"/>
      <c r="AK966" s="42"/>
      <c r="AO966" s="86"/>
      <c r="AP966" s="87"/>
      <c r="AQ966" s="87"/>
      <c r="AR966" s="88"/>
      <c r="AS966" s="87"/>
      <c r="AT966" s="87"/>
    </row>
    <row r="967" spans="15:46" x14ac:dyDescent="0.25">
      <c r="O967" s="49" t="e">
        <f t="shared" si="78"/>
        <v>#N/A</v>
      </c>
      <c r="P967" s="42"/>
      <c r="Q967" s="42"/>
      <c r="AE967" s="42"/>
      <c r="AF967" s="42"/>
      <c r="AG967" s="42"/>
      <c r="AH967" s="42"/>
      <c r="AI967" s="42"/>
      <c r="AJ967" s="42"/>
      <c r="AK967" s="42"/>
      <c r="AO967" s="86"/>
      <c r="AP967" s="87"/>
      <c r="AQ967" s="87"/>
      <c r="AR967" s="88"/>
      <c r="AS967" s="87"/>
      <c r="AT967" s="87"/>
    </row>
    <row r="968" spans="15:46" x14ac:dyDescent="0.25">
      <c r="O968" s="49" t="e">
        <f t="shared" si="78"/>
        <v>#N/A</v>
      </c>
      <c r="P968" s="42"/>
      <c r="Q968" s="42"/>
      <c r="AE968" s="42"/>
      <c r="AF968" s="42"/>
      <c r="AG968" s="42"/>
      <c r="AH968" s="42"/>
      <c r="AI968" s="42"/>
      <c r="AJ968" s="42"/>
      <c r="AK968" s="42"/>
      <c r="AO968" s="86"/>
      <c r="AP968" s="87"/>
      <c r="AQ968" s="87"/>
      <c r="AR968" s="88"/>
      <c r="AS968" s="87"/>
      <c r="AT968" s="87"/>
    </row>
    <row r="969" spans="15:46" x14ac:dyDescent="0.25">
      <c r="O969" s="49" t="e">
        <f t="shared" si="78"/>
        <v>#N/A</v>
      </c>
      <c r="P969" s="42"/>
      <c r="Q969" s="42"/>
      <c r="AE969" s="42"/>
      <c r="AF969" s="42"/>
      <c r="AG969" s="42"/>
      <c r="AH969" s="42"/>
      <c r="AI969" s="42"/>
      <c r="AJ969" s="42"/>
      <c r="AK969" s="42"/>
      <c r="AO969" s="86"/>
      <c r="AP969" s="87"/>
      <c r="AQ969" s="87"/>
      <c r="AR969" s="88"/>
      <c r="AS969" s="87"/>
      <c r="AT969" s="87"/>
    </row>
    <row r="970" spans="15:46" x14ac:dyDescent="0.25">
      <c r="O970" s="49" t="e">
        <f t="shared" si="78"/>
        <v>#N/A</v>
      </c>
      <c r="P970" s="42"/>
      <c r="Q970" s="42"/>
      <c r="AE970" s="42"/>
      <c r="AF970" s="42"/>
      <c r="AG970" s="42"/>
      <c r="AH970" s="42"/>
      <c r="AI970" s="42"/>
      <c r="AJ970" s="42"/>
      <c r="AK970" s="42"/>
      <c r="AO970" s="86"/>
      <c r="AP970" s="87"/>
      <c r="AQ970" s="87"/>
      <c r="AR970" s="88"/>
      <c r="AS970" s="87"/>
      <c r="AT970" s="87"/>
    </row>
    <row r="971" spans="15:46" x14ac:dyDescent="0.25">
      <c r="O971" s="49" t="e">
        <f t="shared" si="78"/>
        <v>#N/A</v>
      </c>
      <c r="P971" s="42"/>
      <c r="Q971" s="42"/>
      <c r="AE971" s="42"/>
      <c r="AF971" s="42"/>
      <c r="AG971" s="42"/>
      <c r="AH971" s="42"/>
      <c r="AI971" s="42"/>
      <c r="AJ971" s="42"/>
      <c r="AK971" s="42"/>
      <c r="AO971" s="86"/>
      <c r="AP971" s="87"/>
      <c r="AQ971" s="87"/>
      <c r="AR971" s="88"/>
      <c r="AS971" s="87"/>
      <c r="AT971" s="87"/>
    </row>
    <row r="972" spans="15:46" x14ac:dyDescent="0.25">
      <c r="O972" s="49" t="e">
        <f t="shared" si="78"/>
        <v>#N/A</v>
      </c>
      <c r="P972" s="42"/>
      <c r="Q972" s="42"/>
      <c r="AE972" s="42"/>
      <c r="AF972" s="42"/>
      <c r="AG972" s="42"/>
      <c r="AH972" s="42"/>
      <c r="AI972" s="42"/>
      <c r="AJ972" s="42"/>
      <c r="AK972" s="42"/>
      <c r="AO972" s="86"/>
      <c r="AP972" s="87"/>
      <c r="AQ972" s="87"/>
      <c r="AR972" s="88"/>
      <c r="AS972" s="87"/>
      <c r="AT972" s="87"/>
    </row>
    <row r="973" spans="15:46" x14ac:dyDescent="0.25">
      <c r="O973" s="49" t="e">
        <f t="shared" si="78"/>
        <v>#N/A</v>
      </c>
      <c r="P973" s="42"/>
      <c r="Q973" s="42"/>
      <c r="AE973" s="42"/>
      <c r="AF973" s="42"/>
      <c r="AG973" s="42"/>
      <c r="AH973" s="42"/>
      <c r="AI973" s="42"/>
      <c r="AJ973" s="42"/>
      <c r="AK973" s="42"/>
      <c r="AO973" s="86"/>
      <c r="AP973" s="87"/>
      <c r="AQ973" s="87"/>
      <c r="AR973" s="88"/>
      <c r="AS973" s="87"/>
      <c r="AT973" s="87"/>
    </row>
    <row r="974" spans="15:46" x14ac:dyDescent="0.25">
      <c r="O974" s="49" t="e">
        <f t="shared" si="78"/>
        <v>#N/A</v>
      </c>
      <c r="P974" s="42"/>
      <c r="Q974" s="42"/>
      <c r="AE974" s="42"/>
      <c r="AF974" s="42"/>
      <c r="AG974" s="42"/>
      <c r="AH974" s="42"/>
      <c r="AI974" s="42"/>
      <c r="AJ974" s="42"/>
      <c r="AK974" s="42"/>
      <c r="AO974" s="86"/>
      <c r="AP974" s="87"/>
      <c r="AQ974" s="87"/>
      <c r="AR974" s="88"/>
      <c r="AS974" s="87"/>
      <c r="AT974" s="87"/>
    </row>
    <row r="975" spans="15:46" x14ac:dyDescent="0.25">
      <c r="O975" s="49" t="e">
        <f t="shared" si="78"/>
        <v>#N/A</v>
      </c>
      <c r="P975" s="42"/>
      <c r="Q975" s="42"/>
      <c r="AE975" s="42"/>
      <c r="AF975" s="42"/>
      <c r="AG975" s="42"/>
      <c r="AH975" s="42"/>
      <c r="AI975" s="42"/>
      <c r="AJ975" s="42"/>
      <c r="AK975" s="42"/>
      <c r="AO975" s="86"/>
      <c r="AP975" s="87"/>
      <c r="AQ975" s="87"/>
      <c r="AR975" s="88"/>
      <c r="AS975" s="87"/>
      <c r="AT975" s="87"/>
    </row>
    <row r="976" spans="15:46" x14ac:dyDescent="0.25">
      <c r="O976" s="49" t="e">
        <f t="shared" si="78"/>
        <v>#N/A</v>
      </c>
      <c r="P976" s="42"/>
      <c r="Q976" s="42"/>
      <c r="AE976" s="42"/>
      <c r="AF976" s="42"/>
      <c r="AG976" s="42"/>
      <c r="AH976" s="42"/>
      <c r="AI976" s="42"/>
      <c r="AJ976" s="42"/>
      <c r="AK976" s="42"/>
      <c r="AO976" s="86"/>
      <c r="AP976" s="87"/>
      <c r="AQ976" s="87"/>
      <c r="AR976" s="88"/>
      <c r="AS976" s="87"/>
      <c r="AT976" s="87"/>
    </row>
    <row r="977" spans="15:46" x14ac:dyDescent="0.25">
      <c r="O977" s="49" t="e">
        <f t="shared" si="78"/>
        <v>#N/A</v>
      </c>
      <c r="P977" s="42"/>
      <c r="Q977" s="42"/>
      <c r="AE977" s="42"/>
      <c r="AF977" s="42"/>
      <c r="AG977" s="42"/>
      <c r="AH977" s="42"/>
      <c r="AI977" s="42"/>
      <c r="AJ977" s="42"/>
      <c r="AK977" s="42"/>
      <c r="AO977" s="86"/>
      <c r="AP977" s="87"/>
      <c r="AQ977" s="87"/>
      <c r="AR977" s="88"/>
      <c r="AS977" s="87"/>
      <c r="AT977" s="87"/>
    </row>
    <row r="978" spans="15:46" x14ac:dyDescent="0.25">
      <c r="O978" s="49" t="e">
        <f t="shared" si="78"/>
        <v>#N/A</v>
      </c>
      <c r="P978" s="42"/>
      <c r="Q978" s="42"/>
      <c r="AE978" s="42"/>
      <c r="AF978" s="42"/>
      <c r="AG978" s="42"/>
      <c r="AH978" s="42"/>
      <c r="AI978" s="42"/>
      <c r="AJ978" s="42"/>
      <c r="AK978" s="42"/>
      <c r="AO978" s="86"/>
      <c r="AP978" s="87"/>
      <c r="AQ978" s="87"/>
      <c r="AR978" s="88"/>
      <c r="AS978" s="87"/>
      <c r="AT978" s="87"/>
    </row>
    <row r="979" spans="15:46" x14ac:dyDescent="0.25">
      <c r="O979" s="49" t="e">
        <f t="shared" si="78"/>
        <v>#N/A</v>
      </c>
      <c r="P979" s="42"/>
      <c r="Q979" s="42"/>
      <c r="AE979" s="42"/>
      <c r="AF979" s="42"/>
      <c r="AG979" s="42"/>
      <c r="AH979" s="42"/>
      <c r="AI979" s="42"/>
      <c r="AJ979" s="42"/>
      <c r="AK979" s="42"/>
      <c r="AO979" s="86"/>
      <c r="AP979" s="87"/>
      <c r="AQ979" s="87"/>
      <c r="AR979" s="88"/>
      <c r="AS979" s="87"/>
      <c r="AT979" s="87"/>
    </row>
    <row r="980" spans="15:46" x14ac:dyDescent="0.25">
      <c r="O980" s="49" t="e">
        <f t="shared" si="78"/>
        <v>#N/A</v>
      </c>
      <c r="P980" s="42"/>
      <c r="Q980" s="42"/>
      <c r="AE980" s="42"/>
      <c r="AF980" s="42"/>
      <c r="AG980" s="42"/>
      <c r="AH980" s="42"/>
      <c r="AI980" s="42"/>
      <c r="AJ980" s="42"/>
      <c r="AK980" s="42"/>
      <c r="AO980" s="86"/>
      <c r="AP980" s="87"/>
      <c r="AQ980" s="87"/>
      <c r="AR980" s="88"/>
      <c r="AS980" s="87"/>
      <c r="AT980" s="87"/>
    </row>
    <row r="981" spans="15:46" x14ac:dyDescent="0.25">
      <c r="O981" s="49" t="e">
        <f t="shared" si="78"/>
        <v>#N/A</v>
      </c>
      <c r="P981" s="42"/>
      <c r="Q981" s="42"/>
      <c r="AE981" s="42"/>
      <c r="AF981" s="42"/>
      <c r="AG981" s="42"/>
      <c r="AH981" s="42"/>
      <c r="AI981" s="42"/>
      <c r="AJ981" s="42"/>
      <c r="AK981" s="42"/>
      <c r="AO981" s="86"/>
      <c r="AP981" s="87"/>
      <c r="AQ981" s="87"/>
      <c r="AR981" s="88"/>
      <c r="AS981" s="87"/>
      <c r="AT981" s="87"/>
    </row>
    <row r="982" spans="15:46" x14ac:dyDescent="0.25">
      <c r="O982" s="49" t="e">
        <f t="shared" si="78"/>
        <v>#N/A</v>
      </c>
      <c r="P982" s="42"/>
      <c r="Q982" s="42"/>
      <c r="AE982" s="42"/>
      <c r="AF982" s="42"/>
      <c r="AG982" s="42"/>
      <c r="AH982" s="42"/>
      <c r="AI982" s="42"/>
      <c r="AJ982" s="42"/>
      <c r="AK982" s="42"/>
      <c r="AO982" s="86"/>
      <c r="AP982" s="87"/>
      <c r="AQ982" s="87"/>
      <c r="AR982" s="88"/>
      <c r="AS982" s="87"/>
      <c r="AT982" s="87"/>
    </row>
    <row r="983" spans="15:46" x14ac:dyDescent="0.25">
      <c r="O983" s="49" t="e">
        <f t="shared" ref="O983:O1046" si="79">IF(ISTEXT(N983),IF(MID(N983,11,2)="24",1+DATEVALUE(LEFT(N983,10))+TIMEVALUE(CONCATENATE(MID(N983,11,2),":",MID(N983,13,2))),DATEVALUE(LEFT(N983,10))+TIMEVALUE(CONCATENATE(MID(N983,11,2),":",MID(N983,13,2)))),#N/A)</f>
        <v>#N/A</v>
      </c>
      <c r="P983" s="42"/>
      <c r="Q983" s="42"/>
      <c r="AE983" s="42"/>
      <c r="AF983" s="42"/>
      <c r="AG983" s="42"/>
      <c r="AH983" s="42"/>
      <c r="AI983" s="42"/>
      <c r="AJ983" s="42"/>
      <c r="AK983" s="42"/>
      <c r="AO983" s="86"/>
      <c r="AP983" s="87"/>
      <c r="AQ983" s="87"/>
      <c r="AR983" s="88"/>
      <c r="AS983" s="87"/>
      <c r="AT983" s="87"/>
    </row>
    <row r="984" spans="15:46" x14ac:dyDescent="0.25">
      <c r="O984" s="49" t="e">
        <f t="shared" si="79"/>
        <v>#N/A</v>
      </c>
      <c r="P984" s="42"/>
      <c r="Q984" s="42"/>
      <c r="AE984" s="42"/>
      <c r="AF984" s="42"/>
      <c r="AG984" s="42"/>
      <c r="AH984" s="42"/>
      <c r="AI984" s="42"/>
      <c r="AJ984" s="42"/>
      <c r="AK984" s="42"/>
      <c r="AO984" s="86"/>
      <c r="AP984" s="87"/>
      <c r="AQ984" s="87"/>
      <c r="AR984" s="88"/>
      <c r="AS984" s="87"/>
      <c r="AT984" s="87"/>
    </row>
    <row r="985" spans="15:46" x14ac:dyDescent="0.25">
      <c r="O985" s="49" t="e">
        <f t="shared" si="79"/>
        <v>#N/A</v>
      </c>
      <c r="P985" s="42"/>
      <c r="Q985" s="42"/>
      <c r="AE985" s="42"/>
      <c r="AF985" s="42"/>
      <c r="AG985" s="42"/>
      <c r="AH985" s="42"/>
      <c r="AI985" s="42"/>
      <c r="AJ985" s="42"/>
      <c r="AK985" s="42"/>
      <c r="AO985" s="86"/>
      <c r="AP985" s="87"/>
      <c r="AQ985" s="87"/>
      <c r="AR985" s="88"/>
      <c r="AS985" s="87"/>
      <c r="AT985" s="87"/>
    </row>
    <row r="986" spans="15:46" x14ac:dyDescent="0.25">
      <c r="O986" s="49" t="e">
        <f t="shared" si="79"/>
        <v>#N/A</v>
      </c>
      <c r="P986" s="42"/>
      <c r="Q986" s="42"/>
      <c r="AE986" s="42"/>
      <c r="AF986" s="42"/>
      <c r="AG986" s="42"/>
      <c r="AH986" s="42"/>
      <c r="AI986" s="42"/>
      <c r="AJ986" s="42"/>
      <c r="AK986" s="42"/>
      <c r="AO986" s="86"/>
      <c r="AP986" s="87"/>
      <c r="AQ986" s="87"/>
      <c r="AR986" s="88"/>
      <c r="AS986" s="87"/>
      <c r="AT986" s="87"/>
    </row>
    <row r="987" spans="15:46" x14ac:dyDescent="0.25">
      <c r="O987" s="49" t="e">
        <f t="shared" si="79"/>
        <v>#N/A</v>
      </c>
      <c r="AE987" s="42"/>
      <c r="AF987" s="42"/>
      <c r="AG987" s="42"/>
      <c r="AH987" s="42"/>
      <c r="AI987" s="42"/>
      <c r="AJ987" s="42"/>
      <c r="AK987" s="42"/>
      <c r="AO987" s="86"/>
      <c r="AP987" s="87"/>
      <c r="AQ987" s="87"/>
      <c r="AR987" s="88"/>
      <c r="AS987" s="87"/>
      <c r="AT987" s="87"/>
    </row>
    <row r="988" spans="15:46" x14ac:dyDescent="0.25">
      <c r="O988" s="49" t="e">
        <f t="shared" si="79"/>
        <v>#N/A</v>
      </c>
      <c r="AE988" s="42"/>
      <c r="AF988" s="42"/>
      <c r="AG988" s="42"/>
      <c r="AH988" s="42"/>
      <c r="AI988" s="42"/>
      <c r="AJ988" s="42"/>
      <c r="AK988" s="42"/>
      <c r="AO988" s="86"/>
      <c r="AP988" s="87"/>
      <c r="AQ988" s="87"/>
      <c r="AR988" s="88"/>
      <c r="AS988" s="87"/>
      <c r="AT988" s="87"/>
    </row>
    <row r="989" spans="15:46" x14ac:dyDescent="0.25">
      <c r="O989" s="49" t="e">
        <f t="shared" si="79"/>
        <v>#N/A</v>
      </c>
      <c r="AE989" s="42"/>
      <c r="AF989" s="42"/>
      <c r="AG989" s="42"/>
      <c r="AH989" s="42"/>
      <c r="AI989" s="42"/>
      <c r="AJ989" s="42"/>
      <c r="AK989" s="42"/>
      <c r="AO989" s="86"/>
      <c r="AP989" s="87"/>
      <c r="AQ989" s="87"/>
      <c r="AR989" s="88"/>
      <c r="AS989" s="87"/>
      <c r="AT989" s="87"/>
    </row>
    <row r="990" spans="15:46" x14ac:dyDescent="0.25">
      <c r="O990" s="49" t="e">
        <f t="shared" si="79"/>
        <v>#N/A</v>
      </c>
      <c r="AE990" s="42"/>
      <c r="AF990" s="42"/>
      <c r="AG990" s="42"/>
      <c r="AH990" s="42"/>
      <c r="AI990" s="42"/>
      <c r="AJ990" s="42"/>
      <c r="AK990" s="42"/>
      <c r="AO990" s="86"/>
      <c r="AP990" s="87"/>
      <c r="AQ990" s="87"/>
      <c r="AR990" s="88"/>
      <c r="AS990" s="87"/>
      <c r="AT990" s="87"/>
    </row>
    <row r="991" spans="15:46" x14ac:dyDescent="0.25">
      <c r="O991" s="49" t="e">
        <f t="shared" si="79"/>
        <v>#N/A</v>
      </c>
      <c r="AE991" s="42"/>
      <c r="AF991" s="42"/>
      <c r="AG991" s="42"/>
      <c r="AH991" s="42"/>
      <c r="AI991" s="42"/>
      <c r="AJ991" s="42"/>
      <c r="AK991" s="42"/>
      <c r="AO991" s="86"/>
      <c r="AP991" s="87"/>
      <c r="AQ991" s="87"/>
      <c r="AR991" s="88"/>
      <c r="AS991" s="87"/>
      <c r="AT991" s="87"/>
    </row>
    <row r="992" spans="15:46" x14ac:dyDescent="0.25">
      <c r="O992" s="49" t="e">
        <f t="shared" si="79"/>
        <v>#N/A</v>
      </c>
      <c r="AE992" s="42"/>
      <c r="AF992" s="42"/>
      <c r="AG992" s="42"/>
      <c r="AH992" s="42"/>
      <c r="AI992" s="42"/>
      <c r="AJ992" s="42"/>
      <c r="AK992" s="42"/>
      <c r="AO992" s="86"/>
      <c r="AP992" s="87"/>
      <c r="AQ992" s="87"/>
      <c r="AR992" s="88"/>
      <c r="AS992" s="87"/>
      <c r="AT992" s="87"/>
    </row>
    <row r="993" spans="15:46" x14ac:dyDescent="0.25">
      <c r="O993" s="49" t="e">
        <f t="shared" si="79"/>
        <v>#N/A</v>
      </c>
      <c r="AE993" s="42"/>
      <c r="AF993" s="42"/>
      <c r="AG993" s="42"/>
      <c r="AH993" s="42"/>
      <c r="AI993" s="42"/>
      <c r="AJ993" s="42"/>
      <c r="AK993" s="42"/>
      <c r="AO993" s="86"/>
      <c r="AP993" s="87"/>
      <c r="AQ993" s="87"/>
      <c r="AR993" s="88"/>
      <c r="AS993" s="87"/>
      <c r="AT993" s="87"/>
    </row>
    <row r="994" spans="15:46" x14ac:dyDescent="0.25">
      <c r="O994" s="49" t="e">
        <f t="shared" si="79"/>
        <v>#N/A</v>
      </c>
      <c r="AE994" s="42"/>
      <c r="AF994" s="42"/>
      <c r="AG994" s="42"/>
      <c r="AH994" s="42"/>
      <c r="AI994" s="42"/>
      <c r="AJ994" s="42"/>
      <c r="AK994" s="42"/>
      <c r="AO994" s="86"/>
      <c r="AP994" s="87"/>
      <c r="AQ994" s="87"/>
      <c r="AR994" s="88"/>
      <c r="AS994" s="87"/>
      <c r="AT994" s="87"/>
    </row>
    <row r="995" spans="15:46" x14ac:dyDescent="0.25">
      <c r="O995" s="49" t="e">
        <f t="shared" si="79"/>
        <v>#N/A</v>
      </c>
      <c r="AE995" s="42"/>
      <c r="AF995" s="42"/>
      <c r="AG995" s="42"/>
      <c r="AH995" s="42"/>
      <c r="AI995" s="42"/>
      <c r="AJ995" s="42"/>
      <c r="AK995" s="42"/>
      <c r="AO995" s="86"/>
      <c r="AP995" s="87"/>
      <c r="AQ995" s="87"/>
      <c r="AR995" s="88"/>
      <c r="AS995" s="87"/>
      <c r="AT995" s="87"/>
    </row>
    <row r="996" spans="15:46" x14ac:dyDescent="0.25">
      <c r="O996" s="49" t="e">
        <f t="shared" si="79"/>
        <v>#N/A</v>
      </c>
      <c r="AE996" s="42"/>
      <c r="AF996" s="42"/>
      <c r="AG996" s="42"/>
      <c r="AH996" s="42"/>
      <c r="AI996" s="42"/>
      <c r="AJ996" s="42"/>
      <c r="AK996" s="42"/>
      <c r="AO996" s="86"/>
      <c r="AP996" s="87"/>
      <c r="AQ996" s="87"/>
      <c r="AR996" s="88"/>
      <c r="AS996" s="87"/>
      <c r="AT996" s="87"/>
    </row>
    <row r="997" spans="15:46" x14ac:dyDescent="0.25">
      <c r="O997" s="49" t="e">
        <f t="shared" si="79"/>
        <v>#N/A</v>
      </c>
      <c r="AE997" s="42"/>
      <c r="AF997" s="42"/>
      <c r="AG997" s="42"/>
      <c r="AH997" s="42"/>
      <c r="AI997" s="42"/>
      <c r="AJ997" s="42"/>
      <c r="AK997" s="42"/>
      <c r="AO997" s="86"/>
      <c r="AP997" s="87"/>
      <c r="AQ997" s="87"/>
      <c r="AR997" s="88"/>
      <c r="AS997" s="87"/>
      <c r="AT997" s="87"/>
    </row>
    <row r="998" spans="15:46" x14ac:dyDescent="0.25">
      <c r="O998" s="49" t="e">
        <f t="shared" si="79"/>
        <v>#N/A</v>
      </c>
      <c r="AE998" s="42"/>
      <c r="AF998" s="42"/>
      <c r="AG998" s="42"/>
      <c r="AH998" s="42"/>
      <c r="AI998" s="42"/>
      <c r="AJ998" s="42"/>
      <c r="AK998" s="42"/>
      <c r="AO998" s="86"/>
      <c r="AP998" s="87"/>
      <c r="AQ998" s="87"/>
      <c r="AR998" s="88"/>
      <c r="AS998" s="87"/>
      <c r="AT998" s="87"/>
    </row>
    <row r="999" spans="15:46" x14ac:dyDescent="0.25">
      <c r="O999" s="49" t="e">
        <f t="shared" si="79"/>
        <v>#N/A</v>
      </c>
      <c r="AE999" s="42"/>
      <c r="AF999" s="42"/>
      <c r="AG999" s="42"/>
      <c r="AH999" s="42"/>
      <c r="AI999" s="42"/>
      <c r="AJ999" s="42"/>
      <c r="AK999" s="42"/>
      <c r="AO999" s="86"/>
      <c r="AP999" s="87"/>
      <c r="AQ999" s="87"/>
      <c r="AR999" s="88"/>
      <c r="AS999" s="87"/>
      <c r="AT999" s="87"/>
    </row>
    <row r="1000" spans="15:46" x14ac:dyDescent="0.25">
      <c r="O1000" s="49" t="e">
        <f t="shared" si="79"/>
        <v>#N/A</v>
      </c>
      <c r="AE1000" s="42"/>
      <c r="AF1000" s="42"/>
      <c r="AG1000" s="42"/>
      <c r="AH1000" s="42"/>
      <c r="AI1000" s="42"/>
      <c r="AJ1000" s="42"/>
      <c r="AK1000" s="42"/>
      <c r="AO1000" s="86"/>
      <c r="AP1000" s="87"/>
      <c r="AQ1000" s="87"/>
      <c r="AR1000" s="88"/>
      <c r="AS1000" s="87"/>
      <c r="AT1000" s="87"/>
    </row>
    <row r="1001" spans="15:46" x14ac:dyDescent="0.25">
      <c r="O1001" s="49" t="e">
        <f t="shared" si="79"/>
        <v>#N/A</v>
      </c>
      <c r="AE1001" s="42"/>
      <c r="AF1001" s="42"/>
      <c r="AG1001" s="42"/>
      <c r="AH1001" s="42"/>
      <c r="AI1001" s="42"/>
      <c r="AJ1001" s="42"/>
      <c r="AK1001" s="42"/>
      <c r="AO1001" s="86"/>
      <c r="AP1001" s="87"/>
      <c r="AQ1001" s="87"/>
      <c r="AR1001" s="88"/>
      <c r="AS1001" s="87"/>
      <c r="AT1001" s="87"/>
    </row>
    <row r="1002" spans="15:46" x14ac:dyDescent="0.25">
      <c r="O1002" s="49" t="e">
        <f t="shared" si="79"/>
        <v>#N/A</v>
      </c>
      <c r="AE1002" s="42"/>
      <c r="AF1002" s="42"/>
      <c r="AG1002" s="42"/>
      <c r="AH1002" s="42"/>
      <c r="AI1002" s="42"/>
      <c r="AJ1002" s="42"/>
      <c r="AK1002" s="42"/>
      <c r="AO1002" s="86"/>
      <c r="AP1002" s="87"/>
      <c r="AQ1002" s="87"/>
      <c r="AR1002" s="88"/>
      <c r="AS1002" s="87"/>
      <c r="AT1002" s="87"/>
    </row>
    <row r="1003" spans="15:46" x14ac:dyDescent="0.25">
      <c r="O1003" s="49" t="e">
        <f t="shared" si="79"/>
        <v>#N/A</v>
      </c>
      <c r="AE1003" s="42"/>
      <c r="AF1003" s="42"/>
      <c r="AG1003" s="42"/>
      <c r="AH1003" s="42"/>
      <c r="AI1003" s="42"/>
      <c r="AJ1003" s="42"/>
      <c r="AK1003" s="42"/>
      <c r="AO1003" s="86"/>
      <c r="AP1003" s="87"/>
      <c r="AQ1003" s="87"/>
      <c r="AR1003" s="88"/>
      <c r="AS1003" s="87"/>
      <c r="AT1003" s="87"/>
    </row>
    <row r="1004" spans="15:46" x14ac:dyDescent="0.25">
      <c r="O1004" s="49" t="e">
        <f t="shared" si="79"/>
        <v>#N/A</v>
      </c>
      <c r="AE1004" s="42"/>
      <c r="AF1004" s="42"/>
      <c r="AG1004" s="42"/>
      <c r="AH1004" s="42"/>
      <c r="AI1004" s="42"/>
      <c r="AJ1004" s="42"/>
      <c r="AK1004" s="42"/>
      <c r="AO1004" s="86"/>
      <c r="AP1004" s="87"/>
      <c r="AQ1004" s="87"/>
      <c r="AR1004" s="88"/>
      <c r="AS1004" s="87"/>
      <c r="AT1004" s="87"/>
    </row>
    <row r="1005" spans="15:46" x14ac:dyDescent="0.25">
      <c r="O1005" s="49" t="e">
        <f t="shared" si="79"/>
        <v>#N/A</v>
      </c>
      <c r="AE1005" s="42"/>
      <c r="AF1005" s="42"/>
      <c r="AG1005" s="42"/>
      <c r="AH1005" s="42"/>
      <c r="AI1005" s="42"/>
      <c r="AJ1005" s="42"/>
      <c r="AK1005" s="42"/>
      <c r="AO1005" s="86"/>
      <c r="AP1005" s="87"/>
      <c r="AQ1005" s="87"/>
      <c r="AR1005" s="88"/>
      <c r="AS1005" s="87"/>
      <c r="AT1005" s="87"/>
    </row>
    <row r="1006" spans="15:46" x14ac:dyDescent="0.25">
      <c r="O1006" s="49" t="e">
        <f t="shared" si="79"/>
        <v>#N/A</v>
      </c>
      <c r="AE1006" s="42"/>
      <c r="AF1006" s="42"/>
      <c r="AG1006" s="42"/>
      <c r="AH1006" s="42"/>
      <c r="AI1006" s="42"/>
      <c r="AJ1006" s="42"/>
      <c r="AK1006" s="42"/>
      <c r="AO1006" s="86"/>
      <c r="AP1006" s="87"/>
      <c r="AQ1006" s="87"/>
      <c r="AR1006" s="88"/>
      <c r="AS1006" s="87"/>
      <c r="AT1006" s="87"/>
    </row>
    <row r="1007" spans="15:46" x14ac:dyDescent="0.25">
      <c r="O1007" s="49" t="e">
        <f t="shared" si="79"/>
        <v>#N/A</v>
      </c>
      <c r="AE1007" s="42"/>
      <c r="AF1007" s="42"/>
      <c r="AG1007" s="42"/>
      <c r="AH1007" s="42"/>
      <c r="AI1007" s="42"/>
      <c r="AJ1007" s="42"/>
      <c r="AK1007" s="42"/>
      <c r="AO1007" s="86"/>
      <c r="AP1007" s="87"/>
      <c r="AQ1007" s="87"/>
      <c r="AR1007" s="88"/>
      <c r="AS1007" s="87"/>
      <c r="AT1007" s="87"/>
    </row>
    <row r="1008" spans="15:46" x14ac:dyDescent="0.25">
      <c r="O1008" s="49" t="e">
        <f t="shared" si="79"/>
        <v>#N/A</v>
      </c>
      <c r="AE1008" s="42"/>
      <c r="AF1008" s="42"/>
      <c r="AG1008" s="42"/>
      <c r="AH1008" s="42"/>
      <c r="AI1008" s="42"/>
      <c r="AJ1008" s="42"/>
      <c r="AK1008" s="42"/>
      <c r="AO1008" s="86"/>
      <c r="AP1008" s="87"/>
      <c r="AQ1008" s="87"/>
      <c r="AR1008" s="88"/>
      <c r="AS1008" s="87"/>
      <c r="AT1008" s="87"/>
    </row>
    <row r="1009" spans="15:46" x14ac:dyDescent="0.25">
      <c r="O1009" s="49" t="e">
        <f t="shared" si="79"/>
        <v>#N/A</v>
      </c>
      <c r="AE1009" s="42"/>
      <c r="AF1009" s="42"/>
      <c r="AG1009" s="42"/>
      <c r="AH1009" s="42"/>
      <c r="AI1009" s="42"/>
      <c r="AJ1009" s="42"/>
      <c r="AK1009" s="42"/>
      <c r="AO1009" s="86"/>
      <c r="AP1009" s="87"/>
      <c r="AQ1009" s="87"/>
      <c r="AR1009" s="88"/>
      <c r="AS1009" s="87"/>
      <c r="AT1009" s="87"/>
    </row>
    <row r="1010" spans="15:46" x14ac:dyDescent="0.25">
      <c r="O1010" s="49" t="e">
        <f t="shared" si="79"/>
        <v>#N/A</v>
      </c>
      <c r="AE1010" s="42"/>
      <c r="AF1010" s="42"/>
      <c r="AG1010" s="42"/>
      <c r="AH1010" s="42"/>
      <c r="AI1010" s="42"/>
      <c r="AJ1010" s="42"/>
      <c r="AK1010" s="42"/>
      <c r="AO1010" s="86"/>
      <c r="AP1010" s="87"/>
      <c r="AQ1010" s="87"/>
      <c r="AR1010" s="88"/>
      <c r="AS1010" s="87"/>
      <c r="AT1010" s="87"/>
    </row>
    <row r="1011" spans="15:46" x14ac:dyDescent="0.25">
      <c r="O1011" s="49" t="e">
        <f t="shared" si="79"/>
        <v>#N/A</v>
      </c>
      <c r="AE1011" s="42"/>
      <c r="AF1011" s="42"/>
      <c r="AG1011" s="42"/>
      <c r="AH1011" s="42"/>
      <c r="AI1011" s="42"/>
      <c r="AJ1011" s="42"/>
      <c r="AK1011" s="42"/>
      <c r="AO1011" s="86"/>
      <c r="AP1011" s="87"/>
      <c r="AQ1011" s="87"/>
      <c r="AR1011" s="88"/>
      <c r="AS1011" s="87"/>
      <c r="AT1011" s="87"/>
    </row>
    <row r="1012" spans="15:46" x14ac:dyDescent="0.25">
      <c r="O1012" s="49" t="e">
        <f t="shared" si="79"/>
        <v>#N/A</v>
      </c>
      <c r="AE1012" s="42"/>
      <c r="AF1012" s="42"/>
      <c r="AG1012" s="42"/>
      <c r="AH1012" s="42"/>
      <c r="AI1012" s="42"/>
      <c r="AJ1012" s="42"/>
      <c r="AK1012" s="42"/>
      <c r="AO1012" s="86"/>
      <c r="AP1012" s="87"/>
      <c r="AQ1012" s="87"/>
      <c r="AR1012" s="88"/>
      <c r="AS1012" s="87"/>
      <c r="AT1012" s="87"/>
    </row>
    <row r="1013" spans="15:46" x14ac:dyDescent="0.25">
      <c r="O1013" s="49" t="e">
        <f t="shared" si="79"/>
        <v>#N/A</v>
      </c>
      <c r="AE1013" s="42"/>
      <c r="AF1013" s="42"/>
      <c r="AG1013" s="42"/>
      <c r="AH1013" s="42"/>
      <c r="AI1013" s="42"/>
      <c r="AJ1013" s="42"/>
      <c r="AK1013" s="42"/>
      <c r="AO1013" s="86"/>
      <c r="AP1013" s="87"/>
      <c r="AQ1013" s="87"/>
      <c r="AR1013" s="88"/>
      <c r="AS1013" s="87"/>
      <c r="AT1013" s="87"/>
    </row>
    <row r="1014" spans="15:46" x14ac:dyDescent="0.25">
      <c r="O1014" s="49" t="e">
        <f t="shared" si="79"/>
        <v>#N/A</v>
      </c>
      <c r="AE1014" s="42"/>
      <c r="AF1014" s="42"/>
      <c r="AG1014" s="42"/>
      <c r="AH1014" s="42"/>
      <c r="AI1014" s="42"/>
      <c r="AJ1014" s="42"/>
      <c r="AK1014" s="42"/>
      <c r="AO1014" s="86"/>
      <c r="AP1014" s="87"/>
      <c r="AQ1014" s="87"/>
      <c r="AR1014" s="88"/>
      <c r="AS1014" s="87"/>
      <c r="AT1014" s="87"/>
    </row>
    <row r="1015" spans="15:46" x14ac:dyDescent="0.25">
      <c r="O1015" s="49" t="e">
        <f t="shared" si="79"/>
        <v>#N/A</v>
      </c>
      <c r="AE1015" s="42"/>
      <c r="AF1015" s="42"/>
      <c r="AG1015" s="42"/>
      <c r="AH1015" s="42"/>
      <c r="AI1015" s="42"/>
      <c r="AJ1015" s="42"/>
      <c r="AK1015" s="42"/>
      <c r="AO1015" s="86"/>
      <c r="AP1015" s="87"/>
      <c r="AQ1015" s="87"/>
      <c r="AR1015" s="88"/>
      <c r="AS1015" s="87"/>
      <c r="AT1015" s="87"/>
    </row>
    <row r="1016" spans="15:46" x14ac:dyDescent="0.25">
      <c r="O1016" s="49" t="e">
        <f t="shared" si="79"/>
        <v>#N/A</v>
      </c>
      <c r="AE1016" s="42"/>
      <c r="AF1016" s="42"/>
      <c r="AG1016" s="42"/>
      <c r="AH1016" s="42"/>
      <c r="AI1016" s="42"/>
      <c r="AJ1016" s="42"/>
      <c r="AK1016" s="42"/>
      <c r="AO1016" s="86"/>
      <c r="AP1016" s="87"/>
      <c r="AQ1016" s="87"/>
      <c r="AR1016" s="88"/>
      <c r="AS1016" s="87"/>
      <c r="AT1016" s="87"/>
    </row>
    <row r="1017" spans="15:46" x14ac:dyDescent="0.25">
      <c r="O1017" s="49" t="e">
        <f t="shared" si="79"/>
        <v>#N/A</v>
      </c>
      <c r="AE1017" s="42"/>
      <c r="AF1017" s="42"/>
      <c r="AG1017" s="42"/>
      <c r="AH1017" s="42"/>
      <c r="AI1017" s="42"/>
      <c r="AJ1017" s="42"/>
      <c r="AK1017" s="42"/>
      <c r="AO1017" s="86"/>
      <c r="AP1017" s="87"/>
      <c r="AQ1017" s="87"/>
      <c r="AR1017" s="88"/>
      <c r="AS1017" s="87"/>
      <c r="AT1017" s="87"/>
    </row>
    <row r="1018" spans="15:46" x14ac:dyDescent="0.25">
      <c r="O1018" s="49" t="e">
        <f t="shared" si="79"/>
        <v>#N/A</v>
      </c>
      <c r="AE1018" s="42"/>
      <c r="AF1018" s="42"/>
      <c r="AG1018" s="42"/>
      <c r="AH1018" s="42"/>
      <c r="AI1018" s="42"/>
      <c r="AJ1018" s="42"/>
      <c r="AK1018" s="42"/>
      <c r="AO1018" s="86"/>
      <c r="AP1018" s="87"/>
      <c r="AQ1018" s="87"/>
      <c r="AR1018" s="88"/>
      <c r="AS1018" s="87"/>
      <c r="AT1018" s="87"/>
    </row>
    <row r="1019" spans="15:46" x14ac:dyDescent="0.25">
      <c r="O1019" s="49" t="e">
        <f t="shared" si="79"/>
        <v>#N/A</v>
      </c>
      <c r="AE1019" s="42"/>
      <c r="AF1019" s="42"/>
      <c r="AG1019" s="42"/>
      <c r="AH1019" s="42"/>
      <c r="AI1019" s="42"/>
      <c r="AJ1019" s="42"/>
      <c r="AK1019" s="42"/>
      <c r="AO1019" s="86"/>
      <c r="AP1019" s="87"/>
      <c r="AQ1019" s="87"/>
      <c r="AR1019" s="88"/>
      <c r="AS1019" s="87"/>
      <c r="AT1019" s="87"/>
    </row>
    <row r="1020" spans="15:46" x14ac:dyDescent="0.25">
      <c r="O1020" s="49" t="e">
        <f t="shared" si="79"/>
        <v>#N/A</v>
      </c>
      <c r="AE1020" s="42"/>
      <c r="AF1020" s="42"/>
      <c r="AG1020" s="42"/>
      <c r="AH1020" s="42"/>
      <c r="AI1020" s="42"/>
      <c r="AJ1020" s="42"/>
      <c r="AK1020" s="42"/>
      <c r="AO1020" s="86"/>
      <c r="AP1020" s="87"/>
      <c r="AQ1020" s="87"/>
      <c r="AR1020" s="88"/>
      <c r="AS1020" s="87"/>
      <c r="AT1020" s="87"/>
    </row>
    <row r="1021" spans="15:46" x14ac:dyDescent="0.25">
      <c r="O1021" s="49" t="e">
        <f t="shared" si="79"/>
        <v>#N/A</v>
      </c>
      <c r="AE1021" s="42"/>
      <c r="AF1021" s="42"/>
      <c r="AG1021" s="42"/>
      <c r="AH1021" s="42"/>
      <c r="AI1021" s="42"/>
      <c r="AJ1021" s="42"/>
      <c r="AK1021" s="42"/>
      <c r="AO1021" s="86"/>
      <c r="AP1021" s="87"/>
      <c r="AQ1021" s="87"/>
      <c r="AR1021" s="88"/>
      <c r="AS1021" s="87"/>
      <c r="AT1021" s="87"/>
    </row>
    <row r="1022" spans="15:46" x14ac:dyDescent="0.25">
      <c r="O1022" s="49" t="e">
        <f t="shared" si="79"/>
        <v>#N/A</v>
      </c>
      <c r="AE1022" s="42"/>
      <c r="AF1022" s="42"/>
      <c r="AG1022" s="42"/>
      <c r="AH1022" s="42"/>
      <c r="AI1022" s="42"/>
      <c r="AJ1022" s="42"/>
      <c r="AK1022" s="42"/>
      <c r="AO1022" s="86"/>
      <c r="AP1022" s="87"/>
      <c r="AQ1022" s="87"/>
      <c r="AR1022" s="88"/>
      <c r="AS1022" s="87"/>
      <c r="AT1022" s="87"/>
    </row>
    <row r="1023" spans="15:46" x14ac:dyDescent="0.25">
      <c r="O1023" s="49" t="e">
        <f t="shared" si="79"/>
        <v>#N/A</v>
      </c>
      <c r="AE1023" s="42"/>
      <c r="AF1023" s="42"/>
      <c r="AG1023" s="42"/>
      <c r="AH1023" s="42"/>
      <c r="AI1023" s="42"/>
      <c r="AJ1023" s="42"/>
      <c r="AK1023" s="42"/>
      <c r="AO1023" s="86"/>
      <c r="AP1023" s="87"/>
      <c r="AQ1023" s="87"/>
      <c r="AR1023" s="88"/>
      <c r="AS1023" s="87"/>
      <c r="AT1023" s="87"/>
    </row>
    <row r="1024" spans="15:46" x14ac:dyDescent="0.25">
      <c r="O1024" s="49" t="e">
        <f t="shared" si="79"/>
        <v>#N/A</v>
      </c>
      <c r="AE1024" s="42"/>
      <c r="AF1024" s="42"/>
      <c r="AG1024" s="42"/>
      <c r="AH1024" s="42"/>
      <c r="AI1024" s="42"/>
      <c r="AJ1024" s="42"/>
      <c r="AK1024" s="42"/>
      <c r="AO1024" s="86"/>
      <c r="AP1024" s="87"/>
      <c r="AQ1024" s="87"/>
      <c r="AR1024" s="88"/>
      <c r="AS1024" s="87"/>
      <c r="AT1024" s="87"/>
    </row>
    <row r="1025" spans="15:46" x14ac:dyDescent="0.25">
      <c r="O1025" s="49" t="e">
        <f t="shared" si="79"/>
        <v>#N/A</v>
      </c>
      <c r="AE1025" s="42"/>
      <c r="AF1025" s="42"/>
      <c r="AG1025" s="42"/>
      <c r="AH1025" s="42"/>
      <c r="AI1025" s="42"/>
      <c r="AJ1025" s="42"/>
      <c r="AK1025" s="42"/>
      <c r="AO1025" s="86"/>
      <c r="AP1025" s="87"/>
      <c r="AQ1025" s="87"/>
      <c r="AR1025" s="88"/>
      <c r="AS1025" s="87"/>
      <c r="AT1025" s="87"/>
    </row>
    <row r="1026" spans="15:46" x14ac:dyDescent="0.25">
      <c r="O1026" s="49" t="e">
        <f t="shared" si="79"/>
        <v>#N/A</v>
      </c>
      <c r="AE1026" s="42"/>
      <c r="AF1026" s="42"/>
      <c r="AG1026" s="42"/>
      <c r="AH1026" s="42"/>
      <c r="AI1026" s="42"/>
      <c r="AJ1026" s="42"/>
      <c r="AK1026" s="42"/>
      <c r="AO1026" s="86"/>
      <c r="AP1026" s="87"/>
      <c r="AQ1026" s="87"/>
      <c r="AR1026" s="88"/>
      <c r="AS1026" s="87"/>
      <c r="AT1026" s="87"/>
    </row>
    <row r="1027" spans="15:46" x14ac:dyDescent="0.25">
      <c r="O1027" s="49" t="e">
        <f t="shared" si="79"/>
        <v>#N/A</v>
      </c>
      <c r="AE1027" s="42"/>
      <c r="AF1027" s="42"/>
      <c r="AG1027" s="42"/>
      <c r="AH1027" s="42"/>
      <c r="AI1027" s="42"/>
      <c r="AJ1027" s="42"/>
      <c r="AK1027" s="42"/>
      <c r="AO1027" s="86"/>
      <c r="AP1027" s="87"/>
      <c r="AQ1027" s="87"/>
      <c r="AR1027" s="88"/>
      <c r="AS1027" s="87"/>
      <c r="AT1027" s="87"/>
    </row>
    <row r="1028" spans="15:46" x14ac:dyDescent="0.25">
      <c r="O1028" s="49" t="e">
        <f t="shared" si="79"/>
        <v>#N/A</v>
      </c>
      <c r="AE1028" s="42"/>
      <c r="AF1028" s="42"/>
      <c r="AG1028" s="42"/>
      <c r="AH1028" s="42"/>
      <c r="AI1028" s="42"/>
      <c r="AJ1028" s="42"/>
      <c r="AK1028" s="42"/>
      <c r="AO1028" s="86"/>
      <c r="AP1028" s="87"/>
      <c r="AQ1028" s="87"/>
      <c r="AR1028" s="88"/>
      <c r="AS1028" s="87"/>
      <c r="AT1028" s="87"/>
    </row>
    <row r="1029" spans="15:46" x14ac:dyDescent="0.25">
      <c r="O1029" s="49" t="e">
        <f t="shared" si="79"/>
        <v>#N/A</v>
      </c>
      <c r="AE1029" s="42"/>
      <c r="AF1029" s="42"/>
      <c r="AG1029" s="42"/>
      <c r="AH1029" s="42"/>
      <c r="AI1029" s="42"/>
      <c r="AJ1029" s="42"/>
      <c r="AK1029" s="42"/>
      <c r="AO1029" s="86"/>
      <c r="AP1029" s="87"/>
      <c r="AQ1029" s="87"/>
      <c r="AR1029" s="88"/>
      <c r="AS1029" s="87"/>
      <c r="AT1029" s="87"/>
    </row>
    <row r="1030" spans="15:46" x14ac:dyDescent="0.25">
      <c r="O1030" s="49" t="e">
        <f t="shared" si="79"/>
        <v>#N/A</v>
      </c>
      <c r="AE1030" s="42"/>
      <c r="AF1030" s="42"/>
      <c r="AG1030" s="42"/>
      <c r="AH1030" s="42"/>
      <c r="AI1030" s="42"/>
      <c r="AJ1030" s="42"/>
      <c r="AK1030" s="42"/>
      <c r="AO1030" s="86"/>
      <c r="AP1030" s="87"/>
      <c r="AQ1030" s="87"/>
      <c r="AR1030" s="88"/>
      <c r="AS1030" s="87"/>
      <c r="AT1030" s="87"/>
    </row>
    <row r="1031" spans="15:46" x14ac:dyDescent="0.25">
      <c r="O1031" s="49" t="e">
        <f t="shared" si="79"/>
        <v>#N/A</v>
      </c>
      <c r="AE1031" s="42"/>
      <c r="AF1031" s="42"/>
      <c r="AG1031" s="42"/>
      <c r="AH1031" s="42"/>
      <c r="AI1031" s="42"/>
      <c r="AJ1031" s="42"/>
      <c r="AK1031" s="42"/>
      <c r="AO1031" s="86"/>
      <c r="AP1031" s="87"/>
      <c r="AQ1031" s="87"/>
      <c r="AR1031" s="88"/>
      <c r="AS1031" s="87"/>
      <c r="AT1031" s="87"/>
    </row>
    <row r="1032" spans="15:46" x14ac:dyDescent="0.25">
      <c r="O1032" s="49" t="e">
        <f t="shared" si="79"/>
        <v>#N/A</v>
      </c>
      <c r="AE1032" s="42"/>
      <c r="AF1032" s="42"/>
      <c r="AG1032" s="42"/>
      <c r="AH1032" s="42"/>
      <c r="AI1032" s="42"/>
      <c r="AJ1032" s="42"/>
      <c r="AK1032" s="42"/>
      <c r="AO1032" s="86"/>
      <c r="AP1032" s="87"/>
      <c r="AQ1032" s="87"/>
      <c r="AR1032" s="88"/>
      <c r="AS1032" s="87"/>
      <c r="AT1032" s="87"/>
    </row>
    <row r="1033" spans="15:46" x14ac:dyDescent="0.25">
      <c r="O1033" s="49" t="e">
        <f t="shared" si="79"/>
        <v>#N/A</v>
      </c>
      <c r="AE1033" s="42"/>
      <c r="AF1033" s="42"/>
      <c r="AG1033" s="42"/>
      <c r="AH1033" s="42"/>
      <c r="AI1033" s="42"/>
      <c r="AJ1033" s="42"/>
      <c r="AK1033" s="42"/>
      <c r="AO1033" s="86"/>
      <c r="AP1033" s="87"/>
      <c r="AQ1033" s="87"/>
      <c r="AR1033" s="88"/>
      <c r="AS1033" s="87"/>
      <c r="AT1033" s="87"/>
    </row>
    <row r="1034" spans="15:46" x14ac:dyDescent="0.25">
      <c r="O1034" s="49" t="e">
        <f t="shared" si="79"/>
        <v>#N/A</v>
      </c>
      <c r="AE1034" s="42"/>
      <c r="AF1034" s="42"/>
      <c r="AG1034" s="42"/>
      <c r="AH1034" s="42"/>
      <c r="AI1034" s="42"/>
      <c r="AJ1034" s="42"/>
      <c r="AK1034" s="42"/>
      <c r="AO1034" s="86"/>
      <c r="AP1034" s="87"/>
      <c r="AQ1034" s="87"/>
      <c r="AR1034" s="88"/>
      <c r="AS1034" s="87"/>
      <c r="AT1034" s="87"/>
    </row>
    <row r="1035" spans="15:46" x14ac:dyDescent="0.25">
      <c r="O1035" s="49" t="e">
        <f t="shared" si="79"/>
        <v>#N/A</v>
      </c>
      <c r="AE1035" s="42"/>
      <c r="AF1035" s="42"/>
      <c r="AG1035" s="42"/>
      <c r="AH1035" s="42"/>
      <c r="AI1035" s="42"/>
      <c r="AJ1035" s="42"/>
      <c r="AK1035" s="42"/>
      <c r="AO1035" s="86"/>
      <c r="AP1035" s="87"/>
      <c r="AQ1035" s="87"/>
      <c r="AR1035" s="88"/>
      <c r="AS1035" s="87"/>
      <c r="AT1035" s="87"/>
    </row>
    <row r="1036" spans="15:46" x14ac:dyDescent="0.25">
      <c r="O1036" s="49" t="e">
        <f t="shared" si="79"/>
        <v>#N/A</v>
      </c>
      <c r="AE1036" s="42"/>
      <c r="AF1036" s="42"/>
      <c r="AG1036" s="42"/>
      <c r="AH1036" s="42"/>
      <c r="AI1036" s="42"/>
      <c r="AJ1036" s="42"/>
      <c r="AK1036" s="42"/>
      <c r="AO1036" s="86"/>
      <c r="AP1036" s="87"/>
      <c r="AQ1036" s="87"/>
      <c r="AR1036" s="88"/>
      <c r="AS1036" s="87"/>
      <c r="AT1036" s="87"/>
    </row>
    <row r="1037" spans="15:46" x14ac:dyDescent="0.25">
      <c r="O1037" s="49" t="e">
        <f t="shared" si="79"/>
        <v>#N/A</v>
      </c>
      <c r="AE1037" s="42"/>
      <c r="AF1037" s="42"/>
      <c r="AG1037" s="42"/>
      <c r="AH1037" s="42"/>
      <c r="AI1037" s="42"/>
      <c r="AJ1037" s="42"/>
      <c r="AK1037" s="42"/>
      <c r="AO1037" s="86"/>
      <c r="AP1037" s="87"/>
      <c r="AQ1037" s="87"/>
      <c r="AR1037" s="88"/>
      <c r="AS1037" s="87"/>
      <c r="AT1037" s="87"/>
    </row>
    <row r="1038" spans="15:46" x14ac:dyDescent="0.25">
      <c r="O1038" s="49" t="e">
        <f t="shared" si="79"/>
        <v>#N/A</v>
      </c>
      <c r="AE1038" s="42"/>
      <c r="AF1038" s="42"/>
      <c r="AG1038" s="42"/>
      <c r="AH1038" s="42"/>
      <c r="AI1038" s="42"/>
      <c r="AJ1038" s="42"/>
      <c r="AK1038" s="42"/>
      <c r="AO1038" s="86"/>
      <c r="AP1038" s="87"/>
      <c r="AQ1038" s="87"/>
      <c r="AR1038" s="88"/>
      <c r="AS1038" s="87"/>
      <c r="AT1038" s="87"/>
    </row>
    <row r="1039" spans="15:46" x14ac:dyDescent="0.25">
      <c r="O1039" s="49" t="e">
        <f t="shared" si="79"/>
        <v>#N/A</v>
      </c>
      <c r="AE1039" s="42"/>
      <c r="AF1039" s="42"/>
      <c r="AG1039" s="42"/>
      <c r="AH1039" s="42"/>
      <c r="AI1039" s="42"/>
      <c r="AJ1039" s="42"/>
      <c r="AK1039" s="42"/>
      <c r="AO1039" s="86"/>
      <c r="AP1039" s="87"/>
      <c r="AQ1039" s="87"/>
      <c r="AR1039" s="88"/>
      <c r="AS1039" s="87"/>
      <c r="AT1039" s="87"/>
    </row>
    <row r="1040" spans="15:46" x14ac:dyDescent="0.25">
      <c r="O1040" s="49" t="e">
        <f t="shared" si="79"/>
        <v>#N/A</v>
      </c>
      <c r="AE1040" s="42"/>
      <c r="AF1040" s="42"/>
      <c r="AG1040" s="42"/>
      <c r="AH1040" s="42"/>
      <c r="AI1040" s="42"/>
      <c r="AJ1040" s="42"/>
      <c r="AK1040" s="42"/>
      <c r="AO1040" s="86"/>
      <c r="AP1040" s="87"/>
      <c r="AQ1040" s="87"/>
      <c r="AR1040" s="88"/>
      <c r="AS1040" s="87"/>
      <c r="AT1040" s="87"/>
    </row>
    <row r="1041" spans="15:46" x14ac:dyDescent="0.25">
      <c r="O1041" s="49" t="e">
        <f t="shared" si="79"/>
        <v>#N/A</v>
      </c>
      <c r="AE1041" s="42"/>
      <c r="AF1041" s="42"/>
      <c r="AG1041" s="42"/>
      <c r="AH1041" s="42"/>
      <c r="AI1041" s="42"/>
      <c r="AJ1041" s="42"/>
      <c r="AK1041" s="42"/>
      <c r="AO1041" s="86"/>
      <c r="AP1041" s="87"/>
      <c r="AQ1041" s="87"/>
      <c r="AR1041" s="88"/>
      <c r="AS1041" s="87"/>
      <c r="AT1041" s="87"/>
    </row>
    <row r="1042" spans="15:46" x14ac:dyDescent="0.25">
      <c r="O1042" s="49" t="e">
        <f t="shared" si="79"/>
        <v>#N/A</v>
      </c>
      <c r="AE1042" s="42"/>
      <c r="AF1042" s="42"/>
      <c r="AG1042" s="42"/>
      <c r="AH1042" s="42"/>
      <c r="AI1042" s="42"/>
      <c r="AJ1042" s="42"/>
      <c r="AK1042" s="42"/>
      <c r="AO1042" s="86"/>
      <c r="AP1042" s="87"/>
      <c r="AQ1042" s="87"/>
      <c r="AR1042" s="88"/>
      <c r="AS1042" s="87"/>
      <c r="AT1042" s="87"/>
    </row>
    <row r="1043" spans="15:46" x14ac:dyDescent="0.25">
      <c r="O1043" s="49" t="e">
        <f t="shared" si="79"/>
        <v>#N/A</v>
      </c>
      <c r="AE1043" s="42"/>
      <c r="AF1043" s="42"/>
      <c r="AG1043" s="42"/>
      <c r="AH1043" s="42"/>
      <c r="AI1043" s="42"/>
      <c r="AJ1043" s="42"/>
      <c r="AK1043" s="42"/>
      <c r="AO1043" s="86"/>
      <c r="AP1043" s="87"/>
      <c r="AQ1043" s="87"/>
      <c r="AR1043" s="88"/>
      <c r="AS1043" s="87"/>
      <c r="AT1043" s="87"/>
    </row>
    <row r="1044" spans="15:46" x14ac:dyDescent="0.25">
      <c r="O1044" s="49" t="e">
        <f t="shared" si="79"/>
        <v>#N/A</v>
      </c>
      <c r="AE1044" s="42"/>
      <c r="AF1044" s="42"/>
      <c r="AG1044" s="42"/>
      <c r="AH1044" s="42"/>
      <c r="AI1044" s="42"/>
      <c r="AJ1044" s="42"/>
      <c r="AK1044" s="42"/>
      <c r="AO1044" s="86"/>
      <c r="AP1044" s="87"/>
      <c r="AQ1044" s="87"/>
      <c r="AR1044" s="88"/>
      <c r="AS1044" s="87"/>
      <c r="AT1044" s="87"/>
    </row>
    <row r="1045" spans="15:46" x14ac:dyDescent="0.25">
      <c r="O1045" s="49" t="e">
        <f t="shared" si="79"/>
        <v>#N/A</v>
      </c>
      <c r="AE1045" s="42"/>
      <c r="AF1045" s="42"/>
      <c r="AG1045" s="42"/>
      <c r="AH1045" s="42"/>
      <c r="AI1045" s="42"/>
      <c r="AJ1045" s="42"/>
      <c r="AK1045" s="42"/>
      <c r="AO1045" s="86"/>
      <c r="AP1045" s="87"/>
      <c r="AQ1045" s="87"/>
      <c r="AR1045" s="88"/>
      <c r="AS1045" s="87"/>
      <c r="AT1045" s="87"/>
    </row>
    <row r="1046" spans="15:46" x14ac:dyDescent="0.25">
      <c r="O1046" s="49" t="e">
        <f t="shared" si="79"/>
        <v>#N/A</v>
      </c>
      <c r="AE1046" s="42"/>
      <c r="AF1046" s="42"/>
      <c r="AG1046" s="42"/>
      <c r="AH1046" s="42"/>
      <c r="AI1046" s="42"/>
      <c r="AJ1046" s="42"/>
      <c r="AK1046" s="42"/>
      <c r="AO1046" s="86"/>
      <c r="AP1046" s="87"/>
      <c r="AQ1046" s="87"/>
      <c r="AR1046" s="88"/>
      <c r="AS1046" s="87"/>
      <c r="AT1046" s="87"/>
    </row>
    <row r="1047" spans="15:46" x14ac:dyDescent="0.25">
      <c r="O1047" s="49" t="e">
        <f t="shared" ref="O1047:O1110" si="80">IF(ISTEXT(N1047),IF(MID(N1047,11,2)="24",1+DATEVALUE(LEFT(N1047,10))+TIMEVALUE(CONCATENATE(MID(N1047,11,2),":",MID(N1047,13,2))),DATEVALUE(LEFT(N1047,10))+TIMEVALUE(CONCATENATE(MID(N1047,11,2),":",MID(N1047,13,2)))),#N/A)</f>
        <v>#N/A</v>
      </c>
      <c r="AE1047" s="42"/>
      <c r="AF1047" s="42"/>
      <c r="AG1047" s="42"/>
      <c r="AH1047" s="42"/>
      <c r="AI1047" s="42"/>
      <c r="AJ1047" s="42"/>
      <c r="AK1047" s="42"/>
      <c r="AO1047" s="86"/>
      <c r="AP1047" s="87"/>
      <c r="AQ1047" s="87"/>
      <c r="AR1047" s="88"/>
      <c r="AS1047" s="87"/>
      <c r="AT1047" s="87"/>
    </row>
    <row r="1048" spans="15:46" x14ac:dyDescent="0.25">
      <c r="O1048" s="49" t="e">
        <f t="shared" si="80"/>
        <v>#N/A</v>
      </c>
      <c r="AE1048" s="42"/>
      <c r="AF1048" s="42"/>
      <c r="AG1048" s="42"/>
      <c r="AH1048" s="42"/>
      <c r="AI1048" s="42"/>
      <c r="AJ1048" s="42"/>
      <c r="AK1048" s="42"/>
      <c r="AO1048" s="86"/>
      <c r="AP1048" s="87"/>
      <c r="AQ1048" s="87"/>
      <c r="AR1048" s="88"/>
      <c r="AS1048" s="87"/>
      <c r="AT1048" s="87"/>
    </row>
    <row r="1049" spans="15:46" x14ac:dyDescent="0.25">
      <c r="O1049" s="49" t="e">
        <f t="shared" si="80"/>
        <v>#N/A</v>
      </c>
      <c r="AE1049" s="42"/>
      <c r="AF1049" s="42"/>
      <c r="AG1049" s="42"/>
      <c r="AH1049" s="42"/>
      <c r="AI1049" s="42"/>
      <c r="AJ1049" s="42"/>
      <c r="AK1049" s="42"/>
      <c r="AO1049" s="86"/>
      <c r="AP1049" s="87"/>
      <c r="AQ1049" s="87"/>
      <c r="AR1049" s="88"/>
      <c r="AS1049" s="87"/>
      <c r="AT1049" s="87"/>
    </row>
    <row r="1050" spans="15:46" x14ac:dyDescent="0.25">
      <c r="O1050" s="49" t="e">
        <f t="shared" si="80"/>
        <v>#N/A</v>
      </c>
      <c r="AE1050" s="42"/>
      <c r="AF1050" s="42"/>
      <c r="AG1050" s="42"/>
      <c r="AH1050" s="42"/>
      <c r="AI1050" s="42"/>
      <c r="AJ1050" s="42"/>
      <c r="AK1050" s="42"/>
      <c r="AO1050" s="86"/>
      <c r="AP1050" s="87"/>
      <c r="AQ1050" s="87"/>
      <c r="AR1050" s="88"/>
      <c r="AS1050" s="87"/>
      <c r="AT1050" s="87"/>
    </row>
    <row r="1051" spans="15:46" x14ac:dyDescent="0.25">
      <c r="O1051" s="49" t="e">
        <f t="shared" si="80"/>
        <v>#N/A</v>
      </c>
      <c r="AE1051" s="42"/>
      <c r="AF1051" s="42"/>
      <c r="AG1051" s="42"/>
      <c r="AH1051" s="42"/>
      <c r="AI1051" s="42"/>
      <c r="AJ1051" s="42"/>
      <c r="AK1051" s="42"/>
      <c r="AO1051" s="86"/>
      <c r="AP1051" s="87"/>
      <c r="AQ1051" s="87"/>
      <c r="AR1051" s="88"/>
      <c r="AS1051" s="87"/>
      <c r="AT1051" s="87"/>
    </row>
    <row r="1052" spans="15:46" x14ac:dyDescent="0.25">
      <c r="O1052" s="49" t="e">
        <f t="shared" si="80"/>
        <v>#N/A</v>
      </c>
      <c r="AE1052" s="42"/>
      <c r="AF1052" s="42"/>
      <c r="AG1052" s="42"/>
      <c r="AH1052" s="42"/>
      <c r="AI1052" s="42"/>
      <c r="AJ1052" s="42"/>
      <c r="AK1052" s="42"/>
      <c r="AO1052" s="86"/>
      <c r="AP1052" s="87"/>
      <c r="AQ1052" s="87"/>
      <c r="AR1052" s="88"/>
      <c r="AS1052" s="87"/>
      <c r="AT1052" s="87"/>
    </row>
    <row r="1053" spans="15:46" x14ac:dyDescent="0.25">
      <c r="O1053" s="49" t="e">
        <f t="shared" si="80"/>
        <v>#N/A</v>
      </c>
      <c r="AE1053" s="42"/>
      <c r="AF1053" s="42"/>
      <c r="AG1053" s="42"/>
      <c r="AH1053" s="42"/>
      <c r="AI1053" s="42"/>
      <c r="AJ1053" s="42"/>
      <c r="AK1053" s="42"/>
      <c r="AO1053" s="86"/>
      <c r="AP1053" s="87"/>
      <c r="AQ1053" s="87"/>
      <c r="AR1053" s="88"/>
      <c r="AS1053" s="87"/>
      <c r="AT1053" s="87"/>
    </row>
    <row r="1054" spans="15:46" x14ac:dyDescent="0.25">
      <c r="O1054" s="49" t="e">
        <f t="shared" si="80"/>
        <v>#N/A</v>
      </c>
      <c r="AE1054" s="42"/>
      <c r="AF1054" s="42"/>
      <c r="AG1054" s="42"/>
      <c r="AH1054" s="42"/>
      <c r="AI1054" s="42"/>
      <c r="AJ1054" s="42"/>
      <c r="AK1054" s="42"/>
      <c r="AO1054" s="86"/>
      <c r="AP1054" s="87"/>
      <c r="AQ1054" s="87"/>
      <c r="AR1054" s="88"/>
      <c r="AS1054" s="87"/>
      <c r="AT1054" s="87"/>
    </row>
    <row r="1055" spans="15:46" x14ac:dyDescent="0.25">
      <c r="O1055" s="49" t="e">
        <f t="shared" si="80"/>
        <v>#N/A</v>
      </c>
      <c r="AE1055" s="42"/>
      <c r="AF1055" s="42"/>
      <c r="AG1055" s="42"/>
      <c r="AH1055" s="42"/>
      <c r="AI1055" s="42"/>
      <c r="AJ1055" s="42"/>
      <c r="AK1055" s="42"/>
      <c r="AO1055" s="86"/>
      <c r="AP1055" s="87"/>
      <c r="AQ1055" s="87"/>
      <c r="AR1055" s="88"/>
      <c r="AS1055" s="87"/>
      <c r="AT1055" s="87"/>
    </row>
    <row r="1056" spans="15:46" x14ac:dyDescent="0.25">
      <c r="O1056" s="49" t="e">
        <f t="shared" si="80"/>
        <v>#N/A</v>
      </c>
      <c r="AE1056" s="42"/>
      <c r="AF1056" s="42"/>
      <c r="AG1056" s="42"/>
      <c r="AH1056" s="42"/>
      <c r="AI1056" s="42"/>
      <c r="AJ1056" s="42"/>
      <c r="AK1056" s="42"/>
      <c r="AO1056" s="86"/>
      <c r="AP1056" s="87"/>
      <c r="AQ1056" s="87"/>
      <c r="AR1056" s="88"/>
      <c r="AS1056" s="87"/>
      <c r="AT1056" s="87"/>
    </row>
    <row r="1057" spans="15:46" x14ac:dyDescent="0.25">
      <c r="O1057" s="49" t="e">
        <f t="shared" si="80"/>
        <v>#N/A</v>
      </c>
      <c r="AE1057" s="42"/>
      <c r="AF1057" s="42"/>
      <c r="AG1057" s="42"/>
      <c r="AH1057" s="42"/>
      <c r="AI1057" s="42"/>
      <c r="AJ1057" s="42"/>
      <c r="AK1057" s="42"/>
      <c r="AO1057" s="86"/>
      <c r="AP1057" s="87"/>
      <c r="AQ1057" s="87"/>
      <c r="AR1057" s="88"/>
      <c r="AS1057" s="87"/>
      <c r="AT1057" s="87"/>
    </row>
    <row r="1058" spans="15:46" x14ac:dyDescent="0.25">
      <c r="O1058" s="49" t="e">
        <f t="shared" si="80"/>
        <v>#N/A</v>
      </c>
      <c r="AE1058" s="42"/>
      <c r="AF1058" s="42"/>
      <c r="AG1058" s="42"/>
      <c r="AH1058" s="42"/>
      <c r="AI1058" s="42"/>
      <c r="AJ1058" s="42"/>
      <c r="AK1058" s="42"/>
      <c r="AO1058" s="86"/>
      <c r="AP1058" s="87"/>
      <c r="AQ1058" s="87"/>
      <c r="AR1058" s="88"/>
      <c r="AS1058" s="87"/>
      <c r="AT1058" s="87"/>
    </row>
    <row r="1059" spans="15:46" x14ac:dyDescent="0.25">
      <c r="O1059" s="49" t="e">
        <f t="shared" si="80"/>
        <v>#N/A</v>
      </c>
      <c r="AE1059" s="42"/>
      <c r="AF1059" s="42"/>
      <c r="AG1059" s="42"/>
      <c r="AH1059" s="42"/>
      <c r="AI1059" s="42"/>
      <c r="AJ1059" s="42"/>
      <c r="AK1059" s="42"/>
      <c r="AO1059" s="86"/>
      <c r="AP1059" s="87"/>
      <c r="AQ1059" s="87"/>
      <c r="AR1059" s="88"/>
      <c r="AS1059" s="87"/>
      <c r="AT1059" s="87"/>
    </row>
    <row r="1060" spans="15:46" x14ac:dyDescent="0.25">
      <c r="O1060" s="49" t="e">
        <f t="shared" si="80"/>
        <v>#N/A</v>
      </c>
      <c r="AE1060" s="42"/>
      <c r="AF1060" s="42"/>
      <c r="AG1060" s="42"/>
      <c r="AH1060" s="42"/>
      <c r="AI1060" s="42"/>
      <c r="AJ1060" s="42"/>
      <c r="AK1060" s="42"/>
      <c r="AO1060" s="86"/>
      <c r="AP1060" s="87"/>
      <c r="AQ1060" s="87"/>
      <c r="AR1060" s="88"/>
      <c r="AS1060" s="87"/>
      <c r="AT1060" s="87"/>
    </row>
    <row r="1061" spans="15:46" x14ac:dyDescent="0.25">
      <c r="O1061" s="49" t="e">
        <f t="shared" si="80"/>
        <v>#N/A</v>
      </c>
      <c r="AE1061" s="42"/>
      <c r="AF1061" s="42"/>
      <c r="AG1061" s="42"/>
      <c r="AH1061" s="42"/>
      <c r="AI1061" s="42"/>
      <c r="AJ1061" s="42"/>
      <c r="AK1061" s="42"/>
      <c r="AO1061" s="86"/>
      <c r="AP1061" s="87"/>
      <c r="AQ1061" s="87"/>
      <c r="AR1061" s="88"/>
      <c r="AS1061" s="87"/>
      <c r="AT1061" s="87"/>
    </row>
    <row r="1062" spans="15:46" x14ac:dyDescent="0.25">
      <c r="O1062" s="49" t="e">
        <f t="shared" si="80"/>
        <v>#N/A</v>
      </c>
      <c r="AE1062" s="42"/>
      <c r="AF1062" s="42"/>
      <c r="AG1062" s="42"/>
      <c r="AH1062" s="42"/>
      <c r="AI1062" s="42"/>
      <c r="AJ1062" s="42"/>
      <c r="AK1062" s="42"/>
      <c r="AO1062" s="86"/>
      <c r="AP1062" s="87"/>
      <c r="AQ1062" s="87"/>
      <c r="AR1062" s="88"/>
      <c r="AS1062" s="87"/>
      <c r="AT1062" s="87"/>
    </row>
    <row r="1063" spans="15:46" x14ac:dyDescent="0.25">
      <c r="O1063" s="49" t="e">
        <f t="shared" si="80"/>
        <v>#N/A</v>
      </c>
      <c r="AE1063" s="42"/>
      <c r="AF1063" s="42"/>
      <c r="AG1063" s="42"/>
      <c r="AH1063" s="42"/>
      <c r="AI1063" s="42"/>
      <c r="AJ1063" s="42"/>
      <c r="AK1063" s="42"/>
      <c r="AO1063" s="86"/>
      <c r="AP1063" s="87"/>
      <c r="AQ1063" s="87"/>
      <c r="AR1063" s="88"/>
      <c r="AS1063" s="87"/>
      <c r="AT1063" s="87"/>
    </row>
    <row r="1064" spans="15:46" x14ac:dyDescent="0.25">
      <c r="O1064" s="49" t="e">
        <f t="shared" si="80"/>
        <v>#N/A</v>
      </c>
      <c r="AE1064" s="42"/>
      <c r="AF1064" s="42"/>
      <c r="AG1064" s="42"/>
      <c r="AH1064" s="42"/>
      <c r="AI1064" s="42"/>
      <c r="AJ1064" s="42"/>
      <c r="AK1064" s="42"/>
      <c r="AO1064" s="86"/>
      <c r="AP1064" s="87"/>
      <c r="AQ1064" s="87"/>
      <c r="AR1064" s="88"/>
      <c r="AS1064" s="87"/>
      <c r="AT1064" s="87"/>
    </row>
    <row r="1065" spans="15:46" x14ac:dyDescent="0.25">
      <c r="O1065" s="49" t="e">
        <f t="shared" si="80"/>
        <v>#N/A</v>
      </c>
      <c r="AE1065" s="42"/>
      <c r="AF1065" s="42"/>
      <c r="AG1065" s="42"/>
      <c r="AH1065" s="42"/>
      <c r="AI1065" s="42"/>
      <c r="AJ1065" s="42"/>
      <c r="AK1065" s="42"/>
      <c r="AO1065" s="86"/>
      <c r="AP1065" s="87"/>
      <c r="AQ1065" s="87"/>
      <c r="AR1065" s="88"/>
      <c r="AS1065" s="87"/>
      <c r="AT1065" s="87"/>
    </row>
    <row r="1066" spans="15:46" x14ac:dyDescent="0.25">
      <c r="O1066" s="49" t="e">
        <f t="shared" si="80"/>
        <v>#N/A</v>
      </c>
      <c r="AE1066" s="42"/>
      <c r="AF1066" s="42"/>
      <c r="AG1066" s="42"/>
      <c r="AH1066" s="42"/>
      <c r="AI1066" s="42"/>
      <c r="AJ1066" s="42"/>
      <c r="AK1066" s="42"/>
      <c r="AO1066" s="86"/>
      <c r="AP1066" s="87"/>
      <c r="AQ1066" s="87"/>
      <c r="AR1066" s="88"/>
      <c r="AS1066" s="87"/>
      <c r="AT1066" s="87"/>
    </row>
    <row r="1067" spans="15:46" x14ac:dyDescent="0.25">
      <c r="O1067" s="49" t="e">
        <f t="shared" si="80"/>
        <v>#N/A</v>
      </c>
      <c r="AE1067" s="42"/>
      <c r="AF1067" s="42"/>
      <c r="AG1067" s="42"/>
      <c r="AH1067" s="42"/>
      <c r="AI1067" s="42"/>
      <c r="AJ1067" s="42"/>
      <c r="AK1067" s="42"/>
      <c r="AO1067" s="86"/>
      <c r="AP1067" s="87"/>
      <c r="AQ1067" s="87"/>
      <c r="AR1067" s="88"/>
      <c r="AS1067" s="87"/>
      <c r="AT1067" s="87"/>
    </row>
    <row r="1068" spans="15:46" x14ac:dyDescent="0.25">
      <c r="O1068" s="49" t="e">
        <f t="shared" si="80"/>
        <v>#N/A</v>
      </c>
      <c r="AE1068" s="42"/>
      <c r="AF1068" s="42"/>
      <c r="AG1068" s="42"/>
      <c r="AH1068" s="42"/>
      <c r="AI1068" s="42"/>
      <c r="AJ1068" s="42"/>
      <c r="AK1068" s="42"/>
      <c r="AO1068" s="86"/>
      <c r="AP1068" s="87"/>
      <c r="AQ1068" s="87"/>
      <c r="AR1068" s="88"/>
      <c r="AS1068" s="87"/>
      <c r="AT1068" s="87"/>
    </row>
    <row r="1069" spans="15:46" x14ac:dyDescent="0.25">
      <c r="O1069" s="49" t="e">
        <f t="shared" si="80"/>
        <v>#N/A</v>
      </c>
      <c r="AE1069" s="42"/>
      <c r="AF1069" s="42"/>
      <c r="AG1069" s="42"/>
      <c r="AH1069" s="42"/>
      <c r="AI1069" s="42"/>
      <c r="AJ1069" s="42"/>
      <c r="AK1069" s="42"/>
      <c r="AO1069" s="86"/>
      <c r="AP1069" s="87"/>
      <c r="AQ1069" s="87"/>
      <c r="AR1069" s="88"/>
      <c r="AS1069" s="87"/>
      <c r="AT1069" s="87"/>
    </row>
    <row r="1070" spans="15:46" x14ac:dyDescent="0.25">
      <c r="O1070" s="49" t="e">
        <f t="shared" si="80"/>
        <v>#N/A</v>
      </c>
      <c r="AE1070" s="42"/>
      <c r="AF1070" s="42"/>
      <c r="AG1070" s="42"/>
      <c r="AH1070" s="42"/>
      <c r="AI1070" s="42"/>
      <c r="AJ1070" s="42"/>
      <c r="AK1070" s="42"/>
      <c r="AO1070" s="86"/>
      <c r="AP1070" s="87"/>
      <c r="AQ1070" s="87"/>
      <c r="AR1070" s="88"/>
      <c r="AS1070" s="87"/>
      <c r="AT1070" s="87"/>
    </row>
    <row r="1071" spans="15:46" x14ac:dyDescent="0.25">
      <c r="O1071" s="49" t="e">
        <f t="shared" si="80"/>
        <v>#N/A</v>
      </c>
      <c r="AE1071" s="42"/>
      <c r="AF1071" s="42"/>
      <c r="AG1071" s="42"/>
      <c r="AH1071" s="42"/>
      <c r="AI1071" s="42"/>
      <c r="AJ1071" s="42"/>
      <c r="AK1071" s="42"/>
      <c r="AO1071" s="86"/>
      <c r="AP1071" s="87"/>
      <c r="AQ1071" s="87"/>
      <c r="AR1071" s="88"/>
      <c r="AS1071" s="87"/>
      <c r="AT1071" s="87"/>
    </row>
    <row r="1072" spans="15:46" x14ac:dyDescent="0.25">
      <c r="O1072" s="49" t="e">
        <f t="shared" si="80"/>
        <v>#N/A</v>
      </c>
      <c r="AE1072" s="42"/>
      <c r="AF1072" s="42"/>
      <c r="AG1072" s="42"/>
      <c r="AH1072" s="42"/>
      <c r="AI1072" s="42"/>
      <c r="AJ1072" s="42"/>
      <c r="AK1072" s="42"/>
      <c r="AO1072" s="86"/>
      <c r="AP1072" s="87"/>
      <c r="AQ1072" s="87"/>
      <c r="AR1072" s="88"/>
      <c r="AS1072" s="87"/>
      <c r="AT1072" s="87"/>
    </row>
    <row r="1073" spans="15:46" x14ac:dyDescent="0.25">
      <c r="O1073" s="49" t="e">
        <f t="shared" si="80"/>
        <v>#N/A</v>
      </c>
      <c r="AE1073" s="42"/>
      <c r="AF1073" s="42"/>
      <c r="AG1073" s="42"/>
      <c r="AH1073" s="42"/>
      <c r="AI1073" s="42"/>
      <c r="AJ1073" s="42"/>
      <c r="AK1073" s="42"/>
      <c r="AO1073" s="86"/>
      <c r="AP1073" s="87"/>
      <c r="AQ1073" s="87"/>
      <c r="AR1073" s="88"/>
      <c r="AS1073" s="87"/>
      <c r="AT1073" s="87"/>
    </row>
    <row r="1074" spans="15:46" x14ac:dyDescent="0.25">
      <c r="O1074" s="49" t="e">
        <f t="shared" si="80"/>
        <v>#N/A</v>
      </c>
      <c r="AE1074" s="42"/>
      <c r="AF1074" s="42"/>
      <c r="AG1074" s="42"/>
      <c r="AH1074" s="42"/>
      <c r="AI1074" s="42"/>
      <c r="AJ1074" s="42"/>
      <c r="AK1074" s="42"/>
      <c r="AO1074" s="86"/>
      <c r="AP1074" s="87"/>
      <c r="AQ1074" s="87"/>
      <c r="AR1074" s="88"/>
      <c r="AS1074" s="87"/>
      <c r="AT1074" s="87"/>
    </row>
    <row r="1075" spans="15:46" x14ac:dyDescent="0.25">
      <c r="O1075" s="49" t="e">
        <f t="shared" si="80"/>
        <v>#N/A</v>
      </c>
      <c r="AE1075" s="42"/>
      <c r="AF1075" s="42"/>
      <c r="AG1075" s="42"/>
      <c r="AH1075" s="42"/>
      <c r="AI1075" s="42"/>
      <c r="AJ1075" s="42"/>
      <c r="AK1075" s="42"/>
      <c r="AO1075" s="86"/>
      <c r="AP1075" s="87"/>
      <c r="AQ1075" s="87"/>
      <c r="AR1075" s="88"/>
      <c r="AS1075" s="87"/>
      <c r="AT1075" s="87"/>
    </row>
    <row r="1076" spans="15:46" x14ac:dyDescent="0.25">
      <c r="O1076" s="49" t="e">
        <f t="shared" si="80"/>
        <v>#N/A</v>
      </c>
      <c r="AE1076" s="42"/>
      <c r="AF1076" s="42"/>
      <c r="AG1076" s="42"/>
      <c r="AH1076" s="42"/>
      <c r="AI1076" s="42"/>
      <c r="AJ1076" s="42"/>
      <c r="AK1076" s="42"/>
      <c r="AO1076" s="86"/>
      <c r="AP1076" s="87"/>
      <c r="AQ1076" s="87"/>
      <c r="AR1076" s="88"/>
      <c r="AS1076" s="87"/>
      <c r="AT1076" s="87"/>
    </row>
    <row r="1077" spans="15:46" x14ac:dyDescent="0.25">
      <c r="O1077" s="49" t="e">
        <f t="shared" si="80"/>
        <v>#N/A</v>
      </c>
      <c r="AE1077" s="42"/>
      <c r="AF1077" s="42"/>
      <c r="AG1077" s="42"/>
      <c r="AH1077" s="42"/>
      <c r="AI1077" s="42"/>
      <c r="AJ1077" s="42"/>
      <c r="AK1077" s="42"/>
      <c r="AO1077" s="86"/>
      <c r="AP1077" s="87"/>
      <c r="AQ1077" s="87"/>
      <c r="AR1077" s="88"/>
      <c r="AS1077" s="87"/>
      <c r="AT1077" s="87"/>
    </row>
    <row r="1078" spans="15:46" x14ac:dyDescent="0.25">
      <c r="O1078" s="49" t="e">
        <f t="shared" si="80"/>
        <v>#N/A</v>
      </c>
      <c r="AE1078" s="42"/>
      <c r="AF1078" s="42"/>
      <c r="AG1078" s="42"/>
      <c r="AH1078" s="42"/>
      <c r="AI1078" s="42"/>
      <c r="AJ1078" s="42"/>
      <c r="AK1078" s="42"/>
      <c r="AO1078" s="86"/>
      <c r="AP1078" s="87"/>
      <c r="AQ1078" s="87"/>
      <c r="AR1078" s="88"/>
      <c r="AS1078" s="87"/>
      <c r="AT1078" s="87"/>
    </row>
    <row r="1079" spans="15:46" x14ac:dyDescent="0.25">
      <c r="O1079" s="49" t="e">
        <f t="shared" si="80"/>
        <v>#N/A</v>
      </c>
      <c r="AE1079" s="42"/>
      <c r="AF1079" s="42"/>
      <c r="AG1079" s="42"/>
      <c r="AH1079" s="42"/>
      <c r="AI1079" s="42"/>
      <c r="AJ1079" s="42"/>
      <c r="AK1079" s="42"/>
      <c r="AO1079" s="86"/>
      <c r="AP1079" s="87"/>
      <c r="AQ1079" s="87"/>
      <c r="AR1079" s="88"/>
      <c r="AS1079" s="87"/>
      <c r="AT1079" s="87"/>
    </row>
    <row r="1080" spans="15:46" x14ac:dyDescent="0.25">
      <c r="O1080" s="49" t="e">
        <f t="shared" si="80"/>
        <v>#N/A</v>
      </c>
      <c r="AE1080" s="42"/>
      <c r="AF1080" s="42"/>
      <c r="AG1080" s="42"/>
      <c r="AH1080" s="42"/>
      <c r="AI1080" s="42"/>
      <c r="AJ1080" s="42"/>
      <c r="AK1080" s="42"/>
      <c r="AO1080" s="86"/>
      <c r="AP1080" s="87"/>
      <c r="AQ1080" s="87"/>
      <c r="AR1080" s="88"/>
      <c r="AS1080" s="87"/>
      <c r="AT1080" s="87"/>
    </row>
    <row r="1081" spans="15:46" x14ac:dyDescent="0.25">
      <c r="O1081" s="49" t="e">
        <f t="shared" si="80"/>
        <v>#N/A</v>
      </c>
      <c r="AE1081" s="42"/>
      <c r="AF1081" s="42"/>
      <c r="AG1081" s="42"/>
      <c r="AH1081" s="42"/>
      <c r="AI1081" s="42"/>
      <c r="AJ1081" s="42"/>
      <c r="AK1081" s="42"/>
      <c r="AO1081" s="86"/>
      <c r="AP1081" s="87"/>
      <c r="AQ1081" s="87"/>
      <c r="AR1081" s="88"/>
      <c r="AS1081" s="87"/>
      <c r="AT1081" s="87"/>
    </row>
    <row r="1082" spans="15:46" x14ac:dyDescent="0.25">
      <c r="O1082" s="49" t="e">
        <f t="shared" si="80"/>
        <v>#N/A</v>
      </c>
      <c r="AE1082" s="42"/>
      <c r="AF1082" s="42"/>
      <c r="AG1082" s="42"/>
      <c r="AH1082" s="42"/>
      <c r="AI1082" s="42"/>
      <c r="AJ1082" s="42"/>
      <c r="AK1082" s="42"/>
      <c r="AO1082" s="86"/>
      <c r="AP1082" s="87"/>
      <c r="AQ1082" s="87"/>
      <c r="AR1082" s="88"/>
      <c r="AS1082" s="87"/>
      <c r="AT1082" s="87"/>
    </row>
    <row r="1083" spans="15:46" x14ac:dyDescent="0.25">
      <c r="O1083" s="49" t="e">
        <f t="shared" si="80"/>
        <v>#N/A</v>
      </c>
      <c r="AE1083" s="42"/>
      <c r="AF1083" s="42"/>
      <c r="AG1083" s="42"/>
      <c r="AH1083" s="42"/>
      <c r="AI1083" s="42"/>
      <c r="AJ1083" s="42"/>
      <c r="AK1083" s="42"/>
      <c r="AO1083" s="86"/>
      <c r="AP1083" s="87"/>
      <c r="AQ1083" s="87"/>
      <c r="AR1083" s="88"/>
      <c r="AS1083" s="87"/>
      <c r="AT1083" s="87"/>
    </row>
    <row r="1084" spans="15:46" x14ac:dyDescent="0.25">
      <c r="O1084" s="49" t="e">
        <f t="shared" si="80"/>
        <v>#N/A</v>
      </c>
      <c r="AE1084" s="42"/>
      <c r="AF1084" s="42"/>
      <c r="AG1084" s="42"/>
      <c r="AH1084" s="42"/>
      <c r="AI1084" s="42"/>
      <c r="AJ1084" s="42"/>
      <c r="AK1084" s="42"/>
      <c r="AO1084" s="86"/>
      <c r="AP1084" s="87"/>
      <c r="AQ1084" s="87"/>
      <c r="AR1084" s="88"/>
      <c r="AS1084" s="87"/>
      <c r="AT1084" s="87"/>
    </row>
    <row r="1085" spans="15:46" x14ac:dyDescent="0.25">
      <c r="O1085" s="49" t="e">
        <f t="shared" si="80"/>
        <v>#N/A</v>
      </c>
      <c r="AE1085" s="42"/>
      <c r="AF1085" s="42"/>
      <c r="AG1085" s="42"/>
      <c r="AH1085" s="42"/>
      <c r="AI1085" s="42"/>
      <c r="AJ1085" s="42"/>
      <c r="AK1085" s="42"/>
      <c r="AO1085" s="86"/>
      <c r="AP1085" s="87"/>
      <c r="AQ1085" s="87"/>
      <c r="AR1085" s="88"/>
      <c r="AS1085" s="87"/>
      <c r="AT1085" s="87"/>
    </row>
    <row r="1086" spans="15:46" x14ac:dyDescent="0.25">
      <c r="O1086" s="49" t="e">
        <f t="shared" si="80"/>
        <v>#N/A</v>
      </c>
      <c r="AE1086" s="42"/>
      <c r="AF1086" s="42"/>
      <c r="AG1086" s="42"/>
      <c r="AH1086" s="42"/>
      <c r="AI1086" s="42"/>
      <c r="AJ1086" s="42"/>
      <c r="AK1086" s="42"/>
      <c r="AO1086" s="86"/>
      <c r="AP1086" s="87"/>
      <c r="AQ1086" s="87"/>
      <c r="AR1086" s="88"/>
      <c r="AS1086" s="87"/>
      <c r="AT1086" s="87"/>
    </row>
    <row r="1087" spans="15:46" x14ac:dyDescent="0.25">
      <c r="O1087" s="49" t="e">
        <f t="shared" si="80"/>
        <v>#N/A</v>
      </c>
      <c r="AE1087" s="42"/>
      <c r="AF1087" s="42"/>
      <c r="AG1087" s="42"/>
      <c r="AH1087" s="42"/>
      <c r="AI1087" s="42"/>
      <c r="AJ1087" s="42"/>
      <c r="AK1087" s="42"/>
      <c r="AO1087" s="86"/>
      <c r="AP1087" s="87"/>
      <c r="AQ1087" s="87"/>
      <c r="AR1087" s="88"/>
      <c r="AS1087" s="87"/>
      <c r="AT1087" s="87"/>
    </row>
    <row r="1088" spans="15:46" x14ac:dyDescent="0.25">
      <c r="O1088" s="49" t="e">
        <f t="shared" si="80"/>
        <v>#N/A</v>
      </c>
      <c r="AE1088" s="42"/>
      <c r="AF1088" s="42"/>
      <c r="AG1088" s="42"/>
      <c r="AH1088" s="42"/>
      <c r="AI1088" s="42"/>
      <c r="AJ1088" s="42"/>
      <c r="AK1088" s="42"/>
      <c r="AO1088" s="86"/>
      <c r="AP1088" s="87"/>
      <c r="AQ1088" s="87"/>
      <c r="AR1088" s="88"/>
      <c r="AS1088" s="87"/>
      <c r="AT1088" s="87"/>
    </row>
    <row r="1089" spans="15:46" x14ac:dyDescent="0.25">
      <c r="O1089" s="49" t="e">
        <f t="shared" si="80"/>
        <v>#N/A</v>
      </c>
      <c r="AE1089" s="42"/>
      <c r="AF1089" s="42"/>
      <c r="AG1089" s="42"/>
      <c r="AH1089" s="42"/>
      <c r="AI1089" s="42"/>
      <c r="AJ1089" s="42"/>
      <c r="AK1089" s="42"/>
      <c r="AO1089" s="86"/>
      <c r="AP1089" s="87"/>
      <c r="AQ1089" s="87"/>
      <c r="AR1089" s="88"/>
      <c r="AS1089" s="87"/>
      <c r="AT1089" s="87"/>
    </row>
    <row r="1090" spans="15:46" x14ac:dyDescent="0.25">
      <c r="O1090" s="49" t="e">
        <f t="shared" si="80"/>
        <v>#N/A</v>
      </c>
      <c r="AE1090" s="42"/>
      <c r="AF1090" s="42"/>
      <c r="AG1090" s="42"/>
      <c r="AH1090" s="42"/>
      <c r="AI1090" s="42"/>
      <c r="AJ1090" s="42"/>
      <c r="AK1090" s="42"/>
      <c r="AO1090" s="86"/>
      <c r="AP1090" s="87"/>
      <c r="AQ1090" s="87"/>
      <c r="AR1090" s="88"/>
      <c r="AS1090" s="87"/>
      <c r="AT1090" s="87"/>
    </row>
    <row r="1091" spans="15:46" x14ac:dyDescent="0.25">
      <c r="O1091" s="49" t="e">
        <f t="shared" si="80"/>
        <v>#N/A</v>
      </c>
      <c r="AE1091" s="42"/>
      <c r="AF1091" s="42"/>
      <c r="AG1091" s="42"/>
      <c r="AH1091" s="42"/>
      <c r="AI1091" s="42"/>
      <c r="AJ1091" s="42"/>
      <c r="AK1091" s="42"/>
      <c r="AO1091" s="86"/>
      <c r="AP1091" s="87"/>
      <c r="AQ1091" s="87"/>
      <c r="AR1091" s="88"/>
      <c r="AS1091" s="87"/>
      <c r="AT1091" s="87"/>
    </row>
    <row r="1092" spans="15:46" x14ac:dyDescent="0.25">
      <c r="O1092" s="49" t="e">
        <f t="shared" si="80"/>
        <v>#N/A</v>
      </c>
      <c r="AE1092" s="42"/>
      <c r="AF1092" s="42"/>
      <c r="AG1092" s="42"/>
      <c r="AH1092" s="42"/>
      <c r="AI1092" s="42"/>
      <c r="AJ1092" s="42"/>
      <c r="AK1092" s="42"/>
      <c r="AO1092" s="86"/>
      <c r="AP1092" s="87"/>
      <c r="AQ1092" s="87"/>
      <c r="AR1092" s="88"/>
      <c r="AS1092" s="87"/>
      <c r="AT1092" s="87"/>
    </row>
    <row r="1093" spans="15:46" x14ac:dyDescent="0.25">
      <c r="O1093" s="49" t="e">
        <f t="shared" si="80"/>
        <v>#N/A</v>
      </c>
      <c r="AE1093" s="42"/>
      <c r="AF1093" s="42"/>
      <c r="AG1093" s="42"/>
      <c r="AH1093" s="42"/>
      <c r="AI1093" s="42"/>
      <c r="AJ1093" s="42"/>
      <c r="AK1093" s="42"/>
      <c r="AO1093" s="86"/>
      <c r="AP1093" s="87"/>
      <c r="AQ1093" s="87"/>
      <c r="AR1093" s="88"/>
      <c r="AS1093" s="87"/>
      <c r="AT1093" s="87"/>
    </row>
    <row r="1094" spans="15:46" x14ac:dyDescent="0.25">
      <c r="O1094" s="49" t="e">
        <f t="shared" si="80"/>
        <v>#N/A</v>
      </c>
      <c r="AE1094" s="42"/>
      <c r="AF1094" s="42"/>
      <c r="AG1094" s="42"/>
      <c r="AH1094" s="42"/>
      <c r="AI1094" s="42"/>
      <c r="AJ1094" s="42"/>
      <c r="AK1094" s="42"/>
      <c r="AO1094" s="86"/>
      <c r="AP1094" s="87"/>
      <c r="AQ1094" s="87"/>
      <c r="AR1094" s="88"/>
      <c r="AS1094" s="87"/>
      <c r="AT1094" s="87"/>
    </row>
    <row r="1095" spans="15:46" x14ac:dyDescent="0.25">
      <c r="O1095" s="49" t="e">
        <f t="shared" si="80"/>
        <v>#N/A</v>
      </c>
      <c r="AE1095" s="42"/>
      <c r="AF1095" s="42"/>
      <c r="AG1095" s="42"/>
      <c r="AH1095" s="42"/>
      <c r="AI1095" s="42"/>
      <c r="AJ1095" s="42"/>
      <c r="AK1095" s="42"/>
      <c r="AO1095" s="86"/>
      <c r="AP1095" s="87"/>
      <c r="AQ1095" s="87"/>
      <c r="AR1095" s="88"/>
      <c r="AS1095" s="87"/>
      <c r="AT1095" s="87"/>
    </row>
    <row r="1096" spans="15:46" x14ac:dyDescent="0.25">
      <c r="O1096" s="49" t="e">
        <f t="shared" si="80"/>
        <v>#N/A</v>
      </c>
      <c r="AE1096" s="42"/>
      <c r="AF1096" s="42"/>
      <c r="AG1096" s="42"/>
      <c r="AH1096" s="42"/>
      <c r="AI1096" s="42"/>
      <c r="AJ1096" s="42"/>
      <c r="AK1096" s="42"/>
      <c r="AO1096" s="86"/>
      <c r="AP1096" s="87"/>
      <c r="AQ1096" s="87"/>
      <c r="AR1096" s="88"/>
      <c r="AS1096" s="87"/>
      <c r="AT1096" s="87"/>
    </row>
    <row r="1097" spans="15:46" x14ac:dyDescent="0.25">
      <c r="O1097" s="49" t="e">
        <f t="shared" si="80"/>
        <v>#N/A</v>
      </c>
      <c r="AE1097" s="42"/>
      <c r="AF1097" s="42"/>
      <c r="AG1097" s="42"/>
      <c r="AH1097" s="42"/>
      <c r="AI1097" s="42"/>
      <c r="AJ1097" s="42"/>
      <c r="AK1097" s="42"/>
      <c r="AO1097" s="86"/>
      <c r="AP1097" s="87"/>
      <c r="AQ1097" s="87"/>
      <c r="AR1097" s="88"/>
      <c r="AS1097" s="87"/>
      <c r="AT1097" s="87"/>
    </row>
    <row r="1098" spans="15:46" x14ac:dyDescent="0.25">
      <c r="O1098" s="49" t="e">
        <f t="shared" si="80"/>
        <v>#N/A</v>
      </c>
      <c r="AE1098" s="42"/>
      <c r="AF1098" s="42"/>
      <c r="AG1098" s="42"/>
      <c r="AH1098" s="42"/>
      <c r="AI1098" s="42"/>
      <c r="AJ1098" s="42"/>
      <c r="AK1098" s="42"/>
      <c r="AO1098" s="86"/>
      <c r="AP1098" s="87"/>
      <c r="AQ1098" s="87"/>
      <c r="AR1098" s="88"/>
      <c r="AS1098" s="87"/>
      <c r="AT1098" s="87"/>
    </row>
    <row r="1099" spans="15:46" x14ac:dyDescent="0.25">
      <c r="O1099" s="49" t="e">
        <f t="shared" si="80"/>
        <v>#N/A</v>
      </c>
      <c r="AE1099" s="42"/>
      <c r="AF1099" s="42"/>
      <c r="AG1099" s="42"/>
      <c r="AH1099" s="42"/>
      <c r="AI1099" s="42"/>
      <c r="AJ1099" s="42"/>
      <c r="AK1099" s="42"/>
      <c r="AO1099" s="86"/>
      <c r="AP1099" s="87"/>
      <c r="AQ1099" s="87"/>
      <c r="AR1099" s="88"/>
      <c r="AS1099" s="87"/>
      <c r="AT1099" s="87"/>
    </row>
    <row r="1100" spans="15:46" x14ac:dyDescent="0.25">
      <c r="O1100" s="49" t="e">
        <f t="shared" si="80"/>
        <v>#N/A</v>
      </c>
      <c r="AE1100" s="42"/>
      <c r="AF1100" s="42"/>
      <c r="AG1100" s="42"/>
      <c r="AH1100" s="42"/>
      <c r="AI1100" s="42"/>
      <c r="AJ1100" s="42"/>
      <c r="AK1100" s="42"/>
      <c r="AO1100" s="86"/>
      <c r="AP1100" s="87"/>
      <c r="AQ1100" s="87"/>
      <c r="AR1100" s="88"/>
      <c r="AS1100" s="87"/>
      <c r="AT1100" s="87"/>
    </row>
    <row r="1101" spans="15:46" x14ac:dyDescent="0.25">
      <c r="O1101" s="49" t="e">
        <f t="shared" si="80"/>
        <v>#N/A</v>
      </c>
      <c r="AE1101" s="42"/>
      <c r="AF1101" s="42"/>
      <c r="AG1101" s="42"/>
      <c r="AH1101" s="42"/>
      <c r="AI1101" s="42"/>
      <c r="AJ1101" s="42"/>
      <c r="AK1101" s="42"/>
      <c r="AO1101" s="86"/>
      <c r="AP1101" s="87"/>
      <c r="AQ1101" s="87"/>
      <c r="AR1101" s="88"/>
      <c r="AS1101" s="87"/>
      <c r="AT1101" s="87"/>
    </row>
    <row r="1102" spans="15:46" x14ac:dyDescent="0.25">
      <c r="O1102" s="49" t="e">
        <f t="shared" si="80"/>
        <v>#N/A</v>
      </c>
      <c r="AE1102" s="42"/>
      <c r="AF1102" s="42"/>
      <c r="AG1102" s="42"/>
      <c r="AH1102" s="42"/>
      <c r="AI1102" s="42"/>
      <c r="AJ1102" s="42"/>
      <c r="AK1102" s="42"/>
      <c r="AO1102" s="86"/>
      <c r="AP1102" s="87"/>
      <c r="AQ1102" s="87"/>
      <c r="AR1102" s="88"/>
      <c r="AS1102" s="87"/>
      <c r="AT1102" s="87"/>
    </row>
    <row r="1103" spans="15:46" x14ac:dyDescent="0.25">
      <c r="O1103" s="49" t="e">
        <f t="shared" si="80"/>
        <v>#N/A</v>
      </c>
      <c r="AE1103" s="42"/>
      <c r="AF1103" s="42"/>
      <c r="AG1103" s="42"/>
      <c r="AH1103" s="42"/>
      <c r="AI1103" s="42"/>
      <c r="AJ1103" s="42"/>
      <c r="AK1103" s="42"/>
      <c r="AO1103" s="86"/>
      <c r="AP1103" s="87"/>
      <c r="AQ1103" s="87"/>
      <c r="AR1103" s="88"/>
      <c r="AS1103" s="87"/>
      <c r="AT1103" s="87"/>
    </row>
    <row r="1104" spans="15:46" x14ac:dyDescent="0.25">
      <c r="O1104" s="49" t="e">
        <f t="shared" si="80"/>
        <v>#N/A</v>
      </c>
      <c r="AE1104" s="42"/>
      <c r="AF1104" s="42"/>
      <c r="AG1104" s="42"/>
      <c r="AH1104" s="42"/>
      <c r="AI1104" s="42"/>
      <c r="AJ1104" s="42"/>
      <c r="AK1104" s="42"/>
      <c r="AO1104" s="86"/>
      <c r="AP1104" s="87"/>
      <c r="AQ1104" s="87"/>
      <c r="AR1104" s="88"/>
      <c r="AS1104" s="87"/>
      <c r="AT1104" s="87"/>
    </row>
    <row r="1105" spans="15:46" x14ac:dyDescent="0.25">
      <c r="O1105" s="49" t="e">
        <f t="shared" si="80"/>
        <v>#N/A</v>
      </c>
      <c r="AE1105" s="42"/>
      <c r="AF1105" s="42"/>
      <c r="AG1105" s="42"/>
      <c r="AH1105" s="42"/>
      <c r="AI1105" s="42"/>
      <c r="AJ1105" s="42"/>
      <c r="AK1105" s="42"/>
      <c r="AO1105" s="86"/>
      <c r="AP1105" s="87"/>
      <c r="AQ1105" s="87"/>
      <c r="AR1105" s="88"/>
      <c r="AS1105" s="87"/>
      <c r="AT1105" s="87"/>
    </row>
    <row r="1106" spans="15:46" x14ac:dyDescent="0.25">
      <c r="O1106" s="49" t="e">
        <f t="shared" si="80"/>
        <v>#N/A</v>
      </c>
      <c r="AE1106" s="42"/>
      <c r="AF1106" s="42"/>
      <c r="AG1106" s="42"/>
      <c r="AH1106" s="42"/>
      <c r="AI1106" s="42"/>
      <c r="AJ1106" s="42"/>
      <c r="AK1106" s="42"/>
      <c r="AO1106" s="86"/>
      <c r="AP1106" s="87"/>
      <c r="AQ1106" s="87"/>
      <c r="AR1106" s="88"/>
      <c r="AS1106" s="87"/>
      <c r="AT1106" s="87"/>
    </row>
    <row r="1107" spans="15:46" x14ac:dyDescent="0.25">
      <c r="O1107" s="49" t="e">
        <f t="shared" si="80"/>
        <v>#N/A</v>
      </c>
      <c r="AE1107" s="42"/>
      <c r="AF1107" s="42"/>
      <c r="AG1107" s="42"/>
      <c r="AH1107" s="42"/>
      <c r="AI1107" s="42"/>
      <c r="AJ1107" s="42"/>
      <c r="AK1107" s="42"/>
      <c r="AO1107" s="86"/>
      <c r="AP1107" s="87"/>
      <c r="AQ1107" s="87"/>
      <c r="AR1107" s="88"/>
      <c r="AS1107" s="87"/>
      <c r="AT1107" s="87"/>
    </row>
    <row r="1108" spans="15:46" x14ac:dyDescent="0.25">
      <c r="O1108" s="49" t="e">
        <f t="shared" si="80"/>
        <v>#N/A</v>
      </c>
      <c r="AE1108" s="42"/>
      <c r="AF1108" s="42"/>
      <c r="AG1108" s="42"/>
      <c r="AH1108" s="42"/>
      <c r="AI1108" s="42"/>
      <c r="AJ1108" s="42"/>
      <c r="AK1108" s="42"/>
      <c r="AO1108" s="86"/>
      <c r="AP1108" s="87"/>
      <c r="AQ1108" s="87"/>
      <c r="AR1108" s="88"/>
      <c r="AS1108" s="87"/>
      <c r="AT1108" s="87"/>
    </row>
    <row r="1109" spans="15:46" x14ac:dyDescent="0.25">
      <c r="O1109" s="49" t="e">
        <f t="shared" si="80"/>
        <v>#N/A</v>
      </c>
      <c r="AE1109" s="42"/>
      <c r="AF1109" s="42"/>
      <c r="AG1109" s="42"/>
      <c r="AH1109" s="42"/>
      <c r="AI1109" s="42"/>
      <c r="AJ1109" s="42"/>
      <c r="AK1109" s="42"/>
      <c r="AO1109" s="86"/>
      <c r="AP1109" s="87"/>
      <c r="AQ1109" s="87"/>
      <c r="AR1109" s="88"/>
      <c r="AS1109" s="87"/>
      <c r="AT1109" s="87"/>
    </row>
    <row r="1110" spans="15:46" x14ac:dyDescent="0.25">
      <c r="O1110" s="49" t="e">
        <f t="shared" si="80"/>
        <v>#N/A</v>
      </c>
      <c r="AE1110" s="42"/>
      <c r="AF1110" s="42"/>
      <c r="AG1110" s="42"/>
      <c r="AH1110" s="42"/>
      <c r="AI1110" s="42"/>
      <c r="AJ1110" s="42"/>
      <c r="AK1110" s="42"/>
      <c r="AO1110" s="86"/>
      <c r="AP1110" s="87"/>
      <c r="AQ1110" s="87"/>
      <c r="AR1110" s="88"/>
      <c r="AS1110" s="87"/>
      <c r="AT1110" s="87"/>
    </row>
    <row r="1111" spans="15:46" x14ac:dyDescent="0.25">
      <c r="O1111" s="49" t="e">
        <f t="shared" ref="O1111:O1174" si="81">IF(ISTEXT(N1111),IF(MID(N1111,11,2)="24",1+DATEVALUE(LEFT(N1111,10))+TIMEVALUE(CONCATENATE(MID(N1111,11,2),":",MID(N1111,13,2))),DATEVALUE(LEFT(N1111,10))+TIMEVALUE(CONCATENATE(MID(N1111,11,2),":",MID(N1111,13,2)))),#N/A)</f>
        <v>#N/A</v>
      </c>
      <c r="AE1111" s="42"/>
      <c r="AF1111" s="42"/>
      <c r="AG1111" s="42"/>
      <c r="AH1111" s="42"/>
      <c r="AI1111" s="42"/>
      <c r="AJ1111" s="42"/>
      <c r="AK1111" s="42"/>
      <c r="AO1111" s="86"/>
      <c r="AP1111" s="87"/>
      <c r="AQ1111" s="87"/>
      <c r="AR1111" s="88"/>
      <c r="AS1111" s="87"/>
      <c r="AT1111" s="87"/>
    </row>
    <row r="1112" spans="15:46" x14ac:dyDescent="0.25">
      <c r="O1112" s="49" t="e">
        <f t="shared" si="81"/>
        <v>#N/A</v>
      </c>
      <c r="AE1112" s="42"/>
      <c r="AF1112" s="42"/>
      <c r="AG1112" s="42"/>
      <c r="AH1112" s="42"/>
      <c r="AI1112" s="42"/>
      <c r="AJ1112" s="42"/>
      <c r="AK1112" s="42"/>
      <c r="AO1112" s="86"/>
      <c r="AP1112" s="87"/>
      <c r="AQ1112" s="87"/>
      <c r="AR1112" s="88"/>
      <c r="AS1112" s="87"/>
      <c r="AT1112" s="87"/>
    </row>
    <row r="1113" spans="15:46" x14ac:dyDescent="0.25">
      <c r="O1113" s="49" t="e">
        <f t="shared" si="81"/>
        <v>#N/A</v>
      </c>
      <c r="AE1113" s="42"/>
      <c r="AF1113" s="42"/>
      <c r="AG1113" s="42"/>
      <c r="AH1113" s="42"/>
      <c r="AI1113" s="42"/>
      <c r="AJ1113" s="42"/>
      <c r="AK1113" s="42"/>
      <c r="AO1113" s="86"/>
      <c r="AP1113" s="87"/>
      <c r="AQ1113" s="87"/>
      <c r="AR1113" s="88"/>
      <c r="AS1113" s="87"/>
      <c r="AT1113" s="87"/>
    </row>
    <row r="1114" spans="15:46" x14ac:dyDescent="0.25">
      <c r="O1114" s="49" t="e">
        <f t="shared" si="81"/>
        <v>#N/A</v>
      </c>
      <c r="AE1114" s="42"/>
      <c r="AF1114" s="42"/>
      <c r="AG1114" s="42"/>
      <c r="AH1114" s="42"/>
      <c r="AI1114" s="42"/>
      <c r="AJ1114" s="42"/>
      <c r="AK1114" s="42"/>
      <c r="AO1114" s="86"/>
      <c r="AP1114" s="87"/>
      <c r="AQ1114" s="87"/>
      <c r="AR1114" s="88"/>
      <c r="AS1114" s="87"/>
      <c r="AT1114" s="87"/>
    </row>
    <row r="1115" spans="15:46" x14ac:dyDescent="0.25">
      <c r="O1115" s="49" t="e">
        <f t="shared" si="81"/>
        <v>#N/A</v>
      </c>
      <c r="AE1115" s="42"/>
      <c r="AF1115" s="42"/>
      <c r="AG1115" s="42"/>
      <c r="AH1115" s="42"/>
      <c r="AI1115" s="42"/>
      <c r="AJ1115" s="42"/>
      <c r="AK1115" s="42"/>
      <c r="AO1115" s="86"/>
      <c r="AP1115" s="87"/>
      <c r="AQ1115" s="87"/>
      <c r="AR1115" s="88"/>
      <c r="AS1115" s="87"/>
      <c r="AT1115" s="87"/>
    </row>
    <row r="1116" spans="15:46" x14ac:dyDescent="0.25">
      <c r="O1116" s="49" t="e">
        <f t="shared" si="81"/>
        <v>#N/A</v>
      </c>
      <c r="AE1116" s="42"/>
      <c r="AF1116" s="42"/>
      <c r="AG1116" s="42"/>
      <c r="AH1116" s="42"/>
      <c r="AI1116" s="42"/>
      <c r="AJ1116" s="42"/>
      <c r="AK1116" s="42"/>
      <c r="AO1116" s="86"/>
      <c r="AP1116" s="87"/>
      <c r="AQ1116" s="87"/>
      <c r="AR1116" s="88"/>
      <c r="AS1116" s="87"/>
      <c r="AT1116" s="87"/>
    </row>
    <row r="1117" spans="15:46" x14ac:dyDescent="0.25">
      <c r="O1117" s="49" t="e">
        <f t="shared" si="81"/>
        <v>#N/A</v>
      </c>
      <c r="AE1117" s="42"/>
      <c r="AF1117" s="42"/>
      <c r="AG1117" s="42"/>
      <c r="AH1117" s="42"/>
      <c r="AI1117" s="42"/>
      <c r="AJ1117" s="42"/>
      <c r="AK1117" s="42"/>
      <c r="AO1117" s="86"/>
      <c r="AP1117" s="87"/>
      <c r="AQ1117" s="87"/>
      <c r="AR1117" s="88"/>
      <c r="AS1117" s="87"/>
      <c r="AT1117" s="87"/>
    </row>
    <row r="1118" spans="15:46" x14ac:dyDescent="0.25">
      <c r="O1118" s="49" t="e">
        <f t="shared" si="81"/>
        <v>#N/A</v>
      </c>
      <c r="AE1118" s="42"/>
      <c r="AF1118" s="42"/>
      <c r="AG1118" s="42"/>
      <c r="AH1118" s="42"/>
      <c r="AI1118" s="42"/>
      <c r="AJ1118" s="42"/>
      <c r="AK1118" s="42"/>
      <c r="AO1118" s="86"/>
      <c r="AP1118" s="87"/>
      <c r="AQ1118" s="87"/>
      <c r="AR1118" s="88"/>
      <c r="AS1118" s="87"/>
      <c r="AT1118" s="87"/>
    </row>
    <row r="1119" spans="15:46" x14ac:dyDescent="0.25">
      <c r="O1119" s="49" t="e">
        <f t="shared" si="81"/>
        <v>#N/A</v>
      </c>
      <c r="AE1119" s="42"/>
      <c r="AF1119" s="42"/>
      <c r="AG1119" s="42"/>
      <c r="AH1119" s="42"/>
      <c r="AI1119" s="42"/>
      <c r="AJ1119" s="42"/>
      <c r="AK1119" s="42"/>
      <c r="AO1119" s="86"/>
      <c r="AP1119" s="87"/>
      <c r="AQ1119" s="87"/>
      <c r="AR1119" s="88"/>
      <c r="AS1119" s="87"/>
      <c r="AT1119" s="87"/>
    </row>
    <row r="1120" spans="15:46" x14ac:dyDescent="0.25">
      <c r="O1120" s="49" t="e">
        <f t="shared" si="81"/>
        <v>#N/A</v>
      </c>
      <c r="AE1120" s="42"/>
      <c r="AF1120" s="42"/>
      <c r="AG1120" s="42"/>
      <c r="AH1120" s="42"/>
      <c r="AI1120" s="42"/>
      <c r="AJ1120" s="42"/>
      <c r="AK1120" s="42"/>
      <c r="AO1120" s="86"/>
      <c r="AP1120" s="87"/>
      <c r="AQ1120" s="87"/>
      <c r="AR1120" s="88"/>
      <c r="AS1120" s="87"/>
      <c r="AT1120" s="87"/>
    </row>
    <row r="1121" spans="15:46" x14ac:dyDescent="0.25">
      <c r="O1121" s="49" t="e">
        <f t="shared" si="81"/>
        <v>#N/A</v>
      </c>
      <c r="AE1121" s="42"/>
      <c r="AF1121" s="42"/>
      <c r="AG1121" s="42"/>
      <c r="AH1121" s="42"/>
      <c r="AI1121" s="42"/>
      <c r="AJ1121" s="42"/>
      <c r="AK1121" s="42"/>
      <c r="AO1121" s="86"/>
      <c r="AP1121" s="87"/>
      <c r="AQ1121" s="87"/>
      <c r="AR1121" s="88"/>
      <c r="AS1121" s="87"/>
      <c r="AT1121" s="87"/>
    </row>
    <row r="1122" spans="15:46" x14ac:dyDescent="0.25">
      <c r="O1122" s="49" t="e">
        <f t="shared" si="81"/>
        <v>#N/A</v>
      </c>
      <c r="AE1122" s="42"/>
      <c r="AF1122" s="42"/>
      <c r="AG1122" s="42"/>
      <c r="AH1122" s="42"/>
      <c r="AI1122" s="42"/>
      <c r="AJ1122" s="42"/>
      <c r="AK1122" s="42"/>
      <c r="AO1122" s="86"/>
      <c r="AP1122" s="87"/>
      <c r="AQ1122" s="87"/>
      <c r="AR1122" s="88"/>
      <c r="AS1122" s="87"/>
      <c r="AT1122" s="87"/>
    </row>
    <row r="1123" spans="15:46" x14ac:dyDescent="0.25">
      <c r="O1123" s="49" t="e">
        <f t="shared" si="81"/>
        <v>#N/A</v>
      </c>
      <c r="AE1123" s="42"/>
      <c r="AF1123" s="42"/>
      <c r="AG1123" s="42"/>
      <c r="AH1123" s="42"/>
      <c r="AI1123" s="42"/>
      <c r="AJ1123" s="42"/>
      <c r="AK1123" s="42"/>
      <c r="AO1123" s="86"/>
      <c r="AP1123" s="87"/>
      <c r="AQ1123" s="87"/>
      <c r="AR1123" s="88"/>
      <c r="AS1123" s="87"/>
      <c r="AT1123" s="87"/>
    </row>
    <row r="1124" spans="15:46" x14ac:dyDescent="0.25">
      <c r="O1124" s="49" t="e">
        <f t="shared" si="81"/>
        <v>#N/A</v>
      </c>
      <c r="AE1124" s="42"/>
      <c r="AF1124" s="42"/>
      <c r="AG1124" s="42"/>
      <c r="AH1124" s="42"/>
      <c r="AI1124" s="42"/>
      <c r="AJ1124" s="42"/>
      <c r="AK1124" s="42"/>
      <c r="AO1124" s="86"/>
      <c r="AP1124" s="87"/>
      <c r="AQ1124" s="87"/>
      <c r="AR1124" s="88"/>
      <c r="AS1124" s="87"/>
      <c r="AT1124" s="87"/>
    </row>
    <row r="1125" spans="15:46" x14ac:dyDescent="0.25">
      <c r="O1125" s="49" t="e">
        <f t="shared" si="81"/>
        <v>#N/A</v>
      </c>
      <c r="AE1125" s="42"/>
      <c r="AF1125" s="42"/>
      <c r="AG1125" s="42"/>
      <c r="AH1125" s="42"/>
      <c r="AI1125" s="42"/>
      <c r="AJ1125" s="42"/>
      <c r="AK1125" s="42"/>
      <c r="AO1125" s="86"/>
      <c r="AP1125" s="87"/>
      <c r="AQ1125" s="87"/>
      <c r="AR1125" s="88"/>
      <c r="AS1125" s="87"/>
      <c r="AT1125" s="87"/>
    </row>
    <row r="1126" spans="15:46" x14ac:dyDescent="0.25">
      <c r="O1126" s="49" t="e">
        <f t="shared" si="81"/>
        <v>#N/A</v>
      </c>
      <c r="AE1126" s="42"/>
      <c r="AF1126" s="42"/>
      <c r="AG1126" s="42"/>
      <c r="AH1126" s="42"/>
      <c r="AI1126" s="42"/>
      <c r="AJ1126" s="42"/>
      <c r="AK1126" s="42"/>
      <c r="AO1126" s="86"/>
      <c r="AP1126" s="87"/>
      <c r="AQ1126" s="87"/>
      <c r="AR1126" s="88"/>
      <c r="AS1126" s="87"/>
      <c r="AT1126" s="87"/>
    </row>
    <row r="1127" spans="15:46" x14ac:dyDescent="0.25">
      <c r="O1127" s="49" t="e">
        <f t="shared" si="81"/>
        <v>#N/A</v>
      </c>
      <c r="AE1127" s="42"/>
      <c r="AF1127" s="42"/>
      <c r="AG1127" s="42"/>
      <c r="AH1127" s="42"/>
      <c r="AI1127" s="42"/>
      <c r="AJ1127" s="42"/>
      <c r="AK1127" s="42"/>
      <c r="AO1127" s="86"/>
      <c r="AP1127" s="87"/>
      <c r="AQ1127" s="87"/>
      <c r="AR1127" s="88"/>
      <c r="AS1127" s="87"/>
      <c r="AT1127" s="87"/>
    </row>
    <row r="1128" spans="15:46" x14ac:dyDescent="0.25">
      <c r="O1128" s="49" t="e">
        <f t="shared" si="81"/>
        <v>#N/A</v>
      </c>
      <c r="AE1128" s="42"/>
      <c r="AF1128" s="42"/>
      <c r="AG1128" s="42"/>
      <c r="AH1128" s="42"/>
      <c r="AI1128" s="42"/>
      <c r="AJ1128" s="42"/>
      <c r="AK1128" s="42"/>
      <c r="AO1128" s="86"/>
      <c r="AP1128" s="87"/>
      <c r="AQ1128" s="87"/>
      <c r="AR1128" s="88"/>
      <c r="AS1128" s="87"/>
      <c r="AT1128" s="87"/>
    </row>
    <row r="1129" spans="15:46" x14ac:dyDescent="0.25">
      <c r="O1129" s="49" t="e">
        <f t="shared" si="81"/>
        <v>#N/A</v>
      </c>
      <c r="AE1129" s="42"/>
      <c r="AF1129" s="42"/>
      <c r="AG1129" s="42"/>
      <c r="AH1129" s="42"/>
      <c r="AI1129" s="42"/>
      <c r="AJ1129" s="42"/>
      <c r="AK1129" s="42"/>
      <c r="AO1129" s="86"/>
      <c r="AP1129" s="87"/>
      <c r="AQ1129" s="87"/>
      <c r="AR1129" s="88"/>
      <c r="AS1129" s="87"/>
      <c r="AT1129" s="87"/>
    </row>
    <row r="1130" spans="15:46" x14ac:dyDescent="0.25">
      <c r="O1130" s="49" t="e">
        <f t="shared" si="81"/>
        <v>#N/A</v>
      </c>
      <c r="AE1130" s="42"/>
      <c r="AF1130" s="42"/>
      <c r="AG1130" s="42"/>
      <c r="AH1130" s="42"/>
      <c r="AI1130" s="42"/>
      <c r="AJ1130" s="42"/>
      <c r="AK1130" s="42"/>
      <c r="AO1130" s="86"/>
      <c r="AP1130" s="87"/>
      <c r="AQ1130" s="87"/>
      <c r="AR1130" s="88"/>
      <c r="AS1130" s="87"/>
      <c r="AT1130" s="87"/>
    </row>
    <row r="1131" spans="15:46" x14ac:dyDescent="0.25">
      <c r="O1131" s="49" t="e">
        <f t="shared" si="81"/>
        <v>#N/A</v>
      </c>
      <c r="AE1131" s="42"/>
      <c r="AF1131" s="42"/>
      <c r="AG1131" s="42"/>
      <c r="AH1131" s="42"/>
      <c r="AI1131" s="42"/>
      <c r="AJ1131" s="42"/>
      <c r="AK1131" s="42"/>
      <c r="AO1131" s="86"/>
      <c r="AP1131" s="87"/>
      <c r="AQ1131" s="87"/>
      <c r="AR1131" s="88"/>
      <c r="AS1131" s="87"/>
      <c r="AT1131" s="87"/>
    </row>
    <row r="1132" spans="15:46" x14ac:dyDescent="0.25">
      <c r="O1132" s="49" t="e">
        <f t="shared" si="81"/>
        <v>#N/A</v>
      </c>
      <c r="AE1132" s="42"/>
      <c r="AF1132" s="42"/>
      <c r="AG1132" s="42"/>
      <c r="AH1132" s="42"/>
      <c r="AI1132" s="42"/>
      <c r="AJ1132" s="42"/>
      <c r="AK1132" s="42"/>
      <c r="AO1132" s="86"/>
      <c r="AP1132" s="87"/>
      <c r="AQ1132" s="87"/>
      <c r="AR1132" s="88"/>
      <c r="AS1132" s="87"/>
      <c r="AT1132" s="87"/>
    </row>
    <row r="1133" spans="15:46" x14ac:dyDescent="0.25">
      <c r="O1133" s="49" t="e">
        <f t="shared" si="81"/>
        <v>#N/A</v>
      </c>
      <c r="AE1133" s="42"/>
      <c r="AF1133" s="42"/>
      <c r="AG1133" s="42"/>
      <c r="AH1133" s="42"/>
      <c r="AI1133" s="42"/>
      <c r="AJ1133" s="42"/>
      <c r="AK1133" s="42"/>
      <c r="AO1133" s="86"/>
      <c r="AP1133" s="87"/>
      <c r="AQ1133" s="87"/>
      <c r="AR1133" s="88"/>
      <c r="AS1133" s="87"/>
      <c r="AT1133" s="87"/>
    </row>
    <row r="1134" spans="15:46" x14ac:dyDescent="0.25">
      <c r="O1134" s="49" t="e">
        <f t="shared" si="81"/>
        <v>#N/A</v>
      </c>
      <c r="AE1134" s="42"/>
      <c r="AF1134" s="42"/>
      <c r="AG1134" s="42"/>
      <c r="AH1134" s="42"/>
      <c r="AI1134" s="42"/>
      <c r="AJ1134" s="42"/>
      <c r="AK1134" s="42"/>
      <c r="AO1134" s="86"/>
      <c r="AP1134" s="87"/>
      <c r="AQ1134" s="87"/>
      <c r="AR1134" s="88"/>
      <c r="AS1134" s="87"/>
      <c r="AT1134" s="87"/>
    </row>
    <row r="1135" spans="15:46" x14ac:dyDescent="0.25">
      <c r="O1135" s="49" t="e">
        <f t="shared" si="81"/>
        <v>#N/A</v>
      </c>
      <c r="AE1135" s="42"/>
      <c r="AF1135" s="42"/>
      <c r="AG1135" s="42"/>
      <c r="AH1135" s="42"/>
      <c r="AI1135" s="42"/>
      <c r="AJ1135" s="42"/>
      <c r="AK1135" s="42"/>
      <c r="AO1135" s="86"/>
      <c r="AP1135" s="87"/>
      <c r="AQ1135" s="87"/>
      <c r="AR1135" s="88"/>
      <c r="AS1135" s="87"/>
      <c r="AT1135" s="87"/>
    </row>
    <row r="1136" spans="15:46" x14ac:dyDescent="0.25">
      <c r="O1136" s="49" t="e">
        <f t="shared" si="81"/>
        <v>#N/A</v>
      </c>
      <c r="AE1136" s="42"/>
      <c r="AF1136" s="42"/>
      <c r="AG1136" s="42"/>
      <c r="AH1136" s="42"/>
      <c r="AI1136" s="42"/>
      <c r="AJ1136" s="42"/>
      <c r="AK1136" s="42"/>
      <c r="AO1136" s="86"/>
      <c r="AP1136" s="87"/>
      <c r="AQ1136" s="87"/>
      <c r="AR1136" s="88"/>
      <c r="AS1136" s="87"/>
      <c r="AT1136" s="87"/>
    </row>
    <row r="1137" spans="15:46" x14ac:dyDescent="0.25">
      <c r="O1137" s="49" t="e">
        <f t="shared" si="81"/>
        <v>#N/A</v>
      </c>
      <c r="AE1137" s="42"/>
      <c r="AF1137" s="42"/>
      <c r="AG1137" s="42"/>
      <c r="AH1137" s="42"/>
      <c r="AI1137" s="42"/>
      <c r="AJ1137" s="42"/>
      <c r="AK1137" s="42"/>
      <c r="AO1137" s="86"/>
      <c r="AP1137" s="87"/>
      <c r="AQ1137" s="87"/>
      <c r="AR1137" s="88"/>
      <c r="AS1137" s="87"/>
      <c r="AT1137" s="87"/>
    </row>
    <row r="1138" spans="15:46" x14ac:dyDescent="0.25">
      <c r="O1138" s="49" t="e">
        <f t="shared" si="81"/>
        <v>#N/A</v>
      </c>
      <c r="AE1138" s="42"/>
      <c r="AF1138" s="42"/>
      <c r="AG1138" s="42"/>
      <c r="AH1138" s="42"/>
      <c r="AI1138" s="42"/>
      <c r="AJ1138" s="42"/>
      <c r="AK1138" s="42"/>
      <c r="AO1138" s="86"/>
      <c r="AP1138" s="87"/>
      <c r="AQ1138" s="87"/>
      <c r="AR1138" s="88"/>
      <c r="AS1138" s="87"/>
      <c r="AT1138" s="87"/>
    </row>
    <row r="1139" spans="15:46" x14ac:dyDescent="0.25">
      <c r="O1139" s="49" t="e">
        <f t="shared" si="81"/>
        <v>#N/A</v>
      </c>
      <c r="AE1139" s="42"/>
      <c r="AF1139" s="42"/>
      <c r="AG1139" s="42"/>
      <c r="AH1139" s="42"/>
      <c r="AI1139" s="42"/>
      <c r="AJ1139" s="42"/>
      <c r="AK1139" s="42"/>
      <c r="AO1139" s="86"/>
      <c r="AP1139" s="87"/>
      <c r="AQ1139" s="87"/>
      <c r="AR1139" s="88"/>
      <c r="AS1139" s="87"/>
      <c r="AT1139" s="87"/>
    </row>
    <row r="1140" spans="15:46" x14ac:dyDescent="0.25">
      <c r="O1140" s="49" t="e">
        <f t="shared" si="81"/>
        <v>#N/A</v>
      </c>
      <c r="AE1140" s="42"/>
      <c r="AF1140" s="42"/>
      <c r="AG1140" s="42"/>
      <c r="AH1140" s="42"/>
      <c r="AI1140" s="42"/>
      <c r="AJ1140" s="42"/>
      <c r="AK1140" s="42"/>
      <c r="AO1140" s="86"/>
      <c r="AP1140" s="87"/>
      <c r="AQ1140" s="87"/>
      <c r="AR1140" s="88"/>
      <c r="AS1140" s="87"/>
      <c r="AT1140" s="87"/>
    </row>
    <row r="1141" spans="15:46" x14ac:dyDescent="0.25">
      <c r="O1141" s="49" t="e">
        <f t="shared" si="81"/>
        <v>#N/A</v>
      </c>
      <c r="AE1141" s="42"/>
      <c r="AF1141" s="42"/>
      <c r="AG1141" s="42"/>
      <c r="AH1141" s="42"/>
      <c r="AI1141" s="42"/>
      <c r="AJ1141" s="42"/>
      <c r="AK1141" s="42"/>
      <c r="AO1141" s="86"/>
      <c r="AP1141" s="87"/>
      <c r="AQ1141" s="87"/>
      <c r="AR1141" s="88"/>
      <c r="AS1141" s="87"/>
      <c r="AT1141" s="87"/>
    </row>
    <row r="1142" spans="15:46" x14ac:dyDescent="0.25">
      <c r="O1142" s="49" t="e">
        <f t="shared" si="81"/>
        <v>#N/A</v>
      </c>
      <c r="AE1142" s="42"/>
      <c r="AF1142" s="42"/>
      <c r="AG1142" s="42"/>
      <c r="AH1142" s="42"/>
      <c r="AI1142" s="42"/>
      <c r="AJ1142" s="42"/>
      <c r="AK1142" s="42"/>
      <c r="AO1142" s="86"/>
      <c r="AP1142" s="87"/>
      <c r="AQ1142" s="87"/>
      <c r="AR1142" s="88"/>
      <c r="AS1142" s="87"/>
      <c r="AT1142" s="87"/>
    </row>
    <row r="1143" spans="15:46" x14ac:dyDescent="0.25">
      <c r="O1143" s="49" t="e">
        <f t="shared" si="81"/>
        <v>#N/A</v>
      </c>
      <c r="AE1143" s="42"/>
      <c r="AF1143" s="42"/>
      <c r="AG1143" s="42"/>
      <c r="AH1143" s="42"/>
      <c r="AI1143" s="42"/>
      <c r="AJ1143" s="42"/>
      <c r="AK1143" s="42"/>
      <c r="AO1143" s="86"/>
      <c r="AP1143" s="87"/>
      <c r="AQ1143" s="87"/>
      <c r="AR1143" s="88"/>
      <c r="AS1143" s="87"/>
      <c r="AT1143" s="87"/>
    </row>
    <row r="1144" spans="15:46" x14ac:dyDescent="0.25">
      <c r="O1144" s="49" t="e">
        <f t="shared" si="81"/>
        <v>#N/A</v>
      </c>
      <c r="AE1144" s="42"/>
      <c r="AF1144" s="42"/>
      <c r="AG1144" s="42"/>
      <c r="AH1144" s="42"/>
      <c r="AI1144" s="42"/>
      <c r="AJ1144" s="42"/>
      <c r="AK1144" s="42"/>
      <c r="AO1144" s="86"/>
      <c r="AP1144" s="87"/>
      <c r="AQ1144" s="87"/>
      <c r="AR1144" s="88"/>
      <c r="AS1144" s="87"/>
      <c r="AT1144" s="87"/>
    </row>
    <row r="1145" spans="15:46" x14ac:dyDescent="0.25">
      <c r="O1145" s="49" t="e">
        <f t="shared" si="81"/>
        <v>#N/A</v>
      </c>
      <c r="AE1145" s="42"/>
      <c r="AF1145" s="42"/>
      <c r="AG1145" s="42"/>
      <c r="AH1145" s="42"/>
      <c r="AI1145" s="42"/>
      <c r="AJ1145" s="42"/>
      <c r="AK1145" s="42"/>
      <c r="AO1145" s="86"/>
      <c r="AP1145" s="87"/>
      <c r="AQ1145" s="87"/>
      <c r="AR1145" s="88"/>
      <c r="AS1145" s="87"/>
      <c r="AT1145" s="87"/>
    </row>
    <row r="1146" spans="15:46" x14ac:dyDescent="0.25">
      <c r="O1146" s="49" t="e">
        <f t="shared" si="81"/>
        <v>#N/A</v>
      </c>
      <c r="AE1146" s="42"/>
      <c r="AF1146" s="42"/>
      <c r="AG1146" s="42"/>
      <c r="AH1146" s="42"/>
      <c r="AI1146" s="42"/>
      <c r="AJ1146" s="42"/>
      <c r="AK1146" s="42"/>
      <c r="AO1146" s="86"/>
      <c r="AP1146" s="87"/>
      <c r="AQ1146" s="87"/>
      <c r="AR1146" s="88"/>
      <c r="AS1146" s="87"/>
      <c r="AT1146" s="87"/>
    </row>
    <row r="1147" spans="15:46" x14ac:dyDescent="0.25">
      <c r="O1147" s="49" t="e">
        <f t="shared" si="81"/>
        <v>#N/A</v>
      </c>
      <c r="AE1147" s="42"/>
      <c r="AF1147" s="42"/>
      <c r="AG1147" s="42"/>
      <c r="AH1147" s="42"/>
      <c r="AI1147" s="42"/>
      <c r="AJ1147" s="42"/>
      <c r="AK1147" s="42"/>
      <c r="AO1147" s="86"/>
      <c r="AP1147" s="87"/>
      <c r="AQ1147" s="87"/>
      <c r="AR1147" s="88"/>
      <c r="AS1147" s="87"/>
      <c r="AT1147" s="87"/>
    </row>
    <row r="1148" spans="15:46" x14ac:dyDescent="0.25">
      <c r="O1148" s="49" t="e">
        <f t="shared" si="81"/>
        <v>#N/A</v>
      </c>
      <c r="AE1148" s="42"/>
      <c r="AF1148" s="42"/>
      <c r="AG1148" s="42"/>
      <c r="AH1148" s="42"/>
      <c r="AI1148" s="42"/>
      <c r="AJ1148" s="42"/>
      <c r="AK1148" s="42"/>
      <c r="AO1148" s="86"/>
      <c r="AP1148" s="87"/>
      <c r="AQ1148" s="87"/>
      <c r="AR1148" s="88"/>
      <c r="AS1148" s="87"/>
      <c r="AT1148" s="87"/>
    </row>
    <row r="1149" spans="15:46" x14ac:dyDescent="0.25">
      <c r="O1149" s="49" t="e">
        <f t="shared" si="81"/>
        <v>#N/A</v>
      </c>
      <c r="AE1149" s="42"/>
      <c r="AF1149" s="42"/>
      <c r="AG1149" s="42"/>
      <c r="AH1149" s="42"/>
      <c r="AI1149" s="42"/>
      <c r="AJ1149" s="42"/>
      <c r="AK1149" s="42"/>
      <c r="AO1149" s="86"/>
      <c r="AP1149" s="87"/>
      <c r="AQ1149" s="87"/>
      <c r="AR1149" s="88"/>
      <c r="AS1149" s="87"/>
      <c r="AT1149" s="87"/>
    </row>
    <row r="1150" spans="15:46" x14ac:dyDescent="0.25">
      <c r="O1150" s="49" t="e">
        <f t="shared" si="81"/>
        <v>#N/A</v>
      </c>
      <c r="AE1150" s="42"/>
      <c r="AF1150" s="42"/>
      <c r="AG1150" s="42"/>
      <c r="AH1150" s="42"/>
      <c r="AI1150" s="42"/>
      <c r="AJ1150" s="42"/>
      <c r="AK1150" s="42"/>
      <c r="AO1150" s="86"/>
      <c r="AP1150" s="87"/>
      <c r="AQ1150" s="87"/>
      <c r="AR1150" s="88"/>
      <c r="AS1150" s="87"/>
      <c r="AT1150" s="87"/>
    </row>
    <row r="1151" spans="15:46" x14ac:dyDescent="0.25">
      <c r="O1151" s="49" t="e">
        <f t="shared" si="81"/>
        <v>#N/A</v>
      </c>
      <c r="AE1151" s="42"/>
      <c r="AF1151" s="42"/>
      <c r="AG1151" s="42"/>
      <c r="AH1151" s="42"/>
      <c r="AI1151" s="42"/>
      <c r="AJ1151" s="42"/>
      <c r="AK1151" s="42"/>
      <c r="AO1151" s="86"/>
      <c r="AP1151" s="87"/>
      <c r="AQ1151" s="87"/>
      <c r="AR1151" s="88"/>
      <c r="AS1151" s="87"/>
      <c r="AT1151" s="87"/>
    </row>
    <row r="1152" spans="15:46" x14ac:dyDescent="0.25">
      <c r="O1152" s="49" t="e">
        <f t="shared" si="81"/>
        <v>#N/A</v>
      </c>
      <c r="AE1152" s="42"/>
      <c r="AF1152" s="42"/>
      <c r="AG1152" s="42"/>
      <c r="AH1152" s="42"/>
      <c r="AI1152" s="42"/>
      <c r="AJ1152" s="42"/>
      <c r="AK1152" s="42"/>
      <c r="AO1152" s="86"/>
      <c r="AP1152" s="87"/>
      <c r="AQ1152" s="87"/>
      <c r="AR1152" s="88"/>
      <c r="AS1152" s="87"/>
      <c r="AT1152" s="87"/>
    </row>
    <row r="1153" spans="15:46" x14ac:dyDescent="0.25">
      <c r="O1153" s="49" t="e">
        <f t="shared" si="81"/>
        <v>#N/A</v>
      </c>
      <c r="AE1153" s="42"/>
      <c r="AF1153" s="42"/>
      <c r="AG1153" s="42"/>
      <c r="AH1153" s="42"/>
      <c r="AI1153" s="42"/>
      <c r="AJ1153" s="42"/>
      <c r="AK1153" s="42"/>
      <c r="AO1153" s="86"/>
      <c r="AP1153" s="87"/>
      <c r="AQ1153" s="87"/>
      <c r="AR1153" s="88"/>
      <c r="AS1153" s="87"/>
      <c r="AT1153" s="87"/>
    </row>
    <row r="1154" spans="15:46" x14ac:dyDescent="0.25">
      <c r="O1154" s="49" t="e">
        <f t="shared" si="81"/>
        <v>#N/A</v>
      </c>
      <c r="AE1154" s="42"/>
      <c r="AF1154" s="42"/>
      <c r="AG1154" s="42"/>
      <c r="AH1154" s="42"/>
      <c r="AI1154" s="42"/>
      <c r="AJ1154" s="42"/>
      <c r="AK1154" s="42"/>
      <c r="AO1154" s="86"/>
      <c r="AP1154" s="87"/>
      <c r="AQ1154" s="87"/>
      <c r="AR1154" s="88"/>
      <c r="AS1154" s="87"/>
      <c r="AT1154" s="87"/>
    </row>
    <row r="1155" spans="15:46" x14ac:dyDescent="0.25">
      <c r="O1155" s="49" t="e">
        <f t="shared" si="81"/>
        <v>#N/A</v>
      </c>
      <c r="AE1155" s="42"/>
      <c r="AF1155" s="42"/>
      <c r="AG1155" s="42"/>
      <c r="AH1155" s="42"/>
      <c r="AI1155" s="42"/>
      <c r="AJ1155" s="42"/>
      <c r="AK1155" s="42"/>
      <c r="AO1155" s="86"/>
      <c r="AP1155" s="87"/>
      <c r="AQ1155" s="87"/>
      <c r="AR1155" s="88"/>
      <c r="AS1155" s="87"/>
      <c r="AT1155" s="87"/>
    </row>
    <row r="1156" spans="15:46" x14ac:dyDescent="0.25">
      <c r="O1156" s="49" t="e">
        <f t="shared" si="81"/>
        <v>#N/A</v>
      </c>
      <c r="AE1156" s="42"/>
      <c r="AF1156" s="42"/>
      <c r="AG1156" s="42"/>
      <c r="AH1156" s="42"/>
      <c r="AI1156" s="42"/>
      <c r="AJ1156" s="42"/>
      <c r="AK1156" s="42"/>
      <c r="AO1156" s="86"/>
      <c r="AP1156" s="87"/>
      <c r="AQ1156" s="87"/>
      <c r="AR1156" s="88"/>
      <c r="AS1156" s="87"/>
      <c r="AT1156" s="87"/>
    </row>
    <row r="1157" spans="15:46" x14ac:dyDescent="0.25">
      <c r="O1157" s="49" t="e">
        <f t="shared" si="81"/>
        <v>#N/A</v>
      </c>
      <c r="AE1157" s="42"/>
      <c r="AF1157" s="42"/>
      <c r="AG1157" s="42"/>
      <c r="AH1157" s="42"/>
      <c r="AI1157" s="42"/>
      <c r="AJ1157" s="42"/>
      <c r="AK1157" s="42"/>
      <c r="AO1157" s="86"/>
      <c r="AP1157" s="87"/>
      <c r="AQ1157" s="87"/>
      <c r="AR1157" s="88"/>
      <c r="AS1157" s="87"/>
      <c r="AT1157" s="87"/>
    </row>
    <row r="1158" spans="15:46" x14ac:dyDescent="0.25">
      <c r="O1158" s="49" t="e">
        <f t="shared" si="81"/>
        <v>#N/A</v>
      </c>
      <c r="AE1158" s="42"/>
      <c r="AF1158" s="42"/>
      <c r="AG1158" s="42"/>
      <c r="AH1158" s="42"/>
      <c r="AI1158" s="42"/>
      <c r="AJ1158" s="42"/>
      <c r="AK1158" s="42"/>
      <c r="AO1158" s="86"/>
      <c r="AP1158" s="87"/>
      <c r="AQ1158" s="87"/>
      <c r="AR1158" s="88"/>
      <c r="AS1158" s="87"/>
      <c r="AT1158" s="87"/>
    </row>
    <row r="1159" spans="15:46" x14ac:dyDescent="0.25">
      <c r="O1159" s="49" t="e">
        <f t="shared" si="81"/>
        <v>#N/A</v>
      </c>
      <c r="AE1159" s="42"/>
      <c r="AF1159" s="42"/>
      <c r="AG1159" s="42"/>
      <c r="AH1159" s="42"/>
      <c r="AI1159" s="42"/>
      <c r="AJ1159" s="42"/>
      <c r="AK1159" s="42"/>
      <c r="AO1159" s="86"/>
      <c r="AP1159" s="87"/>
      <c r="AQ1159" s="87"/>
      <c r="AR1159" s="88"/>
      <c r="AS1159" s="87"/>
      <c r="AT1159" s="87"/>
    </row>
    <row r="1160" spans="15:46" x14ac:dyDescent="0.25">
      <c r="O1160" s="49" t="e">
        <f t="shared" si="81"/>
        <v>#N/A</v>
      </c>
      <c r="AE1160" s="42"/>
      <c r="AF1160" s="42"/>
      <c r="AG1160" s="42"/>
      <c r="AH1160" s="42"/>
      <c r="AI1160" s="42"/>
      <c r="AJ1160" s="42"/>
      <c r="AK1160" s="42"/>
      <c r="AO1160" s="86"/>
      <c r="AP1160" s="87"/>
      <c r="AQ1160" s="87"/>
      <c r="AR1160" s="88"/>
      <c r="AS1160" s="87"/>
      <c r="AT1160" s="87"/>
    </row>
    <row r="1161" spans="15:46" x14ac:dyDescent="0.25">
      <c r="O1161" s="49" t="e">
        <f t="shared" si="81"/>
        <v>#N/A</v>
      </c>
      <c r="AE1161" s="42"/>
      <c r="AF1161" s="42"/>
      <c r="AG1161" s="42"/>
      <c r="AH1161" s="42"/>
      <c r="AI1161" s="42"/>
      <c r="AJ1161" s="42"/>
      <c r="AK1161" s="42"/>
      <c r="AO1161" s="86"/>
      <c r="AP1161" s="87"/>
      <c r="AQ1161" s="87"/>
      <c r="AR1161" s="88"/>
      <c r="AS1161" s="87"/>
      <c r="AT1161" s="87"/>
    </row>
    <row r="1162" spans="15:46" x14ac:dyDescent="0.25">
      <c r="O1162" s="49" t="e">
        <f t="shared" si="81"/>
        <v>#N/A</v>
      </c>
      <c r="AE1162" s="42"/>
      <c r="AF1162" s="42"/>
      <c r="AG1162" s="42"/>
      <c r="AH1162" s="42"/>
      <c r="AI1162" s="42"/>
      <c r="AJ1162" s="42"/>
      <c r="AK1162" s="42"/>
      <c r="AO1162" s="86"/>
      <c r="AP1162" s="87"/>
      <c r="AQ1162" s="87"/>
      <c r="AR1162" s="88"/>
      <c r="AS1162" s="87"/>
      <c r="AT1162" s="87"/>
    </row>
    <row r="1163" spans="15:46" x14ac:dyDescent="0.25">
      <c r="O1163" s="49" t="e">
        <f t="shared" si="81"/>
        <v>#N/A</v>
      </c>
      <c r="AE1163" s="42"/>
      <c r="AF1163" s="42"/>
      <c r="AG1163" s="42"/>
      <c r="AH1163" s="42"/>
      <c r="AI1163" s="42"/>
      <c r="AJ1163" s="42"/>
      <c r="AK1163" s="42"/>
      <c r="AO1163" s="86"/>
      <c r="AP1163" s="87"/>
      <c r="AQ1163" s="87"/>
      <c r="AR1163" s="88"/>
      <c r="AS1163" s="87"/>
      <c r="AT1163" s="87"/>
    </row>
    <row r="1164" spans="15:46" x14ac:dyDescent="0.25">
      <c r="O1164" s="49" t="e">
        <f t="shared" si="81"/>
        <v>#N/A</v>
      </c>
      <c r="AE1164" s="42"/>
      <c r="AF1164" s="42"/>
      <c r="AG1164" s="42"/>
      <c r="AH1164" s="42"/>
      <c r="AI1164" s="42"/>
      <c r="AJ1164" s="42"/>
      <c r="AK1164" s="42"/>
      <c r="AO1164" s="86"/>
      <c r="AP1164" s="87"/>
      <c r="AQ1164" s="87"/>
      <c r="AR1164" s="88"/>
      <c r="AS1164" s="87"/>
      <c r="AT1164" s="87"/>
    </row>
    <row r="1165" spans="15:46" x14ac:dyDescent="0.25">
      <c r="O1165" s="49" t="e">
        <f t="shared" si="81"/>
        <v>#N/A</v>
      </c>
      <c r="AE1165" s="42"/>
      <c r="AF1165" s="42"/>
      <c r="AG1165" s="42"/>
      <c r="AH1165" s="42"/>
      <c r="AI1165" s="42"/>
      <c r="AJ1165" s="42"/>
      <c r="AK1165" s="42"/>
      <c r="AO1165" s="86"/>
      <c r="AP1165" s="87"/>
      <c r="AQ1165" s="87"/>
      <c r="AR1165" s="88"/>
      <c r="AS1165" s="87"/>
      <c r="AT1165" s="87"/>
    </row>
    <row r="1166" spans="15:46" x14ac:dyDescent="0.25">
      <c r="O1166" s="49" t="e">
        <f t="shared" si="81"/>
        <v>#N/A</v>
      </c>
      <c r="AE1166" s="42"/>
      <c r="AF1166" s="42"/>
      <c r="AG1166" s="42"/>
      <c r="AH1166" s="42"/>
      <c r="AI1166" s="42"/>
      <c r="AJ1166" s="42"/>
      <c r="AK1166" s="42"/>
      <c r="AO1166" s="86"/>
      <c r="AP1166" s="87"/>
      <c r="AQ1166" s="87"/>
      <c r="AR1166" s="88"/>
      <c r="AS1166" s="87"/>
      <c r="AT1166" s="87"/>
    </row>
    <row r="1167" spans="15:46" x14ac:dyDescent="0.25">
      <c r="O1167" s="49" t="e">
        <f t="shared" si="81"/>
        <v>#N/A</v>
      </c>
      <c r="AE1167" s="42"/>
      <c r="AF1167" s="42"/>
      <c r="AG1167" s="42"/>
      <c r="AH1167" s="42"/>
      <c r="AI1167" s="42"/>
      <c r="AJ1167" s="42"/>
      <c r="AK1167" s="42"/>
      <c r="AO1167" s="86"/>
      <c r="AP1167" s="87"/>
      <c r="AQ1167" s="87"/>
      <c r="AR1167" s="88"/>
      <c r="AS1167" s="87"/>
      <c r="AT1167" s="87"/>
    </row>
    <row r="1168" spans="15:46" x14ac:dyDescent="0.25">
      <c r="O1168" s="49" t="e">
        <f t="shared" si="81"/>
        <v>#N/A</v>
      </c>
      <c r="AE1168" s="42"/>
      <c r="AF1168" s="42"/>
      <c r="AG1168" s="42"/>
      <c r="AH1168" s="42"/>
      <c r="AI1168" s="42"/>
      <c r="AJ1168" s="42"/>
      <c r="AK1168" s="42"/>
      <c r="AO1168" s="86"/>
      <c r="AP1168" s="87"/>
      <c r="AQ1168" s="87"/>
      <c r="AR1168" s="88"/>
      <c r="AS1168" s="87"/>
      <c r="AT1168" s="87"/>
    </row>
    <row r="1169" spans="15:46" x14ac:dyDescent="0.25">
      <c r="O1169" s="49" t="e">
        <f t="shared" si="81"/>
        <v>#N/A</v>
      </c>
      <c r="AE1169" s="42"/>
      <c r="AF1169" s="42"/>
      <c r="AG1169" s="42"/>
      <c r="AH1169" s="42"/>
      <c r="AI1169" s="42"/>
      <c r="AJ1169" s="42"/>
      <c r="AK1169" s="42"/>
      <c r="AO1169" s="86"/>
      <c r="AP1169" s="87"/>
      <c r="AQ1169" s="87"/>
      <c r="AR1169" s="88"/>
      <c r="AS1169" s="87"/>
      <c r="AT1169" s="87"/>
    </row>
    <row r="1170" spans="15:46" x14ac:dyDescent="0.25">
      <c r="O1170" s="49" t="e">
        <f t="shared" si="81"/>
        <v>#N/A</v>
      </c>
      <c r="AE1170" s="42"/>
      <c r="AF1170" s="42"/>
      <c r="AG1170" s="42"/>
      <c r="AH1170" s="42"/>
      <c r="AI1170" s="42"/>
      <c r="AJ1170" s="42"/>
      <c r="AK1170" s="42"/>
      <c r="AO1170" s="86"/>
      <c r="AP1170" s="87"/>
      <c r="AQ1170" s="87"/>
      <c r="AR1170" s="88"/>
      <c r="AS1170" s="87"/>
      <c r="AT1170" s="87"/>
    </row>
    <row r="1171" spans="15:46" x14ac:dyDescent="0.25">
      <c r="O1171" s="49" t="e">
        <f t="shared" si="81"/>
        <v>#N/A</v>
      </c>
      <c r="AE1171" s="42"/>
      <c r="AF1171" s="42"/>
      <c r="AG1171" s="42"/>
      <c r="AH1171" s="42"/>
      <c r="AI1171" s="42"/>
      <c r="AJ1171" s="42"/>
      <c r="AK1171" s="42"/>
      <c r="AO1171" s="86"/>
      <c r="AP1171" s="87"/>
      <c r="AQ1171" s="87"/>
      <c r="AR1171" s="88"/>
      <c r="AS1171" s="87"/>
      <c r="AT1171" s="87"/>
    </row>
    <row r="1172" spans="15:46" x14ac:dyDescent="0.25">
      <c r="O1172" s="49" t="e">
        <f t="shared" si="81"/>
        <v>#N/A</v>
      </c>
      <c r="AE1172" s="42"/>
      <c r="AF1172" s="42"/>
      <c r="AG1172" s="42"/>
      <c r="AH1172" s="42"/>
      <c r="AI1172" s="42"/>
      <c r="AJ1172" s="42"/>
      <c r="AK1172" s="42"/>
      <c r="AO1172" s="86"/>
      <c r="AP1172" s="87"/>
      <c r="AQ1172" s="87"/>
      <c r="AR1172" s="88"/>
      <c r="AS1172" s="87"/>
      <c r="AT1172" s="87"/>
    </row>
    <row r="1173" spans="15:46" x14ac:dyDescent="0.25">
      <c r="O1173" s="49" t="e">
        <f t="shared" si="81"/>
        <v>#N/A</v>
      </c>
      <c r="AE1173" s="42"/>
      <c r="AF1173" s="42"/>
      <c r="AG1173" s="42"/>
      <c r="AH1173" s="42"/>
      <c r="AI1173" s="42"/>
      <c r="AJ1173" s="42"/>
      <c r="AK1173" s="42"/>
      <c r="AO1173" s="86"/>
      <c r="AP1173" s="87"/>
      <c r="AQ1173" s="87"/>
      <c r="AR1173" s="88"/>
      <c r="AS1173" s="87"/>
      <c r="AT1173" s="87"/>
    </row>
    <row r="1174" spans="15:46" x14ac:dyDescent="0.25">
      <c r="O1174" s="49" t="e">
        <f t="shared" si="81"/>
        <v>#N/A</v>
      </c>
      <c r="AE1174" s="42"/>
      <c r="AF1174" s="42"/>
      <c r="AG1174" s="42"/>
      <c r="AH1174" s="42"/>
      <c r="AI1174" s="42"/>
      <c r="AJ1174" s="42"/>
      <c r="AK1174" s="42"/>
      <c r="AO1174" s="86"/>
      <c r="AP1174" s="87"/>
      <c r="AQ1174" s="87"/>
      <c r="AR1174" s="88"/>
      <c r="AS1174" s="87"/>
      <c r="AT1174" s="87"/>
    </row>
    <row r="1175" spans="15:46" x14ac:dyDescent="0.25">
      <c r="O1175" s="49" t="e">
        <f t="shared" ref="O1175:O1238" si="82">IF(ISTEXT(N1175),IF(MID(N1175,11,2)="24",1+DATEVALUE(LEFT(N1175,10))+TIMEVALUE(CONCATENATE(MID(N1175,11,2),":",MID(N1175,13,2))),DATEVALUE(LEFT(N1175,10))+TIMEVALUE(CONCATENATE(MID(N1175,11,2),":",MID(N1175,13,2)))),#N/A)</f>
        <v>#N/A</v>
      </c>
      <c r="AE1175" s="42"/>
      <c r="AF1175" s="42"/>
      <c r="AG1175" s="42"/>
      <c r="AH1175" s="42"/>
      <c r="AI1175" s="42"/>
      <c r="AJ1175" s="42"/>
      <c r="AK1175" s="42"/>
      <c r="AO1175" s="86"/>
      <c r="AP1175" s="87"/>
      <c r="AQ1175" s="87"/>
      <c r="AR1175" s="88"/>
      <c r="AS1175" s="87"/>
      <c r="AT1175" s="87"/>
    </row>
    <row r="1176" spans="15:46" x14ac:dyDescent="0.25">
      <c r="O1176" s="49" t="e">
        <f t="shared" si="82"/>
        <v>#N/A</v>
      </c>
      <c r="AE1176" s="42"/>
      <c r="AF1176" s="42"/>
      <c r="AG1176" s="42"/>
      <c r="AH1176" s="42"/>
      <c r="AI1176" s="42"/>
      <c r="AJ1176" s="42"/>
      <c r="AK1176" s="42"/>
      <c r="AO1176" s="86"/>
      <c r="AP1176" s="87"/>
      <c r="AQ1176" s="87"/>
      <c r="AR1176" s="88"/>
      <c r="AS1176" s="87"/>
      <c r="AT1176" s="87"/>
    </row>
    <row r="1177" spans="15:46" x14ac:dyDescent="0.25">
      <c r="O1177" s="49" t="e">
        <f t="shared" si="82"/>
        <v>#N/A</v>
      </c>
      <c r="AE1177" s="42"/>
      <c r="AF1177" s="42"/>
      <c r="AG1177" s="42"/>
      <c r="AH1177" s="42"/>
      <c r="AI1177" s="42"/>
      <c r="AJ1177" s="42"/>
      <c r="AK1177" s="42"/>
      <c r="AO1177" s="86"/>
      <c r="AP1177" s="87"/>
      <c r="AQ1177" s="87"/>
      <c r="AR1177" s="88"/>
      <c r="AS1177" s="87"/>
      <c r="AT1177" s="87"/>
    </row>
    <row r="1178" spans="15:46" x14ac:dyDescent="0.25">
      <c r="O1178" s="49" t="e">
        <f t="shared" si="82"/>
        <v>#N/A</v>
      </c>
      <c r="AE1178" s="42"/>
      <c r="AF1178" s="42"/>
      <c r="AG1178" s="42"/>
      <c r="AH1178" s="42"/>
      <c r="AI1178" s="42"/>
      <c r="AJ1178" s="42"/>
      <c r="AK1178" s="42"/>
      <c r="AO1178" s="86"/>
      <c r="AP1178" s="87"/>
      <c r="AQ1178" s="87"/>
      <c r="AR1178" s="88"/>
      <c r="AS1178" s="87"/>
      <c r="AT1178" s="87"/>
    </row>
    <row r="1179" spans="15:46" x14ac:dyDescent="0.25">
      <c r="O1179" s="49" t="e">
        <f t="shared" si="82"/>
        <v>#N/A</v>
      </c>
      <c r="AE1179" s="42"/>
      <c r="AF1179" s="42"/>
      <c r="AG1179" s="42"/>
      <c r="AH1179" s="42"/>
      <c r="AI1179" s="42"/>
      <c r="AJ1179" s="42"/>
      <c r="AK1179" s="42"/>
      <c r="AO1179" s="86"/>
      <c r="AP1179" s="87"/>
      <c r="AQ1179" s="87"/>
      <c r="AR1179" s="88"/>
      <c r="AS1179" s="87"/>
      <c r="AT1179" s="87"/>
    </row>
    <row r="1180" spans="15:46" x14ac:dyDescent="0.25">
      <c r="O1180" s="49" t="e">
        <f t="shared" si="82"/>
        <v>#N/A</v>
      </c>
      <c r="AE1180" s="42"/>
      <c r="AF1180" s="42"/>
      <c r="AG1180" s="42"/>
      <c r="AH1180" s="42"/>
      <c r="AI1180" s="42"/>
      <c r="AJ1180" s="42"/>
      <c r="AK1180" s="42"/>
      <c r="AO1180" s="86"/>
      <c r="AP1180" s="87"/>
      <c r="AQ1180" s="87"/>
      <c r="AR1180" s="88"/>
      <c r="AS1180" s="87"/>
      <c r="AT1180" s="87"/>
    </row>
    <row r="1181" spans="15:46" x14ac:dyDescent="0.25">
      <c r="O1181" s="49" t="e">
        <f t="shared" si="82"/>
        <v>#N/A</v>
      </c>
      <c r="AE1181" s="42"/>
      <c r="AF1181" s="42"/>
      <c r="AG1181" s="42"/>
      <c r="AH1181" s="42"/>
      <c r="AI1181" s="42"/>
      <c r="AJ1181" s="42"/>
      <c r="AK1181" s="42"/>
      <c r="AO1181" s="86"/>
      <c r="AP1181" s="87"/>
      <c r="AQ1181" s="87"/>
      <c r="AR1181" s="88"/>
      <c r="AS1181" s="87"/>
      <c r="AT1181" s="87"/>
    </row>
    <row r="1182" spans="15:46" x14ac:dyDescent="0.25">
      <c r="O1182" s="49" t="e">
        <f t="shared" si="82"/>
        <v>#N/A</v>
      </c>
      <c r="AE1182" s="42"/>
      <c r="AF1182" s="42"/>
      <c r="AG1182" s="42"/>
      <c r="AH1182" s="42"/>
      <c r="AI1182" s="42"/>
      <c r="AJ1182" s="42"/>
      <c r="AK1182" s="42"/>
      <c r="AO1182" s="86"/>
      <c r="AP1182" s="87"/>
      <c r="AQ1182" s="87"/>
      <c r="AR1182" s="88"/>
      <c r="AS1182" s="87"/>
      <c r="AT1182" s="87"/>
    </row>
    <row r="1183" spans="15:46" x14ac:dyDescent="0.25">
      <c r="O1183" s="49" t="e">
        <f t="shared" si="82"/>
        <v>#N/A</v>
      </c>
      <c r="AE1183" s="42"/>
      <c r="AF1183" s="42"/>
      <c r="AG1183" s="42"/>
      <c r="AH1183" s="42"/>
      <c r="AI1183" s="42"/>
      <c r="AJ1183" s="42"/>
      <c r="AK1183" s="42"/>
      <c r="AO1183" s="86"/>
      <c r="AP1183" s="87"/>
      <c r="AQ1183" s="87"/>
      <c r="AR1183" s="88"/>
      <c r="AS1183" s="87"/>
      <c r="AT1183" s="87"/>
    </row>
    <row r="1184" spans="15:46" x14ac:dyDescent="0.25">
      <c r="O1184" s="49" t="e">
        <f t="shared" si="82"/>
        <v>#N/A</v>
      </c>
      <c r="AE1184" s="42"/>
      <c r="AF1184" s="42"/>
      <c r="AG1184" s="42"/>
      <c r="AH1184" s="42"/>
      <c r="AI1184" s="42"/>
      <c r="AJ1184" s="42"/>
      <c r="AK1184" s="42"/>
      <c r="AO1184" s="86"/>
      <c r="AP1184" s="87"/>
      <c r="AQ1184" s="87"/>
      <c r="AR1184" s="88"/>
      <c r="AS1184" s="87"/>
      <c r="AT1184" s="87"/>
    </row>
    <row r="1185" spans="15:46" x14ac:dyDescent="0.25">
      <c r="O1185" s="49" t="e">
        <f t="shared" si="82"/>
        <v>#N/A</v>
      </c>
      <c r="AE1185" s="42"/>
      <c r="AF1185" s="42"/>
      <c r="AG1185" s="42"/>
      <c r="AH1185" s="42"/>
      <c r="AI1185" s="42"/>
      <c r="AJ1185" s="42"/>
      <c r="AK1185" s="42"/>
      <c r="AO1185" s="86"/>
      <c r="AP1185" s="87"/>
      <c r="AQ1185" s="87"/>
      <c r="AR1185" s="88"/>
      <c r="AS1185" s="87"/>
      <c r="AT1185" s="87"/>
    </row>
    <row r="1186" spans="15:46" x14ac:dyDescent="0.25">
      <c r="O1186" s="49" t="e">
        <f t="shared" si="82"/>
        <v>#N/A</v>
      </c>
      <c r="AE1186" s="42"/>
      <c r="AF1186" s="42"/>
      <c r="AG1186" s="42"/>
      <c r="AH1186" s="42"/>
      <c r="AI1186" s="42"/>
      <c r="AJ1186" s="42"/>
      <c r="AK1186" s="42"/>
      <c r="AO1186" s="86"/>
      <c r="AP1186" s="87"/>
      <c r="AQ1186" s="87"/>
      <c r="AR1186" s="88"/>
      <c r="AS1186" s="87"/>
      <c r="AT1186" s="87"/>
    </row>
    <row r="1187" spans="15:46" x14ac:dyDescent="0.25">
      <c r="O1187" s="49" t="e">
        <f t="shared" si="82"/>
        <v>#N/A</v>
      </c>
      <c r="AE1187" s="42"/>
      <c r="AF1187" s="42"/>
      <c r="AG1187" s="42"/>
      <c r="AH1187" s="42"/>
      <c r="AI1187" s="42"/>
      <c r="AJ1187" s="42"/>
      <c r="AK1187" s="42"/>
      <c r="AO1187" s="86"/>
      <c r="AP1187" s="87"/>
      <c r="AQ1187" s="87"/>
      <c r="AR1187" s="88"/>
      <c r="AS1187" s="87"/>
      <c r="AT1187" s="87"/>
    </row>
    <row r="1188" spans="15:46" x14ac:dyDescent="0.25">
      <c r="O1188" s="49" t="e">
        <f t="shared" si="82"/>
        <v>#N/A</v>
      </c>
      <c r="AE1188" s="42"/>
      <c r="AF1188" s="42"/>
      <c r="AG1188" s="42"/>
      <c r="AH1188" s="42"/>
      <c r="AI1188" s="42"/>
      <c r="AJ1188" s="42"/>
      <c r="AK1188" s="42"/>
      <c r="AO1188" s="86"/>
      <c r="AP1188" s="87"/>
      <c r="AQ1188" s="87"/>
      <c r="AR1188" s="88"/>
      <c r="AS1188" s="87"/>
      <c r="AT1188" s="87"/>
    </row>
    <row r="1189" spans="15:46" x14ac:dyDescent="0.25">
      <c r="O1189" s="49" t="e">
        <f t="shared" si="82"/>
        <v>#N/A</v>
      </c>
      <c r="AE1189" s="42"/>
      <c r="AF1189" s="42"/>
      <c r="AG1189" s="42"/>
      <c r="AH1189" s="42"/>
      <c r="AI1189" s="42"/>
      <c r="AJ1189" s="42"/>
      <c r="AK1189" s="42"/>
      <c r="AO1189" s="86"/>
      <c r="AP1189" s="87"/>
      <c r="AQ1189" s="87"/>
      <c r="AR1189" s="88"/>
      <c r="AS1189" s="87"/>
      <c r="AT1189" s="87"/>
    </row>
    <row r="1190" spans="15:46" x14ac:dyDescent="0.25">
      <c r="O1190" s="49" t="e">
        <f t="shared" si="82"/>
        <v>#N/A</v>
      </c>
      <c r="AE1190" s="42"/>
      <c r="AF1190" s="42"/>
      <c r="AG1190" s="42"/>
      <c r="AH1190" s="42"/>
      <c r="AI1190" s="42"/>
      <c r="AJ1190" s="42"/>
      <c r="AK1190" s="42"/>
      <c r="AO1190" s="86"/>
      <c r="AP1190" s="87"/>
      <c r="AQ1190" s="87"/>
      <c r="AR1190" s="88"/>
      <c r="AS1190" s="87"/>
      <c r="AT1190" s="87"/>
    </row>
    <row r="1191" spans="15:46" x14ac:dyDescent="0.25">
      <c r="O1191" s="49" t="e">
        <f t="shared" si="82"/>
        <v>#N/A</v>
      </c>
      <c r="AE1191" s="42"/>
      <c r="AF1191" s="42"/>
      <c r="AG1191" s="42"/>
      <c r="AH1191" s="42"/>
      <c r="AI1191" s="42"/>
      <c r="AJ1191" s="42"/>
      <c r="AK1191" s="42"/>
      <c r="AO1191" s="86"/>
      <c r="AP1191" s="87"/>
      <c r="AQ1191" s="87"/>
      <c r="AR1191" s="88"/>
      <c r="AS1191" s="87"/>
      <c r="AT1191" s="87"/>
    </row>
    <row r="1192" spans="15:46" x14ac:dyDescent="0.25">
      <c r="O1192" s="49" t="e">
        <f t="shared" si="82"/>
        <v>#N/A</v>
      </c>
      <c r="AE1192" s="42"/>
      <c r="AF1192" s="42"/>
      <c r="AG1192" s="42"/>
      <c r="AH1192" s="42"/>
      <c r="AI1192" s="42"/>
      <c r="AJ1192" s="42"/>
      <c r="AK1192" s="42"/>
      <c r="AO1192" s="86"/>
      <c r="AP1192" s="87"/>
      <c r="AQ1192" s="87"/>
      <c r="AR1192" s="88"/>
      <c r="AS1192" s="87"/>
      <c r="AT1192" s="87"/>
    </row>
    <row r="1193" spans="15:46" x14ac:dyDescent="0.25">
      <c r="O1193" s="49" t="e">
        <f t="shared" si="82"/>
        <v>#N/A</v>
      </c>
      <c r="AE1193" s="42"/>
      <c r="AF1193" s="42"/>
      <c r="AG1193" s="42"/>
      <c r="AH1193" s="42"/>
      <c r="AI1193" s="42"/>
      <c r="AJ1193" s="42"/>
      <c r="AK1193" s="42"/>
      <c r="AO1193" s="86"/>
      <c r="AP1193" s="87"/>
      <c r="AQ1193" s="87"/>
      <c r="AR1193" s="88"/>
      <c r="AS1193" s="87"/>
      <c r="AT1193" s="87"/>
    </row>
    <row r="1194" spans="15:46" x14ac:dyDescent="0.25">
      <c r="O1194" s="49" t="e">
        <f t="shared" si="82"/>
        <v>#N/A</v>
      </c>
      <c r="AE1194" s="42"/>
      <c r="AF1194" s="42"/>
      <c r="AG1194" s="42"/>
      <c r="AH1194" s="42"/>
      <c r="AI1194" s="42"/>
      <c r="AJ1194" s="42"/>
      <c r="AK1194" s="42"/>
      <c r="AO1194" s="86"/>
      <c r="AP1194" s="87"/>
      <c r="AQ1194" s="87"/>
      <c r="AR1194" s="88"/>
      <c r="AS1194" s="87"/>
      <c r="AT1194" s="87"/>
    </row>
    <row r="1195" spans="15:46" x14ac:dyDescent="0.25">
      <c r="O1195" s="49" t="e">
        <f t="shared" si="82"/>
        <v>#N/A</v>
      </c>
      <c r="AE1195" s="42"/>
      <c r="AF1195" s="42"/>
      <c r="AG1195" s="42"/>
      <c r="AH1195" s="42"/>
      <c r="AI1195" s="42"/>
      <c r="AJ1195" s="42"/>
      <c r="AK1195" s="42"/>
      <c r="AO1195" s="86"/>
      <c r="AP1195" s="87"/>
      <c r="AQ1195" s="87"/>
      <c r="AR1195" s="88"/>
      <c r="AS1195" s="87"/>
      <c r="AT1195" s="87"/>
    </row>
    <row r="1196" spans="15:46" x14ac:dyDescent="0.25">
      <c r="O1196" s="49" t="e">
        <f t="shared" si="82"/>
        <v>#N/A</v>
      </c>
      <c r="AE1196" s="42"/>
      <c r="AF1196" s="42"/>
      <c r="AG1196" s="42"/>
      <c r="AH1196" s="42"/>
      <c r="AI1196" s="42"/>
      <c r="AJ1196" s="42"/>
      <c r="AK1196" s="42"/>
      <c r="AO1196" s="86"/>
      <c r="AP1196" s="87"/>
      <c r="AQ1196" s="87"/>
      <c r="AR1196" s="88"/>
      <c r="AS1196" s="87"/>
      <c r="AT1196" s="87"/>
    </row>
    <row r="1197" spans="15:46" x14ac:dyDescent="0.25">
      <c r="O1197" s="49" t="e">
        <f t="shared" si="82"/>
        <v>#N/A</v>
      </c>
      <c r="AE1197" s="42"/>
      <c r="AF1197" s="42"/>
      <c r="AG1197" s="42"/>
      <c r="AH1197" s="42"/>
      <c r="AI1197" s="42"/>
      <c r="AJ1197" s="42"/>
      <c r="AK1197" s="42"/>
      <c r="AO1197" s="86"/>
      <c r="AP1197" s="87"/>
      <c r="AQ1197" s="87"/>
      <c r="AR1197" s="88"/>
      <c r="AS1197" s="87"/>
      <c r="AT1197" s="87"/>
    </row>
    <row r="1198" spans="15:46" x14ac:dyDescent="0.25">
      <c r="O1198" s="49" t="e">
        <f t="shared" si="82"/>
        <v>#N/A</v>
      </c>
      <c r="AE1198" s="42"/>
      <c r="AF1198" s="42"/>
      <c r="AG1198" s="42"/>
      <c r="AH1198" s="42"/>
      <c r="AI1198" s="42"/>
      <c r="AJ1198" s="42"/>
      <c r="AK1198" s="42"/>
      <c r="AO1198" s="86"/>
      <c r="AP1198" s="87"/>
      <c r="AQ1198" s="87"/>
      <c r="AR1198" s="88"/>
      <c r="AS1198" s="87"/>
      <c r="AT1198" s="87"/>
    </row>
    <row r="1199" spans="15:46" x14ac:dyDescent="0.25">
      <c r="O1199" s="49" t="e">
        <f t="shared" si="82"/>
        <v>#N/A</v>
      </c>
      <c r="AE1199" s="42"/>
      <c r="AF1199" s="42"/>
      <c r="AG1199" s="42"/>
      <c r="AH1199" s="42"/>
      <c r="AI1199" s="42"/>
      <c r="AJ1199" s="42"/>
      <c r="AK1199" s="42"/>
      <c r="AO1199" s="86"/>
      <c r="AP1199" s="87"/>
      <c r="AQ1199" s="87"/>
      <c r="AR1199" s="88"/>
      <c r="AS1199" s="87"/>
      <c r="AT1199" s="87"/>
    </row>
    <row r="1200" spans="15:46" x14ac:dyDescent="0.25">
      <c r="O1200" s="49" t="e">
        <f t="shared" si="82"/>
        <v>#N/A</v>
      </c>
      <c r="AE1200" s="42"/>
      <c r="AF1200" s="42"/>
      <c r="AG1200" s="42"/>
      <c r="AH1200" s="42"/>
      <c r="AI1200" s="42"/>
      <c r="AJ1200" s="42"/>
      <c r="AK1200" s="42"/>
      <c r="AO1200" s="86"/>
      <c r="AP1200" s="87"/>
      <c r="AQ1200" s="87"/>
      <c r="AR1200" s="88"/>
      <c r="AS1200" s="87"/>
      <c r="AT1200" s="87"/>
    </row>
    <row r="1201" spans="15:46" x14ac:dyDescent="0.25">
      <c r="O1201" s="49" t="e">
        <f t="shared" si="82"/>
        <v>#N/A</v>
      </c>
      <c r="AE1201" s="42"/>
      <c r="AF1201" s="42"/>
      <c r="AG1201" s="42"/>
      <c r="AH1201" s="42"/>
      <c r="AI1201" s="42"/>
      <c r="AJ1201" s="42"/>
      <c r="AK1201" s="42"/>
      <c r="AO1201" s="86"/>
      <c r="AP1201" s="87"/>
      <c r="AQ1201" s="87"/>
      <c r="AR1201" s="88"/>
      <c r="AS1201" s="87"/>
      <c r="AT1201" s="87"/>
    </row>
    <row r="1202" spans="15:46" x14ac:dyDescent="0.25">
      <c r="O1202" s="49" t="e">
        <f t="shared" si="82"/>
        <v>#N/A</v>
      </c>
      <c r="AE1202" s="42"/>
      <c r="AF1202" s="42"/>
      <c r="AG1202" s="42"/>
      <c r="AH1202" s="42"/>
      <c r="AI1202" s="42"/>
      <c r="AJ1202" s="42"/>
      <c r="AK1202" s="42"/>
      <c r="AO1202" s="86"/>
      <c r="AP1202" s="87"/>
      <c r="AQ1202" s="87"/>
      <c r="AR1202" s="88"/>
      <c r="AS1202" s="87"/>
      <c r="AT1202" s="87"/>
    </row>
    <row r="1203" spans="15:46" x14ac:dyDescent="0.25">
      <c r="O1203" s="49" t="e">
        <f t="shared" si="82"/>
        <v>#N/A</v>
      </c>
      <c r="AE1203" s="42"/>
      <c r="AF1203" s="42"/>
      <c r="AG1203" s="42"/>
      <c r="AH1203" s="42"/>
      <c r="AI1203" s="42"/>
      <c r="AJ1203" s="42"/>
      <c r="AK1203" s="42"/>
      <c r="AO1203" s="86"/>
      <c r="AP1203" s="87"/>
      <c r="AQ1203" s="87"/>
      <c r="AR1203" s="88"/>
      <c r="AS1203" s="87"/>
      <c r="AT1203" s="87"/>
    </row>
    <row r="1204" spans="15:46" x14ac:dyDescent="0.25">
      <c r="O1204" s="49" t="e">
        <f t="shared" si="82"/>
        <v>#N/A</v>
      </c>
      <c r="AE1204" s="42"/>
      <c r="AF1204" s="42"/>
      <c r="AG1204" s="42"/>
      <c r="AH1204" s="42"/>
      <c r="AI1204" s="42"/>
      <c r="AJ1204" s="42"/>
      <c r="AK1204" s="42"/>
      <c r="AO1204" s="86"/>
      <c r="AP1204" s="87"/>
      <c r="AQ1204" s="87"/>
      <c r="AR1204" s="88"/>
      <c r="AS1204" s="87"/>
      <c r="AT1204" s="87"/>
    </row>
    <row r="1205" spans="15:46" x14ac:dyDescent="0.25">
      <c r="O1205" s="49" t="e">
        <f t="shared" si="82"/>
        <v>#N/A</v>
      </c>
      <c r="AE1205" s="42"/>
      <c r="AF1205" s="42"/>
      <c r="AG1205" s="42"/>
      <c r="AH1205" s="42"/>
      <c r="AI1205" s="42"/>
      <c r="AJ1205" s="42"/>
      <c r="AK1205" s="42"/>
      <c r="AO1205" s="86"/>
      <c r="AP1205" s="87"/>
      <c r="AQ1205" s="87"/>
      <c r="AR1205" s="88"/>
      <c r="AS1205" s="87"/>
      <c r="AT1205" s="87"/>
    </row>
    <row r="1206" spans="15:46" x14ac:dyDescent="0.25">
      <c r="O1206" s="49" t="e">
        <f t="shared" si="82"/>
        <v>#N/A</v>
      </c>
      <c r="AE1206" s="42"/>
      <c r="AF1206" s="42"/>
      <c r="AG1206" s="42"/>
      <c r="AH1206" s="42"/>
      <c r="AI1206" s="42"/>
      <c r="AJ1206" s="42"/>
      <c r="AK1206" s="42"/>
      <c r="AO1206" s="86"/>
      <c r="AP1206" s="87"/>
      <c r="AQ1206" s="87"/>
      <c r="AR1206" s="88"/>
      <c r="AS1206" s="87"/>
      <c r="AT1206" s="87"/>
    </row>
    <row r="1207" spans="15:46" x14ac:dyDescent="0.25">
      <c r="O1207" s="49" t="e">
        <f t="shared" si="82"/>
        <v>#N/A</v>
      </c>
      <c r="AE1207" s="42"/>
      <c r="AF1207" s="42"/>
      <c r="AG1207" s="42"/>
      <c r="AH1207" s="42"/>
      <c r="AI1207" s="42"/>
      <c r="AJ1207" s="42"/>
      <c r="AK1207" s="42"/>
      <c r="AO1207" s="86"/>
      <c r="AP1207" s="87"/>
      <c r="AQ1207" s="87"/>
      <c r="AR1207" s="88"/>
      <c r="AS1207" s="87"/>
      <c r="AT1207" s="87"/>
    </row>
    <row r="1208" spans="15:46" x14ac:dyDescent="0.25">
      <c r="O1208" s="49" t="e">
        <f t="shared" si="82"/>
        <v>#N/A</v>
      </c>
      <c r="AE1208" s="42"/>
      <c r="AF1208" s="42"/>
      <c r="AG1208" s="42"/>
      <c r="AH1208" s="42"/>
      <c r="AI1208" s="42"/>
      <c r="AJ1208" s="42"/>
      <c r="AK1208" s="42"/>
      <c r="AO1208" s="86"/>
      <c r="AP1208" s="87"/>
      <c r="AQ1208" s="87"/>
      <c r="AR1208" s="88"/>
      <c r="AS1208" s="87"/>
      <c r="AT1208" s="87"/>
    </row>
    <row r="1209" spans="15:46" x14ac:dyDescent="0.25">
      <c r="O1209" s="49" t="e">
        <f t="shared" si="82"/>
        <v>#N/A</v>
      </c>
      <c r="AE1209" s="42"/>
      <c r="AF1209" s="42"/>
      <c r="AG1209" s="42"/>
      <c r="AH1209" s="42"/>
      <c r="AI1209" s="42"/>
      <c r="AJ1209" s="42"/>
      <c r="AK1209" s="42"/>
      <c r="AO1209" s="86"/>
      <c r="AP1209" s="87"/>
      <c r="AQ1209" s="87"/>
      <c r="AR1209" s="88"/>
      <c r="AS1209" s="87"/>
      <c r="AT1209" s="87"/>
    </row>
    <row r="1210" spans="15:46" x14ac:dyDescent="0.25">
      <c r="O1210" s="49" t="e">
        <f t="shared" si="82"/>
        <v>#N/A</v>
      </c>
      <c r="AE1210" s="42"/>
      <c r="AF1210" s="42"/>
      <c r="AG1210" s="42"/>
      <c r="AH1210" s="42"/>
      <c r="AI1210" s="42"/>
      <c r="AJ1210" s="42"/>
      <c r="AK1210" s="42"/>
      <c r="AO1210" s="86"/>
      <c r="AP1210" s="87"/>
      <c r="AQ1210" s="87"/>
      <c r="AR1210" s="88"/>
      <c r="AS1210" s="87"/>
      <c r="AT1210" s="87"/>
    </row>
    <row r="1211" spans="15:46" x14ac:dyDescent="0.25">
      <c r="O1211" s="49" t="e">
        <f t="shared" si="82"/>
        <v>#N/A</v>
      </c>
      <c r="AE1211" s="42"/>
      <c r="AF1211" s="42"/>
      <c r="AG1211" s="42"/>
      <c r="AH1211" s="42"/>
      <c r="AI1211" s="42"/>
      <c r="AJ1211" s="42"/>
      <c r="AK1211" s="42"/>
      <c r="AO1211" s="86"/>
      <c r="AP1211" s="87"/>
      <c r="AQ1211" s="87"/>
      <c r="AR1211" s="88"/>
      <c r="AS1211" s="87"/>
      <c r="AT1211" s="87"/>
    </row>
    <row r="1212" spans="15:46" x14ac:dyDescent="0.25">
      <c r="O1212" s="49" t="e">
        <f t="shared" si="82"/>
        <v>#N/A</v>
      </c>
      <c r="AE1212" s="42"/>
      <c r="AF1212" s="42"/>
      <c r="AG1212" s="42"/>
      <c r="AH1212" s="42"/>
      <c r="AI1212" s="42"/>
      <c r="AJ1212" s="42"/>
      <c r="AK1212" s="42"/>
      <c r="AO1212" s="86"/>
      <c r="AP1212" s="87"/>
      <c r="AQ1212" s="87"/>
      <c r="AR1212" s="88"/>
      <c r="AS1212" s="87"/>
      <c r="AT1212" s="87"/>
    </row>
    <row r="1213" spans="15:46" x14ac:dyDescent="0.25">
      <c r="O1213" s="49" t="e">
        <f t="shared" si="82"/>
        <v>#N/A</v>
      </c>
      <c r="AE1213" s="42"/>
      <c r="AF1213" s="42"/>
      <c r="AG1213" s="42"/>
      <c r="AH1213" s="42"/>
      <c r="AI1213" s="42"/>
      <c r="AJ1213" s="42"/>
      <c r="AK1213" s="42"/>
      <c r="AO1213" s="86"/>
      <c r="AP1213" s="87"/>
      <c r="AQ1213" s="87"/>
      <c r="AR1213" s="88"/>
      <c r="AS1213" s="87"/>
      <c r="AT1213" s="87"/>
    </row>
    <row r="1214" spans="15:46" x14ac:dyDescent="0.25">
      <c r="O1214" s="49" t="e">
        <f t="shared" si="82"/>
        <v>#N/A</v>
      </c>
      <c r="AE1214" s="42"/>
      <c r="AF1214" s="42"/>
      <c r="AG1214" s="42"/>
      <c r="AH1214" s="42"/>
      <c r="AI1214" s="42"/>
      <c r="AJ1214" s="42"/>
      <c r="AK1214" s="42"/>
      <c r="AO1214" s="86"/>
      <c r="AP1214" s="87"/>
      <c r="AQ1214" s="87"/>
      <c r="AR1214" s="88"/>
      <c r="AS1214" s="87"/>
      <c r="AT1214" s="87"/>
    </row>
    <row r="1215" spans="15:46" x14ac:dyDescent="0.25">
      <c r="O1215" s="49" t="e">
        <f t="shared" si="82"/>
        <v>#N/A</v>
      </c>
      <c r="AE1215" s="42"/>
      <c r="AF1215" s="42"/>
      <c r="AG1215" s="42"/>
      <c r="AH1215" s="42"/>
      <c r="AI1215" s="42"/>
      <c r="AJ1215" s="42"/>
      <c r="AK1215" s="42"/>
      <c r="AO1215" s="86"/>
      <c r="AP1215" s="87"/>
      <c r="AQ1215" s="87"/>
      <c r="AR1215" s="88"/>
      <c r="AS1215" s="87"/>
      <c r="AT1215" s="87"/>
    </row>
    <row r="1216" spans="15:46" x14ac:dyDescent="0.25">
      <c r="O1216" s="49" t="e">
        <f t="shared" si="82"/>
        <v>#N/A</v>
      </c>
      <c r="AE1216" s="42"/>
      <c r="AF1216" s="42"/>
      <c r="AG1216" s="42"/>
      <c r="AH1216" s="42"/>
      <c r="AI1216" s="42"/>
      <c r="AJ1216" s="42"/>
      <c r="AK1216" s="42"/>
      <c r="AO1216" s="86"/>
      <c r="AP1216" s="87"/>
      <c r="AQ1216" s="87"/>
      <c r="AR1216" s="88"/>
      <c r="AS1216" s="87"/>
      <c r="AT1216" s="87"/>
    </row>
    <row r="1217" spans="15:46" x14ac:dyDescent="0.25">
      <c r="O1217" s="49" t="e">
        <f t="shared" si="82"/>
        <v>#N/A</v>
      </c>
      <c r="AE1217" s="42"/>
      <c r="AF1217" s="42"/>
      <c r="AG1217" s="42"/>
      <c r="AH1217" s="42"/>
      <c r="AI1217" s="42"/>
      <c r="AJ1217" s="42"/>
      <c r="AK1217" s="42"/>
      <c r="AO1217" s="86"/>
      <c r="AP1217" s="87"/>
      <c r="AQ1217" s="87"/>
      <c r="AR1217" s="88"/>
      <c r="AS1217" s="87"/>
      <c r="AT1217" s="87"/>
    </row>
    <row r="1218" spans="15:46" x14ac:dyDescent="0.25">
      <c r="O1218" s="49" t="e">
        <f t="shared" si="82"/>
        <v>#N/A</v>
      </c>
      <c r="AE1218" s="42"/>
      <c r="AF1218" s="42"/>
      <c r="AG1218" s="42"/>
      <c r="AH1218" s="42"/>
      <c r="AI1218" s="42"/>
      <c r="AJ1218" s="42"/>
      <c r="AK1218" s="42"/>
      <c r="AO1218" s="86"/>
      <c r="AP1218" s="87"/>
      <c r="AQ1218" s="87"/>
      <c r="AR1218" s="88"/>
      <c r="AS1218" s="87"/>
      <c r="AT1218" s="87"/>
    </row>
    <row r="1219" spans="15:46" x14ac:dyDescent="0.25">
      <c r="O1219" s="49" t="e">
        <f t="shared" si="82"/>
        <v>#N/A</v>
      </c>
      <c r="AE1219" s="42"/>
      <c r="AF1219" s="42"/>
      <c r="AG1219" s="42"/>
      <c r="AH1219" s="42"/>
      <c r="AI1219" s="42"/>
      <c r="AJ1219" s="42"/>
      <c r="AK1219" s="42"/>
      <c r="AO1219" s="86"/>
      <c r="AP1219" s="87"/>
      <c r="AQ1219" s="87"/>
      <c r="AR1219" s="88"/>
      <c r="AS1219" s="87"/>
      <c r="AT1219" s="87"/>
    </row>
    <row r="1220" spans="15:46" x14ac:dyDescent="0.25">
      <c r="O1220" s="49" t="e">
        <f t="shared" si="82"/>
        <v>#N/A</v>
      </c>
      <c r="AE1220" s="42"/>
      <c r="AF1220" s="42"/>
      <c r="AG1220" s="42"/>
      <c r="AH1220" s="42"/>
      <c r="AI1220" s="42"/>
      <c r="AJ1220" s="42"/>
      <c r="AK1220" s="42"/>
      <c r="AO1220" s="86"/>
      <c r="AP1220" s="87"/>
      <c r="AQ1220" s="87"/>
      <c r="AR1220" s="88"/>
      <c r="AS1220" s="87"/>
      <c r="AT1220" s="87"/>
    </row>
    <row r="1221" spans="15:46" x14ac:dyDescent="0.25">
      <c r="O1221" s="49" t="e">
        <f t="shared" si="82"/>
        <v>#N/A</v>
      </c>
      <c r="AE1221" s="42"/>
      <c r="AF1221" s="42"/>
      <c r="AG1221" s="42"/>
      <c r="AH1221" s="42"/>
      <c r="AI1221" s="42"/>
      <c r="AJ1221" s="42"/>
      <c r="AK1221" s="42"/>
      <c r="AO1221" s="86"/>
      <c r="AP1221" s="87"/>
      <c r="AQ1221" s="87"/>
      <c r="AR1221" s="88"/>
      <c r="AS1221" s="87"/>
      <c r="AT1221" s="87"/>
    </row>
    <row r="1222" spans="15:46" x14ac:dyDescent="0.25">
      <c r="O1222" s="49" t="e">
        <f t="shared" si="82"/>
        <v>#N/A</v>
      </c>
      <c r="AE1222" s="42"/>
      <c r="AF1222" s="42"/>
      <c r="AG1222" s="42"/>
      <c r="AH1222" s="42"/>
      <c r="AI1222" s="42"/>
      <c r="AJ1222" s="42"/>
      <c r="AK1222" s="42"/>
      <c r="AO1222" s="86"/>
      <c r="AP1222" s="87"/>
      <c r="AQ1222" s="87"/>
      <c r="AR1222" s="88"/>
      <c r="AS1222" s="87"/>
      <c r="AT1222" s="87"/>
    </row>
    <row r="1223" spans="15:46" x14ac:dyDescent="0.25">
      <c r="O1223" s="49" t="e">
        <f t="shared" si="82"/>
        <v>#N/A</v>
      </c>
      <c r="AE1223" s="42"/>
      <c r="AF1223" s="42"/>
      <c r="AG1223" s="42"/>
      <c r="AH1223" s="42"/>
      <c r="AI1223" s="42"/>
      <c r="AJ1223" s="42"/>
      <c r="AK1223" s="42"/>
      <c r="AO1223" s="86"/>
      <c r="AP1223" s="87"/>
      <c r="AQ1223" s="87"/>
      <c r="AR1223" s="88"/>
      <c r="AS1223" s="87"/>
      <c r="AT1223" s="87"/>
    </row>
    <row r="1224" spans="15:46" x14ac:dyDescent="0.25">
      <c r="O1224" s="49" t="e">
        <f t="shared" si="82"/>
        <v>#N/A</v>
      </c>
      <c r="AE1224" s="42"/>
      <c r="AF1224" s="42"/>
      <c r="AG1224" s="42"/>
      <c r="AH1224" s="42"/>
      <c r="AI1224" s="42"/>
      <c r="AJ1224" s="42"/>
      <c r="AK1224" s="42"/>
      <c r="AO1224" s="86"/>
      <c r="AP1224" s="87"/>
      <c r="AQ1224" s="87"/>
      <c r="AR1224" s="88"/>
      <c r="AS1224" s="87"/>
      <c r="AT1224" s="87"/>
    </row>
    <row r="1225" spans="15:46" x14ac:dyDescent="0.25">
      <c r="O1225" s="49" t="e">
        <f t="shared" si="82"/>
        <v>#N/A</v>
      </c>
      <c r="AE1225" s="42"/>
      <c r="AF1225" s="42"/>
      <c r="AG1225" s="42"/>
      <c r="AH1225" s="42"/>
      <c r="AI1225" s="42"/>
      <c r="AJ1225" s="42"/>
      <c r="AK1225" s="42"/>
      <c r="AO1225" s="86"/>
      <c r="AP1225" s="87"/>
      <c r="AQ1225" s="87"/>
      <c r="AR1225" s="88"/>
      <c r="AS1225" s="87"/>
      <c r="AT1225" s="87"/>
    </row>
    <row r="1226" spans="15:46" x14ac:dyDescent="0.25">
      <c r="O1226" s="49" t="e">
        <f t="shared" si="82"/>
        <v>#N/A</v>
      </c>
      <c r="AE1226" s="42"/>
      <c r="AF1226" s="42"/>
      <c r="AG1226" s="42"/>
      <c r="AH1226" s="42"/>
      <c r="AI1226" s="42"/>
      <c r="AJ1226" s="42"/>
      <c r="AK1226" s="42"/>
      <c r="AO1226" s="86"/>
      <c r="AP1226" s="87"/>
      <c r="AQ1226" s="87"/>
      <c r="AR1226" s="88"/>
      <c r="AS1226" s="87"/>
      <c r="AT1226" s="87"/>
    </row>
    <row r="1227" spans="15:46" x14ac:dyDescent="0.25">
      <c r="O1227" s="49" t="e">
        <f t="shared" si="82"/>
        <v>#N/A</v>
      </c>
      <c r="AE1227" s="42"/>
      <c r="AF1227" s="42"/>
      <c r="AG1227" s="42"/>
      <c r="AH1227" s="42"/>
      <c r="AI1227" s="42"/>
      <c r="AJ1227" s="42"/>
      <c r="AK1227" s="42"/>
      <c r="AO1227" s="86"/>
      <c r="AP1227" s="87"/>
      <c r="AQ1227" s="87"/>
      <c r="AR1227" s="88"/>
      <c r="AS1227" s="87"/>
      <c r="AT1227" s="87"/>
    </row>
    <row r="1228" spans="15:46" x14ac:dyDescent="0.25">
      <c r="O1228" s="49" t="e">
        <f t="shared" si="82"/>
        <v>#N/A</v>
      </c>
      <c r="AE1228" s="42"/>
      <c r="AF1228" s="42"/>
      <c r="AG1228" s="42"/>
      <c r="AH1228" s="42"/>
      <c r="AI1228" s="42"/>
      <c r="AJ1228" s="42"/>
      <c r="AK1228" s="42"/>
      <c r="AO1228" s="86"/>
      <c r="AP1228" s="87"/>
      <c r="AQ1228" s="87"/>
      <c r="AR1228" s="88"/>
      <c r="AS1228" s="87"/>
      <c r="AT1228" s="87"/>
    </row>
    <row r="1229" spans="15:46" x14ac:dyDescent="0.25">
      <c r="O1229" s="49" t="e">
        <f t="shared" si="82"/>
        <v>#N/A</v>
      </c>
      <c r="AE1229" s="42"/>
      <c r="AF1229" s="42"/>
      <c r="AG1229" s="42"/>
      <c r="AH1229" s="42"/>
      <c r="AI1229" s="42"/>
      <c r="AJ1229" s="42"/>
      <c r="AK1229" s="42"/>
      <c r="AO1229" s="86"/>
      <c r="AP1229" s="87"/>
      <c r="AQ1229" s="87"/>
      <c r="AR1229" s="88"/>
      <c r="AS1229" s="87"/>
      <c r="AT1229" s="87"/>
    </row>
    <row r="1230" spans="15:46" x14ac:dyDescent="0.25">
      <c r="O1230" s="49" t="e">
        <f t="shared" si="82"/>
        <v>#N/A</v>
      </c>
      <c r="AE1230" s="42"/>
      <c r="AF1230" s="42"/>
      <c r="AG1230" s="42"/>
      <c r="AH1230" s="42"/>
      <c r="AI1230" s="42"/>
      <c r="AJ1230" s="42"/>
      <c r="AK1230" s="42"/>
      <c r="AO1230" s="86"/>
      <c r="AP1230" s="87"/>
      <c r="AQ1230" s="87"/>
      <c r="AR1230" s="88"/>
      <c r="AS1230" s="87"/>
      <c r="AT1230" s="87"/>
    </row>
    <row r="1231" spans="15:46" x14ac:dyDescent="0.25">
      <c r="O1231" s="49" t="e">
        <f t="shared" si="82"/>
        <v>#N/A</v>
      </c>
      <c r="AE1231" s="42"/>
      <c r="AF1231" s="42"/>
      <c r="AG1231" s="42"/>
      <c r="AH1231" s="42"/>
      <c r="AI1231" s="42"/>
      <c r="AJ1231" s="42"/>
      <c r="AK1231" s="42"/>
      <c r="AO1231" s="86"/>
      <c r="AP1231" s="87"/>
      <c r="AQ1231" s="87"/>
      <c r="AR1231" s="88"/>
      <c r="AS1231" s="87"/>
      <c r="AT1231" s="87"/>
    </row>
    <row r="1232" spans="15:46" x14ac:dyDescent="0.25">
      <c r="O1232" s="49" t="e">
        <f t="shared" si="82"/>
        <v>#N/A</v>
      </c>
      <c r="AE1232" s="42"/>
      <c r="AF1232" s="42"/>
      <c r="AG1232" s="42"/>
      <c r="AH1232" s="42"/>
      <c r="AI1232" s="42"/>
      <c r="AJ1232" s="42"/>
      <c r="AK1232" s="42"/>
      <c r="AO1232" s="86"/>
      <c r="AP1232" s="87"/>
      <c r="AQ1232" s="87"/>
      <c r="AR1232" s="88"/>
      <c r="AS1232" s="87"/>
      <c r="AT1232" s="87"/>
    </row>
    <row r="1233" spans="15:46" x14ac:dyDescent="0.25">
      <c r="O1233" s="49" t="e">
        <f t="shared" si="82"/>
        <v>#N/A</v>
      </c>
      <c r="AE1233" s="42"/>
      <c r="AF1233" s="42"/>
      <c r="AG1233" s="42"/>
      <c r="AH1233" s="42"/>
      <c r="AI1233" s="42"/>
      <c r="AJ1233" s="42"/>
      <c r="AK1233" s="42"/>
      <c r="AO1233" s="86"/>
      <c r="AP1233" s="87"/>
      <c r="AQ1233" s="87"/>
      <c r="AR1233" s="88"/>
      <c r="AS1233" s="87"/>
      <c r="AT1233" s="87"/>
    </row>
    <row r="1234" spans="15:46" x14ac:dyDescent="0.25">
      <c r="O1234" s="49" t="e">
        <f t="shared" si="82"/>
        <v>#N/A</v>
      </c>
      <c r="AE1234" s="42"/>
      <c r="AF1234" s="42"/>
      <c r="AG1234" s="42"/>
      <c r="AH1234" s="42"/>
      <c r="AI1234" s="42"/>
      <c r="AJ1234" s="42"/>
      <c r="AK1234" s="42"/>
      <c r="AO1234" s="86"/>
      <c r="AP1234" s="87"/>
      <c r="AQ1234" s="87"/>
      <c r="AR1234" s="88"/>
      <c r="AS1234" s="87"/>
      <c r="AT1234" s="87"/>
    </row>
    <row r="1235" spans="15:46" x14ac:dyDescent="0.25">
      <c r="O1235" s="49" t="e">
        <f t="shared" si="82"/>
        <v>#N/A</v>
      </c>
      <c r="AE1235" s="42"/>
      <c r="AF1235" s="42"/>
      <c r="AG1235" s="42"/>
      <c r="AH1235" s="42"/>
      <c r="AI1235" s="42"/>
      <c r="AJ1235" s="42"/>
      <c r="AK1235" s="42"/>
      <c r="AO1235" s="86"/>
      <c r="AP1235" s="87"/>
      <c r="AQ1235" s="87"/>
      <c r="AR1235" s="88"/>
      <c r="AS1235" s="87"/>
      <c r="AT1235" s="87"/>
    </row>
    <row r="1236" spans="15:46" x14ac:dyDescent="0.25">
      <c r="O1236" s="49" t="e">
        <f t="shared" si="82"/>
        <v>#N/A</v>
      </c>
      <c r="AE1236" s="42"/>
      <c r="AF1236" s="42"/>
      <c r="AG1236" s="42"/>
      <c r="AH1236" s="42"/>
      <c r="AI1236" s="42"/>
      <c r="AJ1236" s="42"/>
      <c r="AK1236" s="42"/>
      <c r="AO1236" s="86"/>
      <c r="AP1236" s="87"/>
      <c r="AQ1236" s="87"/>
      <c r="AR1236" s="88"/>
      <c r="AS1236" s="87"/>
      <c r="AT1236" s="87"/>
    </row>
    <row r="1237" spans="15:46" x14ac:dyDescent="0.25">
      <c r="O1237" s="49" t="e">
        <f t="shared" si="82"/>
        <v>#N/A</v>
      </c>
      <c r="AE1237" s="42"/>
      <c r="AF1237" s="42"/>
      <c r="AG1237" s="42"/>
      <c r="AH1237" s="42"/>
      <c r="AI1237" s="42"/>
      <c r="AJ1237" s="42"/>
      <c r="AK1237" s="42"/>
      <c r="AO1237" s="86"/>
      <c r="AP1237" s="87"/>
      <c r="AQ1237" s="87"/>
      <c r="AR1237" s="88"/>
      <c r="AS1237" s="87"/>
      <c r="AT1237" s="87"/>
    </row>
    <row r="1238" spans="15:46" x14ac:dyDescent="0.25">
      <c r="O1238" s="49" t="e">
        <f t="shared" si="82"/>
        <v>#N/A</v>
      </c>
      <c r="AE1238" s="42"/>
      <c r="AF1238" s="42"/>
      <c r="AG1238" s="42"/>
      <c r="AH1238" s="42"/>
      <c r="AI1238" s="42"/>
      <c r="AJ1238" s="42"/>
      <c r="AK1238" s="42"/>
      <c r="AO1238" s="86"/>
      <c r="AP1238" s="87"/>
      <c r="AQ1238" s="87"/>
      <c r="AR1238" s="88"/>
      <c r="AS1238" s="87"/>
      <c r="AT1238" s="87"/>
    </row>
    <row r="1239" spans="15:46" x14ac:dyDescent="0.25">
      <c r="O1239" s="49" t="e">
        <f t="shared" ref="O1239:O1302" si="83">IF(ISTEXT(N1239),IF(MID(N1239,11,2)="24",1+DATEVALUE(LEFT(N1239,10))+TIMEVALUE(CONCATENATE(MID(N1239,11,2),":",MID(N1239,13,2))),DATEVALUE(LEFT(N1239,10))+TIMEVALUE(CONCATENATE(MID(N1239,11,2),":",MID(N1239,13,2)))),#N/A)</f>
        <v>#N/A</v>
      </c>
      <c r="AE1239" s="42"/>
      <c r="AF1239" s="42"/>
      <c r="AG1239" s="42"/>
      <c r="AH1239" s="42"/>
      <c r="AI1239" s="42"/>
      <c r="AJ1239" s="42"/>
      <c r="AK1239" s="42"/>
      <c r="AO1239" s="86"/>
      <c r="AP1239" s="87"/>
      <c r="AQ1239" s="87"/>
      <c r="AR1239" s="88"/>
      <c r="AS1239" s="87"/>
      <c r="AT1239" s="87"/>
    </row>
    <row r="1240" spans="15:46" x14ac:dyDescent="0.25">
      <c r="O1240" s="49" t="e">
        <f t="shared" si="83"/>
        <v>#N/A</v>
      </c>
      <c r="AE1240" s="42"/>
      <c r="AF1240" s="42"/>
      <c r="AG1240" s="42"/>
      <c r="AH1240" s="42"/>
      <c r="AI1240" s="42"/>
      <c r="AJ1240" s="42"/>
      <c r="AK1240" s="42"/>
      <c r="AO1240" s="86"/>
      <c r="AP1240" s="87"/>
      <c r="AQ1240" s="87"/>
      <c r="AR1240" s="88"/>
      <c r="AS1240" s="87"/>
      <c r="AT1240" s="87"/>
    </row>
    <row r="1241" spans="15:46" x14ac:dyDescent="0.25">
      <c r="O1241" s="49" t="e">
        <f t="shared" si="83"/>
        <v>#N/A</v>
      </c>
      <c r="AE1241" s="42"/>
      <c r="AF1241" s="42"/>
      <c r="AG1241" s="42"/>
      <c r="AH1241" s="42"/>
      <c r="AI1241" s="42"/>
      <c r="AJ1241" s="42"/>
      <c r="AK1241" s="42"/>
      <c r="AO1241" s="86"/>
      <c r="AP1241" s="87"/>
      <c r="AQ1241" s="87"/>
      <c r="AR1241" s="88"/>
      <c r="AS1241" s="87"/>
      <c r="AT1241" s="87"/>
    </row>
    <row r="1242" spans="15:46" x14ac:dyDescent="0.25">
      <c r="O1242" s="49" t="e">
        <f t="shared" si="83"/>
        <v>#N/A</v>
      </c>
      <c r="AE1242" s="42"/>
      <c r="AF1242" s="42"/>
      <c r="AG1242" s="42"/>
      <c r="AH1242" s="42"/>
      <c r="AI1242" s="42"/>
      <c r="AJ1242" s="42"/>
      <c r="AK1242" s="42"/>
      <c r="AO1242" s="86"/>
      <c r="AP1242" s="87"/>
      <c r="AQ1242" s="87"/>
      <c r="AR1242" s="88"/>
      <c r="AS1242" s="87"/>
      <c r="AT1242" s="87"/>
    </row>
    <row r="1243" spans="15:46" x14ac:dyDescent="0.25">
      <c r="O1243" s="49" t="e">
        <f t="shared" si="83"/>
        <v>#N/A</v>
      </c>
      <c r="AE1243" s="42"/>
      <c r="AF1243" s="42"/>
      <c r="AG1243" s="42"/>
      <c r="AH1243" s="42"/>
      <c r="AI1243" s="42"/>
      <c r="AJ1243" s="42"/>
      <c r="AK1243" s="42"/>
      <c r="AO1243" s="86"/>
      <c r="AP1243" s="87"/>
      <c r="AQ1243" s="87"/>
      <c r="AR1243" s="88"/>
      <c r="AS1243" s="87"/>
      <c r="AT1243" s="87"/>
    </row>
    <row r="1244" spans="15:46" x14ac:dyDescent="0.25">
      <c r="O1244" s="49" t="e">
        <f t="shared" si="83"/>
        <v>#N/A</v>
      </c>
      <c r="AE1244" s="42"/>
      <c r="AF1244" s="42"/>
      <c r="AG1244" s="42"/>
      <c r="AH1244" s="42"/>
      <c r="AI1244" s="42"/>
      <c r="AJ1244" s="42"/>
      <c r="AK1244" s="42"/>
      <c r="AO1244" s="86"/>
      <c r="AP1244" s="87"/>
      <c r="AQ1244" s="87"/>
      <c r="AR1244" s="88"/>
      <c r="AS1244" s="87"/>
      <c r="AT1244" s="87"/>
    </row>
    <row r="1245" spans="15:46" x14ac:dyDescent="0.25">
      <c r="O1245" s="49" t="e">
        <f t="shared" si="83"/>
        <v>#N/A</v>
      </c>
      <c r="AE1245" s="42"/>
      <c r="AF1245" s="42"/>
      <c r="AG1245" s="42"/>
      <c r="AH1245" s="42"/>
      <c r="AI1245" s="42"/>
      <c r="AJ1245" s="42"/>
      <c r="AK1245" s="42"/>
      <c r="AO1245" s="86"/>
      <c r="AP1245" s="87"/>
      <c r="AQ1245" s="87"/>
      <c r="AR1245" s="88"/>
      <c r="AS1245" s="87"/>
      <c r="AT1245" s="87"/>
    </row>
    <row r="1246" spans="15:46" x14ac:dyDescent="0.25">
      <c r="O1246" s="49" t="e">
        <f t="shared" si="83"/>
        <v>#N/A</v>
      </c>
      <c r="AE1246" s="42"/>
      <c r="AF1246" s="42"/>
      <c r="AG1246" s="42"/>
      <c r="AH1246" s="42"/>
      <c r="AI1246" s="42"/>
      <c r="AJ1246" s="42"/>
      <c r="AK1246" s="42"/>
      <c r="AO1246" s="86"/>
      <c r="AP1246" s="87"/>
      <c r="AQ1246" s="87"/>
      <c r="AR1246" s="88"/>
      <c r="AS1246" s="87"/>
      <c r="AT1246" s="87"/>
    </row>
    <row r="1247" spans="15:46" x14ac:dyDescent="0.25">
      <c r="O1247" s="49" t="e">
        <f t="shared" si="83"/>
        <v>#N/A</v>
      </c>
      <c r="AE1247" s="42"/>
      <c r="AF1247" s="42"/>
      <c r="AG1247" s="42"/>
      <c r="AH1247" s="42"/>
      <c r="AI1247" s="42"/>
      <c r="AJ1247" s="42"/>
      <c r="AK1247" s="42"/>
      <c r="AO1247" s="86"/>
      <c r="AP1247" s="87"/>
      <c r="AQ1247" s="87"/>
      <c r="AR1247" s="88"/>
      <c r="AS1247" s="87"/>
      <c r="AT1247" s="87"/>
    </row>
    <row r="1248" spans="15:46" x14ac:dyDescent="0.25">
      <c r="O1248" s="49" t="e">
        <f t="shared" si="83"/>
        <v>#N/A</v>
      </c>
      <c r="AE1248" s="42"/>
      <c r="AF1248" s="42"/>
      <c r="AG1248" s="42"/>
      <c r="AH1248" s="42"/>
      <c r="AI1248" s="42"/>
      <c r="AJ1248" s="42"/>
      <c r="AK1248" s="42"/>
      <c r="AO1248" s="86"/>
      <c r="AP1248" s="87"/>
      <c r="AQ1248" s="87"/>
      <c r="AR1248" s="88"/>
      <c r="AS1248" s="87"/>
      <c r="AT1248" s="87"/>
    </row>
    <row r="1249" spans="15:46" x14ac:dyDescent="0.25">
      <c r="O1249" s="49" t="e">
        <f t="shared" si="83"/>
        <v>#N/A</v>
      </c>
      <c r="AE1249" s="42"/>
      <c r="AF1249" s="42"/>
      <c r="AG1249" s="42"/>
      <c r="AH1249" s="42"/>
      <c r="AI1249" s="42"/>
      <c r="AJ1249" s="42"/>
      <c r="AK1249" s="42"/>
      <c r="AO1249" s="86"/>
      <c r="AP1249" s="87"/>
      <c r="AQ1249" s="87"/>
      <c r="AR1249" s="88"/>
      <c r="AS1249" s="87"/>
      <c r="AT1249" s="87"/>
    </row>
    <row r="1250" spans="15:46" x14ac:dyDescent="0.25">
      <c r="O1250" s="49" t="e">
        <f t="shared" si="83"/>
        <v>#N/A</v>
      </c>
      <c r="AE1250" s="42"/>
      <c r="AF1250" s="42"/>
      <c r="AG1250" s="42"/>
      <c r="AH1250" s="42"/>
      <c r="AI1250" s="42"/>
      <c r="AJ1250" s="42"/>
      <c r="AK1250" s="42"/>
      <c r="AO1250" s="86"/>
      <c r="AP1250" s="87"/>
      <c r="AQ1250" s="87"/>
      <c r="AR1250" s="88"/>
      <c r="AS1250" s="87"/>
      <c r="AT1250" s="87"/>
    </row>
    <row r="1251" spans="15:46" x14ac:dyDescent="0.25">
      <c r="O1251" s="49" t="e">
        <f t="shared" si="83"/>
        <v>#N/A</v>
      </c>
      <c r="AE1251" s="42"/>
      <c r="AF1251" s="42"/>
      <c r="AG1251" s="42"/>
      <c r="AH1251" s="42"/>
      <c r="AI1251" s="42"/>
      <c r="AJ1251" s="42"/>
      <c r="AK1251" s="42"/>
      <c r="AO1251" s="86"/>
      <c r="AP1251" s="87"/>
      <c r="AQ1251" s="87"/>
      <c r="AR1251" s="88"/>
      <c r="AS1251" s="87"/>
      <c r="AT1251" s="87"/>
    </row>
    <row r="1252" spans="15:46" x14ac:dyDescent="0.25">
      <c r="O1252" s="49" t="e">
        <f t="shared" si="83"/>
        <v>#N/A</v>
      </c>
      <c r="AE1252" s="42"/>
      <c r="AF1252" s="42"/>
      <c r="AG1252" s="42"/>
      <c r="AH1252" s="42"/>
      <c r="AI1252" s="42"/>
      <c r="AJ1252" s="42"/>
      <c r="AK1252" s="42"/>
      <c r="AO1252" s="86"/>
      <c r="AP1252" s="87"/>
      <c r="AQ1252" s="87"/>
      <c r="AR1252" s="88"/>
      <c r="AS1252" s="87"/>
      <c r="AT1252" s="87"/>
    </row>
    <row r="1253" spans="15:46" x14ac:dyDescent="0.25">
      <c r="O1253" s="49" t="e">
        <f t="shared" si="83"/>
        <v>#N/A</v>
      </c>
      <c r="AE1253" s="42"/>
      <c r="AF1253" s="42"/>
      <c r="AG1253" s="42"/>
      <c r="AH1253" s="42"/>
      <c r="AI1253" s="42"/>
      <c r="AJ1253" s="42"/>
      <c r="AK1253" s="42"/>
      <c r="AO1253" s="86"/>
      <c r="AP1253" s="87"/>
      <c r="AQ1253" s="87"/>
      <c r="AR1253" s="88"/>
      <c r="AS1253" s="87"/>
      <c r="AT1253" s="87"/>
    </row>
    <row r="1254" spans="15:46" x14ac:dyDescent="0.25">
      <c r="O1254" s="49" t="e">
        <f t="shared" si="83"/>
        <v>#N/A</v>
      </c>
      <c r="AE1254" s="42"/>
      <c r="AF1254" s="42"/>
      <c r="AG1254" s="42"/>
      <c r="AH1254" s="42"/>
      <c r="AI1254" s="42"/>
      <c r="AJ1254" s="42"/>
      <c r="AK1254" s="42"/>
      <c r="AO1254" s="86"/>
      <c r="AP1254" s="87"/>
      <c r="AQ1254" s="87"/>
      <c r="AR1254" s="88"/>
      <c r="AS1254" s="87"/>
      <c r="AT1254" s="87"/>
    </row>
    <row r="1255" spans="15:46" x14ac:dyDescent="0.25">
      <c r="O1255" s="49" t="e">
        <f t="shared" si="83"/>
        <v>#N/A</v>
      </c>
      <c r="AE1255" s="42"/>
      <c r="AF1255" s="42"/>
      <c r="AG1255" s="42"/>
      <c r="AH1255" s="42"/>
      <c r="AI1255" s="42"/>
      <c r="AJ1255" s="42"/>
      <c r="AK1255" s="42"/>
      <c r="AO1255" s="86"/>
      <c r="AP1255" s="87"/>
      <c r="AQ1255" s="87"/>
      <c r="AR1255" s="88"/>
      <c r="AS1255" s="87"/>
      <c r="AT1255" s="87"/>
    </row>
    <row r="1256" spans="15:46" x14ac:dyDescent="0.25">
      <c r="O1256" s="49" t="e">
        <f t="shared" si="83"/>
        <v>#N/A</v>
      </c>
      <c r="AE1256" s="42"/>
      <c r="AF1256" s="42"/>
      <c r="AG1256" s="42"/>
      <c r="AH1256" s="42"/>
      <c r="AI1256" s="42"/>
      <c r="AJ1256" s="42"/>
      <c r="AK1256" s="42"/>
      <c r="AO1256" s="86"/>
      <c r="AP1256" s="87"/>
      <c r="AQ1256" s="87"/>
      <c r="AR1256" s="88"/>
      <c r="AS1256" s="87"/>
      <c r="AT1256" s="87"/>
    </row>
    <row r="1257" spans="15:46" x14ac:dyDescent="0.25">
      <c r="O1257" s="49" t="e">
        <f t="shared" si="83"/>
        <v>#N/A</v>
      </c>
      <c r="AE1257" s="42"/>
      <c r="AF1257" s="42"/>
      <c r="AG1257" s="42"/>
      <c r="AH1257" s="42"/>
      <c r="AI1257" s="42"/>
      <c r="AJ1257" s="42"/>
      <c r="AK1257" s="42"/>
      <c r="AO1257" s="86"/>
      <c r="AP1257" s="87"/>
      <c r="AQ1257" s="87"/>
      <c r="AR1257" s="88"/>
      <c r="AS1257" s="87"/>
      <c r="AT1257" s="87"/>
    </row>
    <row r="1258" spans="15:46" x14ac:dyDescent="0.25">
      <c r="O1258" s="49" t="e">
        <f t="shared" si="83"/>
        <v>#N/A</v>
      </c>
      <c r="AE1258" s="42"/>
      <c r="AF1258" s="42"/>
      <c r="AG1258" s="42"/>
      <c r="AH1258" s="42"/>
      <c r="AI1258" s="42"/>
      <c r="AJ1258" s="42"/>
      <c r="AK1258" s="42"/>
      <c r="AO1258" s="86"/>
      <c r="AP1258" s="87"/>
      <c r="AQ1258" s="87"/>
      <c r="AR1258" s="88"/>
      <c r="AS1258" s="87"/>
      <c r="AT1258" s="87"/>
    </row>
    <row r="1259" spans="15:46" x14ac:dyDescent="0.25">
      <c r="O1259" s="49" t="e">
        <f t="shared" si="83"/>
        <v>#N/A</v>
      </c>
      <c r="AE1259" s="42"/>
      <c r="AF1259" s="42"/>
      <c r="AG1259" s="42"/>
      <c r="AH1259" s="42"/>
      <c r="AI1259" s="42"/>
      <c r="AJ1259" s="42"/>
      <c r="AK1259" s="42"/>
      <c r="AO1259" s="86"/>
      <c r="AP1259" s="87"/>
      <c r="AQ1259" s="87"/>
      <c r="AR1259" s="88"/>
      <c r="AS1259" s="87"/>
      <c r="AT1259" s="87"/>
    </row>
    <row r="1260" spans="15:46" x14ac:dyDescent="0.25">
      <c r="O1260" s="49" t="e">
        <f t="shared" si="83"/>
        <v>#N/A</v>
      </c>
      <c r="AE1260" s="42"/>
      <c r="AF1260" s="42"/>
      <c r="AG1260" s="42"/>
      <c r="AH1260" s="42"/>
      <c r="AI1260" s="42"/>
      <c r="AJ1260" s="42"/>
      <c r="AK1260" s="42"/>
      <c r="AO1260" s="86"/>
      <c r="AP1260" s="87"/>
      <c r="AQ1260" s="87"/>
      <c r="AR1260" s="88"/>
      <c r="AS1260" s="87"/>
      <c r="AT1260" s="87"/>
    </row>
    <row r="1261" spans="15:46" x14ac:dyDescent="0.25">
      <c r="O1261" s="49" t="e">
        <f t="shared" si="83"/>
        <v>#N/A</v>
      </c>
      <c r="AE1261" s="42"/>
      <c r="AF1261" s="42"/>
      <c r="AG1261" s="42"/>
      <c r="AH1261" s="42"/>
      <c r="AI1261" s="42"/>
      <c r="AJ1261" s="42"/>
      <c r="AK1261" s="42"/>
      <c r="AO1261" s="86"/>
      <c r="AP1261" s="87"/>
      <c r="AQ1261" s="87"/>
      <c r="AR1261" s="88"/>
      <c r="AS1261" s="87"/>
      <c r="AT1261" s="87"/>
    </row>
    <row r="1262" spans="15:46" x14ac:dyDescent="0.25">
      <c r="O1262" s="49" t="e">
        <f t="shared" si="83"/>
        <v>#N/A</v>
      </c>
      <c r="AE1262" s="42"/>
      <c r="AF1262" s="42"/>
      <c r="AG1262" s="42"/>
      <c r="AH1262" s="42"/>
      <c r="AI1262" s="42"/>
      <c r="AJ1262" s="42"/>
      <c r="AK1262" s="42"/>
      <c r="AO1262" s="86"/>
      <c r="AP1262" s="87"/>
      <c r="AQ1262" s="87"/>
      <c r="AR1262" s="88"/>
      <c r="AS1262" s="87"/>
      <c r="AT1262" s="87"/>
    </row>
    <row r="1263" spans="15:46" x14ac:dyDescent="0.25">
      <c r="O1263" s="49" t="e">
        <f t="shared" si="83"/>
        <v>#N/A</v>
      </c>
      <c r="AE1263" s="42"/>
      <c r="AF1263" s="42"/>
      <c r="AG1263" s="42"/>
      <c r="AH1263" s="42"/>
      <c r="AI1263" s="42"/>
      <c r="AJ1263" s="42"/>
      <c r="AK1263" s="42"/>
      <c r="AO1263" s="86"/>
      <c r="AP1263" s="87"/>
      <c r="AQ1263" s="87"/>
      <c r="AR1263" s="88"/>
      <c r="AS1263" s="87"/>
      <c r="AT1263" s="87"/>
    </row>
    <row r="1264" spans="15:46" x14ac:dyDescent="0.25">
      <c r="O1264" s="49" t="e">
        <f t="shared" si="83"/>
        <v>#N/A</v>
      </c>
      <c r="AE1264" s="42"/>
      <c r="AF1264" s="42"/>
      <c r="AG1264" s="42"/>
      <c r="AH1264" s="42"/>
      <c r="AI1264" s="42"/>
      <c r="AJ1264" s="42"/>
      <c r="AK1264" s="42"/>
      <c r="AO1264" s="86"/>
      <c r="AP1264" s="87"/>
      <c r="AQ1264" s="87"/>
      <c r="AR1264" s="88"/>
      <c r="AS1264" s="87"/>
      <c r="AT1264" s="87"/>
    </row>
    <row r="1265" spans="15:46" x14ac:dyDescent="0.25">
      <c r="O1265" s="49" t="e">
        <f t="shared" si="83"/>
        <v>#N/A</v>
      </c>
      <c r="AE1265" s="42"/>
      <c r="AF1265" s="42"/>
      <c r="AG1265" s="42"/>
      <c r="AH1265" s="42"/>
      <c r="AI1265" s="42"/>
      <c r="AJ1265" s="42"/>
      <c r="AK1265" s="42"/>
      <c r="AO1265" s="86"/>
      <c r="AP1265" s="87"/>
      <c r="AQ1265" s="87"/>
      <c r="AR1265" s="88"/>
      <c r="AS1265" s="87"/>
      <c r="AT1265" s="87"/>
    </row>
    <row r="1266" spans="15:46" x14ac:dyDescent="0.25">
      <c r="O1266" s="49" t="e">
        <f t="shared" si="83"/>
        <v>#N/A</v>
      </c>
      <c r="AE1266" s="42"/>
      <c r="AF1266" s="42"/>
      <c r="AG1266" s="42"/>
      <c r="AH1266" s="42"/>
      <c r="AI1266" s="42"/>
      <c r="AJ1266" s="42"/>
      <c r="AK1266" s="42"/>
      <c r="AO1266" s="86"/>
      <c r="AP1266" s="87"/>
      <c r="AQ1266" s="87"/>
      <c r="AR1266" s="88"/>
      <c r="AS1266" s="87"/>
      <c r="AT1266" s="87"/>
    </row>
    <row r="1267" spans="15:46" x14ac:dyDescent="0.25">
      <c r="O1267" s="49" t="e">
        <f t="shared" si="83"/>
        <v>#N/A</v>
      </c>
      <c r="AE1267" s="42"/>
      <c r="AF1267" s="42"/>
      <c r="AG1267" s="42"/>
      <c r="AH1267" s="42"/>
      <c r="AI1267" s="42"/>
      <c r="AJ1267" s="42"/>
      <c r="AK1267" s="42"/>
      <c r="AO1267" s="86"/>
      <c r="AP1267" s="87"/>
      <c r="AQ1267" s="87"/>
      <c r="AR1267" s="88"/>
      <c r="AS1267" s="87"/>
      <c r="AT1267" s="87"/>
    </row>
    <row r="1268" spans="15:46" x14ac:dyDescent="0.25">
      <c r="O1268" s="49" t="e">
        <f t="shared" si="83"/>
        <v>#N/A</v>
      </c>
      <c r="AE1268" s="42"/>
      <c r="AF1268" s="42"/>
      <c r="AG1268" s="42"/>
      <c r="AH1268" s="42"/>
      <c r="AI1268" s="42"/>
      <c r="AJ1268" s="42"/>
      <c r="AK1268" s="42"/>
      <c r="AO1268" s="86"/>
      <c r="AP1268" s="87"/>
      <c r="AQ1268" s="87"/>
      <c r="AR1268" s="88"/>
      <c r="AS1268" s="87"/>
      <c r="AT1268" s="87"/>
    </row>
    <row r="1269" spans="15:46" x14ac:dyDescent="0.25">
      <c r="O1269" s="49" t="e">
        <f t="shared" si="83"/>
        <v>#N/A</v>
      </c>
      <c r="AE1269" s="42"/>
      <c r="AF1269" s="42"/>
      <c r="AG1269" s="42"/>
      <c r="AH1269" s="42"/>
      <c r="AI1269" s="42"/>
      <c r="AJ1269" s="42"/>
      <c r="AK1269" s="42"/>
      <c r="AO1269" s="86"/>
      <c r="AP1269" s="87"/>
      <c r="AQ1269" s="87"/>
      <c r="AR1269" s="88"/>
      <c r="AS1269" s="87"/>
      <c r="AT1269" s="87"/>
    </row>
    <row r="1270" spans="15:46" x14ac:dyDescent="0.25">
      <c r="O1270" s="49" t="e">
        <f t="shared" si="83"/>
        <v>#N/A</v>
      </c>
      <c r="AE1270" s="42"/>
      <c r="AF1270" s="42"/>
      <c r="AG1270" s="42"/>
      <c r="AH1270" s="42"/>
      <c r="AI1270" s="42"/>
      <c r="AJ1270" s="42"/>
      <c r="AK1270" s="42"/>
      <c r="AO1270" s="86"/>
      <c r="AP1270" s="87"/>
      <c r="AQ1270" s="87"/>
      <c r="AR1270" s="88"/>
      <c r="AS1270" s="87"/>
      <c r="AT1270" s="87"/>
    </row>
    <row r="1271" spans="15:46" x14ac:dyDescent="0.25">
      <c r="O1271" s="49" t="e">
        <f t="shared" si="83"/>
        <v>#N/A</v>
      </c>
      <c r="AE1271" s="42"/>
      <c r="AF1271" s="42"/>
      <c r="AG1271" s="42"/>
      <c r="AH1271" s="42"/>
      <c r="AI1271" s="42"/>
      <c r="AJ1271" s="42"/>
      <c r="AK1271" s="42"/>
      <c r="AO1271" s="86"/>
      <c r="AP1271" s="87"/>
      <c r="AQ1271" s="87"/>
      <c r="AR1271" s="88"/>
      <c r="AS1271" s="87"/>
      <c r="AT1271" s="87"/>
    </row>
    <row r="1272" spans="15:46" x14ac:dyDescent="0.25">
      <c r="O1272" s="49" t="e">
        <f t="shared" si="83"/>
        <v>#N/A</v>
      </c>
      <c r="AE1272" s="42"/>
      <c r="AF1272" s="42"/>
      <c r="AG1272" s="42"/>
      <c r="AH1272" s="42"/>
      <c r="AI1272" s="42"/>
      <c r="AJ1272" s="42"/>
      <c r="AK1272" s="42"/>
      <c r="AO1272" s="86"/>
      <c r="AP1272" s="87"/>
      <c r="AQ1272" s="87"/>
      <c r="AR1272" s="88"/>
      <c r="AS1272" s="87"/>
      <c r="AT1272" s="87"/>
    </row>
    <row r="1273" spans="15:46" x14ac:dyDescent="0.25">
      <c r="O1273" s="49" t="e">
        <f t="shared" si="83"/>
        <v>#N/A</v>
      </c>
      <c r="AE1273" s="42"/>
      <c r="AF1273" s="42"/>
      <c r="AG1273" s="42"/>
      <c r="AH1273" s="42"/>
      <c r="AI1273" s="42"/>
      <c r="AJ1273" s="42"/>
      <c r="AK1273" s="42"/>
      <c r="AO1273" s="86"/>
      <c r="AP1273" s="87"/>
      <c r="AQ1273" s="87"/>
      <c r="AR1273" s="88"/>
      <c r="AS1273" s="87"/>
      <c r="AT1273" s="87"/>
    </row>
    <row r="1274" spans="15:46" x14ac:dyDescent="0.25">
      <c r="O1274" s="49" t="e">
        <f t="shared" si="83"/>
        <v>#N/A</v>
      </c>
      <c r="AE1274" s="42"/>
      <c r="AF1274" s="42"/>
      <c r="AG1274" s="42"/>
      <c r="AH1274" s="42"/>
      <c r="AI1274" s="42"/>
      <c r="AJ1274" s="42"/>
      <c r="AK1274" s="42"/>
      <c r="AO1274" s="86"/>
      <c r="AP1274" s="87"/>
      <c r="AQ1274" s="87"/>
      <c r="AR1274" s="88"/>
      <c r="AS1274" s="87"/>
      <c r="AT1274" s="87"/>
    </row>
    <row r="1275" spans="15:46" x14ac:dyDescent="0.25">
      <c r="O1275" s="49" t="e">
        <f t="shared" si="83"/>
        <v>#N/A</v>
      </c>
      <c r="AE1275" s="42"/>
      <c r="AF1275" s="42"/>
      <c r="AG1275" s="42"/>
      <c r="AH1275" s="42"/>
      <c r="AI1275" s="42"/>
      <c r="AJ1275" s="42"/>
      <c r="AK1275" s="42"/>
      <c r="AO1275" s="86"/>
      <c r="AP1275" s="87"/>
      <c r="AQ1275" s="87"/>
      <c r="AR1275" s="88"/>
      <c r="AS1275" s="87"/>
      <c r="AT1275" s="87"/>
    </row>
    <row r="1276" spans="15:46" x14ac:dyDescent="0.25">
      <c r="O1276" s="49" t="e">
        <f t="shared" si="83"/>
        <v>#N/A</v>
      </c>
      <c r="AE1276" s="42"/>
      <c r="AF1276" s="42"/>
      <c r="AG1276" s="42"/>
      <c r="AH1276" s="42"/>
      <c r="AI1276" s="42"/>
      <c r="AJ1276" s="42"/>
      <c r="AK1276" s="42"/>
      <c r="AO1276" s="86"/>
      <c r="AP1276" s="87"/>
      <c r="AQ1276" s="87"/>
      <c r="AR1276" s="88"/>
      <c r="AS1276" s="87"/>
      <c r="AT1276" s="87"/>
    </row>
    <row r="1277" spans="15:46" x14ac:dyDescent="0.25">
      <c r="O1277" s="49" t="e">
        <f t="shared" si="83"/>
        <v>#N/A</v>
      </c>
      <c r="AE1277" s="42"/>
      <c r="AF1277" s="42"/>
      <c r="AG1277" s="42"/>
      <c r="AH1277" s="42"/>
      <c r="AI1277" s="42"/>
      <c r="AJ1277" s="42"/>
      <c r="AK1277" s="42"/>
      <c r="AO1277" s="86"/>
      <c r="AP1277" s="87"/>
      <c r="AQ1277" s="87"/>
      <c r="AR1277" s="88"/>
      <c r="AS1277" s="87"/>
      <c r="AT1277" s="87"/>
    </row>
    <row r="1278" spans="15:46" x14ac:dyDescent="0.25">
      <c r="O1278" s="49" t="e">
        <f t="shared" si="83"/>
        <v>#N/A</v>
      </c>
      <c r="AE1278" s="42"/>
      <c r="AF1278" s="42"/>
      <c r="AG1278" s="42"/>
      <c r="AH1278" s="42"/>
      <c r="AI1278" s="42"/>
      <c r="AJ1278" s="42"/>
      <c r="AK1278" s="42"/>
      <c r="AO1278" s="86"/>
      <c r="AP1278" s="87"/>
      <c r="AQ1278" s="87"/>
      <c r="AR1278" s="88"/>
      <c r="AS1278" s="87"/>
      <c r="AT1278" s="87"/>
    </row>
    <row r="1279" spans="15:46" x14ac:dyDescent="0.25">
      <c r="O1279" s="49" t="e">
        <f t="shared" si="83"/>
        <v>#N/A</v>
      </c>
      <c r="AE1279" s="42"/>
      <c r="AF1279" s="42"/>
      <c r="AG1279" s="42"/>
      <c r="AH1279" s="42"/>
      <c r="AI1279" s="42"/>
      <c r="AJ1279" s="42"/>
      <c r="AK1279" s="42"/>
      <c r="AO1279" s="86"/>
      <c r="AP1279" s="87"/>
      <c r="AQ1279" s="87"/>
      <c r="AR1279" s="88"/>
      <c r="AS1279" s="87"/>
      <c r="AT1279" s="87"/>
    </row>
    <row r="1280" spans="15:46" x14ac:dyDescent="0.25">
      <c r="O1280" s="49" t="e">
        <f t="shared" si="83"/>
        <v>#N/A</v>
      </c>
      <c r="AE1280" s="42"/>
      <c r="AF1280" s="42"/>
      <c r="AG1280" s="42"/>
      <c r="AH1280" s="42"/>
      <c r="AI1280" s="42"/>
      <c r="AJ1280" s="42"/>
      <c r="AK1280" s="42"/>
      <c r="AO1280" s="86"/>
      <c r="AP1280" s="87"/>
      <c r="AQ1280" s="87"/>
      <c r="AR1280" s="88"/>
      <c r="AS1280" s="87"/>
      <c r="AT1280" s="87"/>
    </row>
    <row r="1281" spans="15:46" x14ac:dyDescent="0.25">
      <c r="O1281" s="49" t="e">
        <f t="shared" si="83"/>
        <v>#N/A</v>
      </c>
      <c r="AE1281" s="42"/>
      <c r="AF1281" s="42"/>
      <c r="AG1281" s="42"/>
      <c r="AH1281" s="42"/>
      <c r="AI1281" s="42"/>
      <c r="AJ1281" s="42"/>
      <c r="AK1281" s="42"/>
      <c r="AO1281" s="86"/>
      <c r="AP1281" s="87"/>
      <c r="AQ1281" s="87"/>
      <c r="AR1281" s="88"/>
      <c r="AS1281" s="87"/>
      <c r="AT1281" s="87"/>
    </row>
    <row r="1282" spans="15:46" x14ac:dyDescent="0.25">
      <c r="O1282" s="49" t="e">
        <f t="shared" si="83"/>
        <v>#N/A</v>
      </c>
      <c r="AE1282" s="42"/>
      <c r="AF1282" s="42"/>
      <c r="AG1282" s="42"/>
      <c r="AH1282" s="42"/>
      <c r="AI1282" s="42"/>
      <c r="AJ1282" s="42"/>
      <c r="AK1282" s="42"/>
      <c r="AO1282" s="86"/>
      <c r="AP1282" s="87"/>
      <c r="AQ1282" s="87"/>
      <c r="AR1282" s="88"/>
      <c r="AS1282" s="87"/>
      <c r="AT1282" s="87"/>
    </row>
    <row r="1283" spans="15:46" x14ac:dyDescent="0.25">
      <c r="O1283" s="49" t="e">
        <f t="shared" si="83"/>
        <v>#N/A</v>
      </c>
      <c r="AE1283" s="42"/>
      <c r="AF1283" s="42"/>
      <c r="AG1283" s="42"/>
      <c r="AH1283" s="42"/>
      <c r="AI1283" s="42"/>
      <c r="AJ1283" s="42"/>
      <c r="AK1283" s="42"/>
      <c r="AO1283" s="86"/>
      <c r="AP1283" s="87"/>
      <c r="AQ1283" s="87"/>
      <c r="AR1283" s="88"/>
      <c r="AS1283" s="87"/>
      <c r="AT1283" s="87"/>
    </row>
    <row r="1284" spans="15:46" x14ac:dyDescent="0.25">
      <c r="O1284" s="49" t="e">
        <f t="shared" si="83"/>
        <v>#N/A</v>
      </c>
      <c r="AE1284" s="42"/>
      <c r="AF1284" s="42"/>
      <c r="AG1284" s="42"/>
      <c r="AH1284" s="42"/>
      <c r="AI1284" s="42"/>
      <c r="AJ1284" s="42"/>
      <c r="AK1284" s="42"/>
      <c r="AO1284" s="86"/>
      <c r="AP1284" s="87"/>
      <c r="AQ1284" s="87"/>
      <c r="AR1284" s="88"/>
      <c r="AS1284" s="87"/>
      <c r="AT1284" s="87"/>
    </row>
    <row r="1285" spans="15:46" x14ac:dyDescent="0.25">
      <c r="O1285" s="49" t="e">
        <f t="shared" si="83"/>
        <v>#N/A</v>
      </c>
      <c r="AE1285" s="42"/>
      <c r="AF1285" s="42"/>
      <c r="AG1285" s="42"/>
      <c r="AH1285" s="42"/>
      <c r="AI1285" s="42"/>
      <c r="AJ1285" s="42"/>
      <c r="AK1285" s="42"/>
      <c r="AO1285" s="86"/>
      <c r="AP1285" s="87"/>
      <c r="AQ1285" s="87"/>
      <c r="AR1285" s="88"/>
      <c r="AS1285" s="87"/>
      <c r="AT1285" s="87"/>
    </row>
    <row r="1286" spans="15:46" x14ac:dyDescent="0.25">
      <c r="O1286" s="49" t="e">
        <f t="shared" si="83"/>
        <v>#N/A</v>
      </c>
      <c r="AE1286" s="42"/>
      <c r="AF1286" s="42"/>
      <c r="AG1286" s="42"/>
      <c r="AH1286" s="42"/>
      <c r="AI1286" s="42"/>
      <c r="AJ1286" s="42"/>
      <c r="AK1286" s="42"/>
      <c r="AO1286" s="86"/>
      <c r="AP1286" s="87"/>
      <c r="AQ1286" s="87"/>
      <c r="AR1286" s="88"/>
      <c r="AS1286" s="87"/>
      <c r="AT1286" s="87"/>
    </row>
    <row r="1287" spans="15:46" x14ac:dyDescent="0.25">
      <c r="O1287" s="49" t="e">
        <f t="shared" si="83"/>
        <v>#N/A</v>
      </c>
      <c r="AE1287" s="42"/>
      <c r="AF1287" s="42"/>
      <c r="AG1287" s="42"/>
      <c r="AH1287" s="42"/>
      <c r="AI1287" s="42"/>
      <c r="AJ1287" s="42"/>
      <c r="AK1287" s="42"/>
      <c r="AO1287" s="86"/>
      <c r="AP1287" s="87"/>
      <c r="AQ1287" s="87"/>
      <c r="AR1287" s="88"/>
      <c r="AS1287" s="87"/>
      <c r="AT1287" s="87"/>
    </row>
    <row r="1288" spans="15:46" x14ac:dyDescent="0.25">
      <c r="O1288" s="49" t="e">
        <f t="shared" si="83"/>
        <v>#N/A</v>
      </c>
      <c r="AE1288" s="42"/>
      <c r="AF1288" s="42"/>
      <c r="AG1288" s="42"/>
      <c r="AH1288" s="42"/>
      <c r="AI1288" s="42"/>
      <c r="AJ1288" s="42"/>
      <c r="AK1288" s="42"/>
      <c r="AO1288" s="86"/>
      <c r="AP1288" s="87"/>
      <c r="AQ1288" s="87"/>
      <c r="AR1288" s="88"/>
      <c r="AS1288" s="87"/>
      <c r="AT1288" s="87"/>
    </row>
    <row r="1289" spans="15:46" x14ac:dyDescent="0.25">
      <c r="O1289" s="49" t="e">
        <f t="shared" si="83"/>
        <v>#N/A</v>
      </c>
      <c r="AE1289" s="42"/>
      <c r="AF1289" s="42"/>
      <c r="AG1289" s="42"/>
      <c r="AH1289" s="42"/>
      <c r="AI1289" s="42"/>
      <c r="AJ1289" s="42"/>
      <c r="AK1289" s="42"/>
      <c r="AO1289" s="86"/>
      <c r="AP1289" s="87"/>
      <c r="AQ1289" s="87"/>
      <c r="AR1289" s="88"/>
      <c r="AS1289" s="87"/>
      <c r="AT1289" s="87"/>
    </row>
    <row r="1290" spans="15:46" x14ac:dyDescent="0.25">
      <c r="O1290" s="49" t="e">
        <f t="shared" si="83"/>
        <v>#N/A</v>
      </c>
      <c r="AE1290" s="42"/>
      <c r="AF1290" s="42"/>
      <c r="AG1290" s="42"/>
      <c r="AH1290" s="42"/>
      <c r="AI1290" s="42"/>
      <c r="AJ1290" s="42"/>
      <c r="AK1290" s="42"/>
      <c r="AO1290" s="86"/>
      <c r="AP1290" s="87"/>
      <c r="AQ1290" s="87"/>
      <c r="AR1290" s="88"/>
      <c r="AS1290" s="87"/>
      <c r="AT1290" s="87"/>
    </row>
    <row r="1291" spans="15:46" x14ac:dyDescent="0.25">
      <c r="O1291" s="49" t="e">
        <f t="shared" si="83"/>
        <v>#N/A</v>
      </c>
      <c r="AE1291" s="42"/>
      <c r="AF1291" s="42"/>
      <c r="AG1291" s="42"/>
      <c r="AH1291" s="42"/>
      <c r="AI1291" s="42"/>
      <c r="AJ1291" s="42"/>
      <c r="AK1291" s="42"/>
      <c r="AO1291" s="86"/>
      <c r="AP1291" s="87"/>
      <c r="AQ1291" s="87"/>
      <c r="AR1291" s="88"/>
      <c r="AS1291" s="87"/>
      <c r="AT1291" s="87"/>
    </row>
    <row r="1292" spans="15:46" x14ac:dyDescent="0.25">
      <c r="O1292" s="49" t="e">
        <f t="shared" si="83"/>
        <v>#N/A</v>
      </c>
      <c r="AE1292" s="42"/>
      <c r="AF1292" s="42"/>
      <c r="AG1292" s="42"/>
      <c r="AH1292" s="42"/>
      <c r="AI1292" s="42"/>
      <c r="AJ1292" s="42"/>
      <c r="AK1292" s="42"/>
      <c r="AO1292" s="86"/>
      <c r="AP1292" s="87"/>
      <c r="AQ1292" s="87"/>
      <c r="AR1292" s="88"/>
      <c r="AS1292" s="87"/>
      <c r="AT1292" s="87"/>
    </row>
    <row r="1293" spans="15:46" x14ac:dyDescent="0.25">
      <c r="O1293" s="49" t="e">
        <f t="shared" si="83"/>
        <v>#N/A</v>
      </c>
      <c r="AE1293" s="42"/>
      <c r="AF1293" s="42"/>
      <c r="AG1293" s="42"/>
      <c r="AH1293" s="42"/>
      <c r="AI1293" s="42"/>
      <c r="AJ1293" s="42"/>
      <c r="AK1293" s="42"/>
      <c r="AO1293" s="86"/>
      <c r="AP1293" s="87"/>
      <c r="AQ1293" s="87"/>
      <c r="AR1293" s="88"/>
      <c r="AS1293" s="87"/>
      <c r="AT1293" s="87"/>
    </row>
    <row r="1294" spans="15:46" x14ac:dyDescent="0.25">
      <c r="O1294" s="49" t="e">
        <f t="shared" si="83"/>
        <v>#N/A</v>
      </c>
      <c r="AE1294" s="42"/>
      <c r="AF1294" s="42"/>
      <c r="AG1294" s="42"/>
      <c r="AH1294" s="42"/>
      <c r="AI1294" s="42"/>
      <c r="AJ1294" s="42"/>
      <c r="AK1294" s="42"/>
      <c r="AO1294" s="86"/>
      <c r="AP1294" s="87"/>
      <c r="AQ1294" s="87"/>
      <c r="AR1294" s="88"/>
      <c r="AS1294" s="87"/>
      <c r="AT1294" s="87"/>
    </row>
    <row r="1295" spans="15:46" x14ac:dyDescent="0.25">
      <c r="O1295" s="49" t="e">
        <f t="shared" si="83"/>
        <v>#N/A</v>
      </c>
      <c r="AE1295" s="42"/>
      <c r="AF1295" s="42"/>
      <c r="AG1295" s="42"/>
      <c r="AH1295" s="42"/>
      <c r="AI1295" s="42"/>
      <c r="AJ1295" s="42"/>
      <c r="AK1295" s="42"/>
      <c r="AO1295" s="86"/>
      <c r="AP1295" s="87"/>
      <c r="AQ1295" s="87"/>
      <c r="AR1295" s="88"/>
      <c r="AS1295" s="87"/>
      <c r="AT1295" s="87"/>
    </row>
    <row r="1296" spans="15:46" x14ac:dyDescent="0.25">
      <c r="O1296" s="49" t="e">
        <f t="shared" si="83"/>
        <v>#N/A</v>
      </c>
      <c r="AE1296" s="42"/>
      <c r="AF1296" s="42"/>
      <c r="AG1296" s="42"/>
      <c r="AH1296" s="42"/>
      <c r="AI1296" s="42"/>
      <c r="AJ1296" s="42"/>
      <c r="AK1296" s="42"/>
      <c r="AO1296" s="86"/>
      <c r="AP1296" s="87"/>
      <c r="AQ1296" s="87"/>
      <c r="AR1296" s="88"/>
      <c r="AS1296" s="87"/>
      <c r="AT1296" s="87"/>
    </row>
    <row r="1297" spans="15:46" x14ac:dyDescent="0.25">
      <c r="O1297" s="49" t="e">
        <f t="shared" si="83"/>
        <v>#N/A</v>
      </c>
      <c r="AE1297" s="42"/>
      <c r="AF1297" s="42"/>
      <c r="AG1297" s="42"/>
      <c r="AH1297" s="42"/>
      <c r="AI1297" s="42"/>
      <c r="AJ1297" s="42"/>
      <c r="AK1297" s="42"/>
      <c r="AO1297" s="86"/>
      <c r="AP1297" s="87"/>
      <c r="AQ1297" s="87"/>
      <c r="AR1297" s="88"/>
      <c r="AS1297" s="87"/>
      <c r="AT1297" s="87"/>
    </row>
    <row r="1298" spans="15:46" x14ac:dyDescent="0.25">
      <c r="O1298" s="49" t="e">
        <f t="shared" si="83"/>
        <v>#N/A</v>
      </c>
      <c r="AE1298" s="42"/>
      <c r="AF1298" s="42"/>
      <c r="AG1298" s="42"/>
      <c r="AH1298" s="42"/>
      <c r="AI1298" s="42"/>
      <c r="AJ1298" s="42"/>
      <c r="AK1298" s="42"/>
      <c r="AO1298" s="86"/>
      <c r="AP1298" s="87"/>
      <c r="AQ1298" s="87"/>
      <c r="AR1298" s="88"/>
      <c r="AS1298" s="87"/>
      <c r="AT1298" s="87"/>
    </row>
    <row r="1299" spans="15:46" x14ac:dyDescent="0.25">
      <c r="O1299" s="49" t="e">
        <f t="shared" si="83"/>
        <v>#N/A</v>
      </c>
      <c r="AE1299" s="42"/>
      <c r="AF1299" s="42"/>
      <c r="AG1299" s="42"/>
      <c r="AH1299" s="42"/>
      <c r="AI1299" s="42"/>
      <c r="AJ1299" s="42"/>
      <c r="AK1299" s="42"/>
      <c r="AO1299" s="86"/>
      <c r="AP1299" s="87"/>
      <c r="AQ1299" s="87"/>
      <c r="AR1299" s="88"/>
      <c r="AS1299" s="87"/>
      <c r="AT1299" s="87"/>
    </row>
    <row r="1300" spans="15:46" x14ac:dyDescent="0.25">
      <c r="O1300" s="49" t="e">
        <f t="shared" si="83"/>
        <v>#N/A</v>
      </c>
      <c r="AE1300" s="42"/>
      <c r="AF1300" s="42"/>
      <c r="AG1300" s="42"/>
      <c r="AH1300" s="42"/>
      <c r="AI1300" s="42"/>
      <c r="AJ1300" s="42"/>
      <c r="AK1300" s="42"/>
      <c r="AO1300" s="86"/>
      <c r="AP1300" s="87"/>
      <c r="AQ1300" s="87"/>
      <c r="AR1300" s="88"/>
      <c r="AS1300" s="87"/>
      <c r="AT1300" s="87"/>
    </row>
    <row r="1301" spans="15:46" x14ac:dyDescent="0.25">
      <c r="O1301" s="49" t="e">
        <f t="shared" si="83"/>
        <v>#N/A</v>
      </c>
      <c r="AE1301" s="42"/>
      <c r="AF1301" s="42"/>
      <c r="AG1301" s="42"/>
      <c r="AH1301" s="42"/>
      <c r="AI1301" s="42"/>
      <c r="AJ1301" s="42"/>
      <c r="AK1301" s="42"/>
      <c r="AO1301" s="86"/>
      <c r="AP1301" s="87"/>
      <c r="AQ1301" s="87"/>
      <c r="AR1301" s="88"/>
      <c r="AS1301" s="87"/>
      <c r="AT1301" s="87"/>
    </row>
    <row r="1302" spans="15:46" x14ac:dyDescent="0.25">
      <c r="O1302" s="49" t="e">
        <f t="shared" si="83"/>
        <v>#N/A</v>
      </c>
      <c r="AE1302" s="42"/>
      <c r="AF1302" s="42"/>
      <c r="AG1302" s="42"/>
      <c r="AH1302" s="42"/>
      <c r="AI1302" s="42"/>
      <c r="AJ1302" s="42"/>
      <c r="AK1302" s="42"/>
      <c r="AO1302" s="86"/>
      <c r="AP1302" s="87"/>
      <c r="AQ1302" s="87"/>
      <c r="AR1302" s="88"/>
      <c r="AS1302" s="87"/>
      <c r="AT1302" s="87"/>
    </row>
    <row r="1303" spans="15:46" x14ac:dyDescent="0.25">
      <c r="O1303" s="49" t="e">
        <f t="shared" ref="O1303:O1366" si="84">IF(ISTEXT(N1303),IF(MID(N1303,11,2)="24",1+DATEVALUE(LEFT(N1303,10))+TIMEVALUE(CONCATENATE(MID(N1303,11,2),":",MID(N1303,13,2))),DATEVALUE(LEFT(N1303,10))+TIMEVALUE(CONCATENATE(MID(N1303,11,2),":",MID(N1303,13,2)))),#N/A)</f>
        <v>#N/A</v>
      </c>
      <c r="AE1303" s="42"/>
      <c r="AF1303" s="42"/>
      <c r="AG1303" s="42"/>
      <c r="AH1303" s="42"/>
      <c r="AI1303" s="42"/>
      <c r="AJ1303" s="42"/>
      <c r="AK1303" s="42"/>
      <c r="AO1303" s="86"/>
      <c r="AP1303" s="87"/>
      <c r="AQ1303" s="87"/>
      <c r="AR1303" s="88"/>
      <c r="AS1303" s="87"/>
      <c r="AT1303" s="87"/>
    </row>
    <row r="1304" spans="15:46" x14ac:dyDescent="0.25">
      <c r="O1304" s="49" t="e">
        <f t="shared" si="84"/>
        <v>#N/A</v>
      </c>
      <c r="AE1304" s="42"/>
      <c r="AF1304" s="42"/>
      <c r="AG1304" s="42"/>
      <c r="AH1304" s="42"/>
      <c r="AI1304" s="42"/>
      <c r="AJ1304" s="42"/>
      <c r="AK1304" s="42"/>
      <c r="AO1304" s="86"/>
      <c r="AP1304" s="87"/>
      <c r="AQ1304" s="87"/>
      <c r="AR1304" s="88"/>
      <c r="AS1304" s="87"/>
      <c r="AT1304" s="87"/>
    </row>
    <row r="1305" spans="15:46" x14ac:dyDescent="0.25">
      <c r="O1305" s="49" t="e">
        <f t="shared" si="84"/>
        <v>#N/A</v>
      </c>
      <c r="AE1305" s="42"/>
      <c r="AF1305" s="42"/>
      <c r="AG1305" s="42"/>
      <c r="AH1305" s="42"/>
      <c r="AI1305" s="42"/>
      <c r="AJ1305" s="42"/>
      <c r="AK1305" s="42"/>
      <c r="AO1305" s="86"/>
      <c r="AP1305" s="87"/>
      <c r="AQ1305" s="87"/>
      <c r="AR1305" s="88"/>
      <c r="AS1305" s="87"/>
      <c r="AT1305" s="87"/>
    </row>
    <row r="1306" spans="15:46" x14ac:dyDescent="0.25">
      <c r="O1306" s="49" t="e">
        <f t="shared" si="84"/>
        <v>#N/A</v>
      </c>
      <c r="AE1306" s="42"/>
      <c r="AF1306" s="42"/>
      <c r="AG1306" s="42"/>
      <c r="AH1306" s="42"/>
      <c r="AI1306" s="42"/>
      <c r="AJ1306" s="42"/>
      <c r="AK1306" s="42"/>
      <c r="AO1306" s="86"/>
      <c r="AP1306" s="87"/>
      <c r="AQ1306" s="87"/>
      <c r="AR1306" s="88"/>
      <c r="AS1306" s="87"/>
      <c r="AT1306" s="87"/>
    </row>
    <row r="1307" spans="15:46" x14ac:dyDescent="0.25">
      <c r="O1307" s="49" t="e">
        <f t="shared" si="84"/>
        <v>#N/A</v>
      </c>
      <c r="AE1307" s="42"/>
      <c r="AF1307" s="42"/>
      <c r="AG1307" s="42"/>
      <c r="AH1307" s="42"/>
      <c r="AI1307" s="42"/>
      <c r="AJ1307" s="42"/>
      <c r="AK1307" s="42"/>
      <c r="AO1307" s="86"/>
      <c r="AP1307" s="87"/>
      <c r="AQ1307" s="87"/>
      <c r="AR1307" s="88"/>
      <c r="AS1307" s="87"/>
      <c r="AT1307" s="87"/>
    </row>
    <row r="1308" spans="15:46" x14ac:dyDescent="0.25">
      <c r="O1308" s="49" t="e">
        <f t="shared" si="84"/>
        <v>#N/A</v>
      </c>
      <c r="AE1308" s="42"/>
      <c r="AF1308" s="42"/>
      <c r="AG1308" s="42"/>
      <c r="AH1308" s="42"/>
      <c r="AI1308" s="42"/>
      <c r="AJ1308" s="42"/>
      <c r="AK1308" s="42"/>
      <c r="AO1308" s="86"/>
      <c r="AP1308" s="87"/>
      <c r="AQ1308" s="87"/>
      <c r="AR1308" s="88"/>
      <c r="AS1308" s="87"/>
      <c r="AT1308" s="87"/>
    </row>
    <row r="1309" spans="15:46" x14ac:dyDescent="0.25">
      <c r="O1309" s="49" t="e">
        <f t="shared" si="84"/>
        <v>#N/A</v>
      </c>
      <c r="AE1309" s="42"/>
      <c r="AF1309" s="42"/>
      <c r="AG1309" s="42"/>
      <c r="AH1309" s="42"/>
      <c r="AI1309" s="42"/>
      <c r="AJ1309" s="42"/>
      <c r="AK1309" s="42"/>
      <c r="AO1309" s="86"/>
      <c r="AP1309" s="87"/>
      <c r="AQ1309" s="87"/>
      <c r="AR1309" s="88"/>
      <c r="AS1309" s="87"/>
      <c r="AT1309" s="87"/>
    </row>
    <row r="1310" spans="15:46" x14ac:dyDescent="0.25">
      <c r="O1310" s="49" t="e">
        <f t="shared" si="84"/>
        <v>#N/A</v>
      </c>
      <c r="AE1310" s="42"/>
      <c r="AF1310" s="42"/>
      <c r="AG1310" s="42"/>
      <c r="AH1310" s="42"/>
      <c r="AI1310" s="42"/>
      <c r="AJ1310" s="42"/>
      <c r="AK1310" s="42"/>
      <c r="AO1310" s="86"/>
      <c r="AP1310" s="87"/>
      <c r="AQ1310" s="87"/>
      <c r="AR1310" s="88"/>
      <c r="AS1310" s="87"/>
      <c r="AT1310" s="87"/>
    </row>
    <row r="1311" spans="15:46" x14ac:dyDescent="0.25">
      <c r="O1311" s="49" t="e">
        <f t="shared" si="84"/>
        <v>#N/A</v>
      </c>
      <c r="AE1311" s="42"/>
      <c r="AF1311" s="42"/>
      <c r="AG1311" s="42"/>
      <c r="AH1311" s="42"/>
      <c r="AI1311" s="42"/>
      <c r="AJ1311" s="42"/>
      <c r="AK1311" s="42"/>
      <c r="AO1311" s="86"/>
      <c r="AP1311" s="87"/>
      <c r="AQ1311" s="87"/>
      <c r="AR1311" s="88"/>
      <c r="AS1311" s="87"/>
      <c r="AT1311" s="87"/>
    </row>
    <row r="1312" spans="15:46" x14ac:dyDescent="0.25">
      <c r="O1312" s="49" t="e">
        <f t="shared" si="84"/>
        <v>#N/A</v>
      </c>
      <c r="AE1312" s="42"/>
      <c r="AF1312" s="42"/>
      <c r="AG1312" s="42"/>
      <c r="AH1312" s="42"/>
      <c r="AI1312" s="42"/>
      <c r="AJ1312" s="42"/>
      <c r="AK1312" s="42"/>
      <c r="AO1312" s="86"/>
      <c r="AP1312" s="87"/>
      <c r="AQ1312" s="87"/>
      <c r="AR1312" s="88"/>
      <c r="AS1312" s="87"/>
      <c r="AT1312" s="87"/>
    </row>
    <row r="1313" spans="15:46" x14ac:dyDescent="0.25">
      <c r="O1313" s="49" t="e">
        <f t="shared" si="84"/>
        <v>#N/A</v>
      </c>
      <c r="AE1313" s="42"/>
      <c r="AF1313" s="42"/>
      <c r="AG1313" s="42"/>
      <c r="AH1313" s="42"/>
      <c r="AI1313" s="42"/>
      <c r="AJ1313" s="42"/>
      <c r="AK1313" s="42"/>
      <c r="AO1313" s="86"/>
      <c r="AP1313" s="87"/>
      <c r="AQ1313" s="87"/>
      <c r="AR1313" s="88"/>
      <c r="AS1313" s="87"/>
      <c r="AT1313" s="87"/>
    </row>
    <row r="1314" spans="15:46" x14ac:dyDescent="0.25">
      <c r="O1314" s="49" t="e">
        <f t="shared" si="84"/>
        <v>#N/A</v>
      </c>
      <c r="AE1314" s="42"/>
      <c r="AF1314" s="42"/>
      <c r="AG1314" s="42"/>
      <c r="AH1314" s="42"/>
      <c r="AI1314" s="42"/>
      <c r="AJ1314" s="42"/>
      <c r="AK1314" s="42"/>
      <c r="AO1314" s="86"/>
      <c r="AP1314" s="87"/>
      <c r="AQ1314" s="87"/>
      <c r="AR1314" s="88"/>
      <c r="AS1314" s="87"/>
      <c r="AT1314" s="87"/>
    </row>
    <row r="1315" spans="15:46" x14ac:dyDescent="0.25">
      <c r="O1315" s="49" t="e">
        <f t="shared" si="84"/>
        <v>#N/A</v>
      </c>
      <c r="AE1315" s="42"/>
      <c r="AF1315" s="42"/>
      <c r="AG1315" s="42"/>
      <c r="AH1315" s="42"/>
      <c r="AI1315" s="42"/>
      <c r="AJ1315" s="42"/>
      <c r="AK1315" s="42"/>
      <c r="AO1315" s="86"/>
      <c r="AP1315" s="87"/>
      <c r="AQ1315" s="87"/>
      <c r="AR1315" s="88"/>
      <c r="AS1315" s="87"/>
      <c r="AT1315" s="87"/>
    </row>
    <row r="1316" spans="15:46" x14ac:dyDescent="0.25">
      <c r="O1316" s="49" t="e">
        <f t="shared" si="84"/>
        <v>#N/A</v>
      </c>
      <c r="AE1316" s="42"/>
      <c r="AF1316" s="42"/>
      <c r="AG1316" s="42"/>
      <c r="AH1316" s="42"/>
      <c r="AI1316" s="42"/>
      <c r="AJ1316" s="42"/>
      <c r="AK1316" s="42"/>
      <c r="AO1316" s="86"/>
      <c r="AP1316" s="87"/>
      <c r="AQ1316" s="87"/>
      <c r="AR1316" s="88"/>
      <c r="AS1316" s="87"/>
      <c r="AT1316" s="87"/>
    </row>
    <row r="1317" spans="15:46" x14ac:dyDescent="0.25">
      <c r="O1317" s="49" t="e">
        <f t="shared" si="84"/>
        <v>#N/A</v>
      </c>
      <c r="AE1317" s="42"/>
      <c r="AF1317" s="42"/>
      <c r="AG1317" s="42"/>
      <c r="AH1317" s="42"/>
      <c r="AI1317" s="42"/>
      <c r="AJ1317" s="42"/>
      <c r="AK1317" s="42"/>
      <c r="AO1317" s="86"/>
      <c r="AP1317" s="87"/>
      <c r="AQ1317" s="87"/>
      <c r="AR1317" s="88"/>
      <c r="AS1317" s="87"/>
      <c r="AT1317" s="87"/>
    </row>
    <row r="1318" spans="15:46" x14ac:dyDescent="0.25">
      <c r="O1318" s="49" t="e">
        <f t="shared" si="84"/>
        <v>#N/A</v>
      </c>
      <c r="AE1318" s="42"/>
      <c r="AF1318" s="42"/>
      <c r="AG1318" s="42"/>
      <c r="AH1318" s="42"/>
      <c r="AI1318" s="42"/>
      <c r="AJ1318" s="42"/>
      <c r="AK1318" s="42"/>
      <c r="AO1318" s="86"/>
      <c r="AP1318" s="87"/>
      <c r="AQ1318" s="87"/>
      <c r="AR1318" s="88"/>
      <c r="AS1318" s="87"/>
      <c r="AT1318" s="87"/>
    </row>
    <row r="1319" spans="15:46" x14ac:dyDescent="0.25">
      <c r="O1319" s="49" t="e">
        <f t="shared" si="84"/>
        <v>#N/A</v>
      </c>
      <c r="AE1319" s="42"/>
      <c r="AF1319" s="42"/>
      <c r="AG1319" s="42"/>
      <c r="AH1319" s="42"/>
      <c r="AI1319" s="42"/>
      <c r="AJ1319" s="42"/>
      <c r="AK1319" s="42"/>
      <c r="AO1319" s="86"/>
      <c r="AP1319" s="87"/>
      <c r="AQ1319" s="87"/>
      <c r="AR1319" s="88"/>
      <c r="AS1319" s="87"/>
      <c r="AT1319" s="87"/>
    </row>
    <row r="1320" spans="15:46" x14ac:dyDescent="0.25">
      <c r="O1320" s="49" t="e">
        <f t="shared" si="84"/>
        <v>#N/A</v>
      </c>
      <c r="AE1320" s="42"/>
      <c r="AF1320" s="42"/>
      <c r="AG1320" s="42"/>
      <c r="AH1320" s="42"/>
      <c r="AI1320" s="42"/>
      <c r="AJ1320" s="42"/>
      <c r="AK1320" s="42"/>
      <c r="AO1320" s="86"/>
      <c r="AP1320" s="87"/>
      <c r="AQ1320" s="87"/>
      <c r="AR1320" s="88"/>
      <c r="AS1320" s="87"/>
      <c r="AT1320" s="87"/>
    </row>
    <row r="1321" spans="15:46" x14ac:dyDescent="0.25">
      <c r="O1321" s="49" t="e">
        <f t="shared" si="84"/>
        <v>#N/A</v>
      </c>
      <c r="AE1321" s="42"/>
      <c r="AF1321" s="42"/>
      <c r="AG1321" s="42"/>
      <c r="AH1321" s="42"/>
      <c r="AI1321" s="42"/>
      <c r="AJ1321" s="42"/>
      <c r="AK1321" s="42"/>
      <c r="AO1321" s="86"/>
      <c r="AP1321" s="87"/>
      <c r="AQ1321" s="87"/>
      <c r="AR1321" s="88"/>
      <c r="AS1321" s="87"/>
      <c r="AT1321" s="87"/>
    </row>
    <row r="1322" spans="15:46" x14ac:dyDescent="0.25">
      <c r="O1322" s="49" t="e">
        <f t="shared" si="84"/>
        <v>#N/A</v>
      </c>
      <c r="AE1322" s="42"/>
      <c r="AF1322" s="42"/>
      <c r="AG1322" s="42"/>
      <c r="AH1322" s="42"/>
      <c r="AI1322" s="42"/>
      <c r="AJ1322" s="42"/>
      <c r="AK1322" s="42"/>
      <c r="AO1322" s="86"/>
      <c r="AP1322" s="87"/>
      <c r="AQ1322" s="87"/>
      <c r="AR1322" s="88"/>
      <c r="AS1322" s="87"/>
      <c r="AT1322" s="87"/>
    </row>
    <row r="1323" spans="15:46" x14ac:dyDescent="0.25">
      <c r="O1323" s="49" t="e">
        <f t="shared" si="84"/>
        <v>#N/A</v>
      </c>
      <c r="AE1323" s="42"/>
      <c r="AF1323" s="42"/>
      <c r="AG1323" s="42"/>
      <c r="AH1323" s="42"/>
      <c r="AI1323" s="42"/>
      <c r="AJ1323" s="42"/>
      <c r="AK1323" s="42"/>
      <c r="AO1323" s="86"/>
      <c r="AP1323" s="87"/>
      <c r="AQ1323" s="87"/>
      <c r="AR1323" s="88"/>
      <c r="AS1323" s="87"/>
      <c r="AT1323" s="87"/>
    </row>
    <row r="1324" spans="15:46" x14ac:dyDescent="0.25">
      <c r="O1324" s="49" t="e">
        <f t="shared" si="84"/>
        <v>#N/A</v>
      </c>
      <c r="AE1324" s="42"/>
      <c r="AF1324" s="42"/>
      <c r="AG1324" s="42"/>
      <c r="AH1324" s="42"/>
      <c r="AI1324" s="42"/>
      <c r="AJ1324" s="42"/>
      <c r="AK1324" s="42"/>
      <c r="AO1324" s="86"/>
      <c r="AP1324" s="87"/>
      <c r="AQ1324" s="87"/>
      <c r="AR1324" s="88"/>
      <c r="AS1324" s="87"/>
      <c r="AT1324" s="87"/>
    </row>
    <row r="1325" spans="15:46" x14ac:dyDescent="0.25">
      <c r="O1325" s="49" t="e">
        <f t="shared" si="84"/>
        <v>#N/A</v>
      </c>
      <c r="AE1325" s="42"/>
      <c r="AF1325" s="42"/>
      <c r="AG1325" s="42"/>
      <c r="AH1325" s="42"/>
      <c r="AI1325" s="42"/>
      <c r="AJ1325" s="42"/>
      <c r="AK1325" s="42"/>
      <c r="AO1325" s="86"/>
      <c r="AP1325" s="87"/>
      <c r="AQ1325" s="87"/>
      <c r="AR1325" s="88"/>
      <c r="AS1325" s="87"/>
      <c r="AT1325" s="87"/>
    </row>
    <row r="1326" spans="15:46" x14ac:dyDescent="0.25">
      <c r="O1326" s="49" t="e">
        <f t="shared" si="84"/>
        <v>#N/A</v>
      </c>
      <c r="AE1326" s="42"/>
      <c r="AF1326" s="42"/>
      <c r="AG1326" s="42"/>
      <c r="AH1326" s="42"/>
      <c r="AI1326" s="42"/>
      <c r="AJ1326" s="42"/>
      <c r="AK1326" s="42"/>
      <c r="AO1326" s="86"/>
      <c r="AP1326" s="87"/>
      <c r="AQ1326" s="87"/>
      <c r="AR1326" s="88"/>
      <c r="AS1326" s="87"/>
      <c r="AT1326" s="87"/>
    </row>
    <row r="1327" spans="15:46" x14ac:dyDescent="0.25">
      <c r="O1327" s="49" t="e">
        <f t="shared" si="84"/>
        <v>#N/A</v>
      </c>
      <c r="AE1327" s="42"/>
      <c r="AF1327" s="42"/>
      <c r="AG1327" s="42"/>
      <c r="AH1327" s="42"/>
      <c r="AI1327" s="42"/>
      <c r="AJ1327" s="42"/>
      <c r="AK1327" s="42"/>
      <c r="AO1327" s="86"/>
      <c r="AP1327" s="87"/>
      <c r="AQ1327" s="87"/>
      <c r="AR1327" s="88"/>
      <c r="AS1327" s="87"/>
      <c r="AT1327" s="87"/>
    </row>
    <row r="1328" spans="15:46" x14ac:dyDescent="0.25">
      <c r="O1328" s="49" t="e">
        <f t="shared" si="84"/>
        <v>#N/A</v>
      </c>
      <c r="AE1328" s="42"/>
      <c r="AF1328" s="42"/>
      <c r="AG1328" s="42"/>
      <c r="AH1328" s="42"/>
      <c r="AI1328" s="42"/>
      <c r="AJ1328" s="42"/>
      <c r="AK1328" s="42"/>
      <c r="AO1328" s="86"/>
      <c r="AP1328" s="87"/>
      <c r="AQ1328" s="87"/>
      <c r="AR1328" s="88"/>
      <c r="AS1328" s="87"/>
      <c r="AT1328" s="87"/>
    </row>
    <row r="1329" spans="15:46" x14ac:dyDescent="0.25">
      <c r="O1329" s="49" t="e">
        <f t="shared" si="84"/>
        <v>#N/A</v>
      </c>
      <c r="AE1329" s="42"/>
      <c r="AF1329" s="42"/>
      <c r="AG1329" s="42"/>
      <c r="AH1329" s="42"/>
      <c r="AI1329" s="42"/>
      <c r="AJ1329" s="42"/>
      <c r="AK1329" s="42"/>
      <c r="AO1329" s="86"/>
      <c r="AP1329" s="87"/>
      <c r="AQ1329" s="87"/>
      <c r="AR1329" s="88"/>
      <c r="AS1329" s="87"/>
      <c r="AT1329" s="87"/>
    </row>
    <row r="1330" spans="15:46" x14ac:dyDescent="0.25">
      <c r="O1330" s="49" t="e">
        <f t="shared" si="84"/>
        <v>#N/A</v>
      </c>
      <c r="AE1330" s="42"/>
      <c r="AF1330" s="42"/>
      <c r="AG1330" s="42"/>
      <c r="AH1330" s="42"/>
      <c r="AI1330" s="42"/>
      <c r="AJ1330" s="42"/>
      <c r="AK1330" s="42"/>
      <c r="AO1330" s="86"/>
      <c r="AP1330" s="87"/>
      <c r="AQ1330" s="87"/>
      <c r="AR1330" s="88"/>
      <c r="AS1330" s="87"/>
      <c r="AT1330" s="87"/>
    </row>
    <row r="1331" spans="15:46" x14ac:dyDescent="0.25">
      <c r="O1331" s="49" t="e">
        <f t="shared" si="84"/>
        <v>#N/A</v>
      </c>
      <c r="AE1331" s="42"/>
      <c r="AF1331" s="42"/>
      <c r="AG1331" s="42"/>
      <c r="AH1331" s="42"/>
      <c r="AI1331" s="42"/>
      <c r="AJ1331" s="42"/>
      <c r="AK1331" s="42"/>
      <c r="AO1331" s="86"/>
      <c r="AP1331" s="87"/>
      <c r="AQ1331" s="87"/>
      <c r="AR1331" s="88"/>
      <c r="AS1331" s="87"/>
      <c r="AT1331" s="87"/>
    </row>
    <row r="1332" spans="15:46" x14ac:dyDescent="0.25">
      <c r="O1332" s="49" t="e">
        <f t="shared" si="84"/>
        <v>#N/A</v>
      </c>
      <c r="AE1332" s="42"/>
      <c r="AF1332" s="42"/>
      <c r="AG1332" s="42"/>
      <c r="AH1332" s="42"/>
      <c r="AI1332" s="42"/>
      <c r="AJ1332" s="42"/>
      <c r="AK1332" s="42"/>
      <c r="AO1332" s="86"/>
      <c r="AP1332" s="87"/>
      <c r="AQ1332" s="87"/>
      <c r="AR1332" s="88"/>
      <c r="AS1332" s="87"/>
      <c r="AT1332" s="87"/>
    </row>
    <row r="1333" spans="15:46" x14ac:dyDescent="0.25">
      <c r="O1333" s="49" t="e">
        <f t="shared" si="84"/>
        <v>#N/A</v>
      </c>
      <c r="AE1333" s="42"/>
      <c r="AF1333" s="42"/>
      <c r="AG1333" s="42"/>
      <c r="AH1333" s="42"/>
      <c r="AI1333" s="42"/>
      <c r="AJ1333" s="42"/>
      <c r="AK1333" s="42"/>
      <c r="AO1333" s="86"/>
      <c r="AP1333" s="87"/>
      <c r="AQ1333" s="87"/>
      <c r="AR1333" s="88"/>
      <c r="AS1333" s="87"/>
      <c r="AT1333" s="87"/>
    </row>
    <row r="1334" spans="15:46" x14ac:dyDescent="0.25">
      <c r="O1334" s="49" t="e">
        <f t="shared" si="84"/>
        <v>#N/A</v>
      </c>
      <c r="AE1334" s="42"/>
      <c r="AF1334" s="42"/>
      <c r="AG1334" s="42"/>
      <c r="AH1334" s="42"/>
      <c r="AI1334" s="42"/>
      <c r="AJ1334" s="42"/>
      <c r="AK1334" s="42"/>
      <c r="AO1334" s="86"/>
      <c r="AP1334" s="87"/>
      <c r="AQ1334" s="87"/>
      <c r="AR1334" s="88"/>
      <c r="AS1334" s="87"/>
      <c r="AT1334" s="87"/>
    </row>
    <row r="1335" spans="15:46" x14ac:dyDescent="0.25">
      <c r="O1335" s="49" t="e">
        <f t="shared" si="84"/>
        <v>#N/A</v>
      </c>
      <c r="AE1335" s="42"/>
      <c r="AF1335" s="42"/>
      <c r="AG1335" s="42"/>
      <c r="AH1335" s="42"/>
      <c r="AI1335" s="42"/>
      <c r="AJ1335" s="42"/>
      <c r="AK1335" s="42"/>
      <c r="AO1335" s="86"/>
      <c r="AP1335" s="87"/>
      <c r="AQ1335" s="87"/>
      <c r="AR1335" s="88"/>
      <c r="AS1335" s="87"/>
      <c r="AT1335" s="87"/>
    </row>
    <row r="1336" spans="15:46" x14ac:dyDescent="0.25">
      <c r="O1336" s="49" t="e">
        <f t="shared" si="84"/>
        <v>#N/A</v>
      </c>
      <c r="AE1336" s="42"/>
      <c r="AF1336" s="42"/>
      <c r="AG1336" s="42"/>
      <c r="AH1336" s="42"/>
      <c r="AI1336" s="42"/>
      <c r="AJ1336" s="42"/>
      <c r="AK1336" s="42"/>
      <c r="AO1336" s="86"/>
      <c r="AP1336" s="87"/>
      <c r="AQ1336" s="87"/>
      <c r="AR1336" s="88"/>
      <c r="AS1336" s="87"/>
      <c r="AT1336" s="87"/>
    </row>
    <row r="1337" spans="15:46" x14ac:dyDescent="0.25">
      <c r="O1337" s="49" t="e">
        <f t="shared" si="84"/>
        <v>#N/A</v>
      </c>
      <c r="AE1337" s="42"/>
      <c r="AF1337" s="42"/>
      <c r="AG1337" s="42"/>
      <c r="AH1337" s="42"/>
      <c r="AI1337" s="42"/>
      <c r="AJ1337" s="42"/>
      <c r="AK1337" s="42"/>
      <c r="AO1337" s="86"/>
      <c r="AP1337" s="87"/>
      <c r="AQ1337" s="87"/>
      <c r="AR1337" s="88"/>
      <c r="AS1337" s="87"/>
      <c r="AT1337" s="87"/>
    </row>
    <row r="1338" spans="15:46" x14ac:dyDescent="0.25">
      <c r="O1338" s="49" t="e">
        <f t="shared" si="84"/>
        <v>#N/A</v>
      </c>
      <c r="AE1338" s="42"/>
      <c r="AF1338" s="42"/>
      <c r="AG1338" s="42"/>
      <c r="AH1338" s="42"/>
      <c r="AI1338" s="42"/>
      <c r="AJ1338" s="42"/>
      <c r="AK1338" s="42"/>
      <c r="AO1338" s="86"/>
      <c r="AP1338" s="87"/>
      <c r="AQ1338" s="87"/>
      <c r="AR1338" s="88"/>
      <c r="AS1338" s="87"/>
      <c r="AT1338" s="87"/>
    </row>
    <row r="1339" spans="15:46" x14ac:dyDescent="0.25">
      <c r="O1339" s="49" t="e">
        <f t="shared" si="84"/>
        <v>#N/A</v>
      </c>
      <c r="AE1339" s="42"/>
      <c r="AF1339" s="42"/>
      <c r="AG1339" s="42"/>
      <c r="AH1339" s="42"/>
      <c r="AI1339" s="42"/>
      <c r="AJ1339" s="42"/>
      <c r="AK1339" s="42"/>
      <c r="AO1339" s="86"/>
      <c r="AP1339" s="87"/>
      <c r="AQ1339" s="87"/>
      <c r="AR1339" s="88"/>
      <c r="AS1339" s="87"/>
      <c r="AT1339" s="87"/>
    </row>
    <row r="1340" spans="15:46" x14ac:dyDescent="0.25">
      <c r="O1340" s="49" t="e">
        <f t="shared" si="84"/>
        <v>#N/A</v>
      </c>
      <c r="AE1340" s="42"/>
      <c r="AF1340" s="42"/>
      <c r="AG1340" s="42"/>
      <c r="AH1340" s="42"/>
      <c r="AI1340" s="42"/>
      <c r="AJ1340" s="42"/>
      <c r="AK1340" s="42"/>
      <c r="AO1340" s="86"/>
      <c r="AP1340" s="87"/>
      <c r="AQ1340" s="87"/>
      <c r="AR1340" s="88"/>
      <c r="AS1340" s="87"/>
      <c r="AT1340" s="87"/>
    </row>
    <row r="1341" spans="15:46" x14ac:dyDescent="0.25">
      <c r="O1341" s="49" t="e">
        <f t="shared" si="84"/>
        <v>#N/A</v>
      </c>
      <c r="AE1341" s="42"/>
      <c r="AF1341" s="42"/>
      <c r="AG1341" s="42"/>
      <c r="AH1341" s="42"/>
      <c r="AI1341" s="42"/>
      <c r="AJ1341" s="42"/>
      <c r="AK1341" s="42"/>
      <c r="AO1341" s="86"/>
      <c r="AP1341" s="87"/>
      <c r="AQ1341" s="87"/>
      <c r="AR1341" s="88"/>
      <c r="AS1341" s="87"/>
      <c r="AT1341" s="87"/>
    </row>
    <row r="1342" spans="15:46" x14ac:dyDescent="0.25">
      <c r="O1342" s="49" t="e">
        <f t="shared" si="84"/>
        <v>#N/A</v>
      </c>
      <c r="AE1342" s="42"/>
      <c r="AF1342" s="42"/>
      <c r="AG1342" s="42"/>
      <c r="AH1342" s="42"/>
      <c r="AI1342" s="42"/>
      <c r="AJ1342" s="42"/>
      <c r="AK1342" s="42"/>
      <c r="AO1342" s="86"/>
      <c r="AP1342" s="87"/>
      <c r="AQ1342" s="87"/>
      <c r="AR1342" s="88"/>
      <c r="AS1342" s="87"/>
      <c r="AT1342" s="87"/>
    </row>
    <row r="1343" spans="15:46" x14ac:dyDescent="0.25">
      <c r="O1343" s="49" t="e">
        <f t="shared" si="84"/>
        <v>#N/A</v>
      </c>
      <c r="AE1343" s="42"/>
      <c r="AF1343" s="42"/>
      <c r="AG1343" s="42"/>
      <c r="AH1343" s="42"/>
      <c r="AI1343" s="42"/>
      <c r="AJ1343" s="42"/>
      <c r="AK1343" s="42"/>
      <c r="AO1343" s="86"/>
      <c r="AP1343" s="87"/>
      <c r="AQ1343" s="87"/>
      <c r="AR1343" s="88"/>
      <c r="AS1343" s="87"/>
      <c r="AT1343" s="87"/>
    </row>
    <row r="1344" spans="15:46" x14ac:dyDescent="0.25">
      <c r="O1344" s="49" t="e">
        <f t="shared" si="84"/>
        <v>#N/A</v>
      </c>
      <c r="AE1344" s="42"/>
      <c r="AF1344" s="42"/>
      <c r="AG1344" s="42"/>
      <c r="AH1344" s="42"/>
      <c r="AI1344" s="42"/>
      <c r="AJ1344" s="42"/>
      <c r="AK1344" s="42"/>
      <c r="AO1344" s="86"/>
      <c r="AP1344" s="87"/>
      <c r="AQ1344" s="87"/>
      <c r="AR1344" s="88"/>
      <c r="AS1344" s="87"/>
      <c r="AT1344" s="87"/>
    </row>
    <row r="1345" spans="15:46" x14ac:dyDescent="0.25">
      <c r="O1345" s="49" t="e">
        <f t="shared" si="84"/>
        <v>#N/A</v>
      </c>
      <c r="AE1345" s="42"/>
      <c r="AF1345" s="42"/>
      <c r="AG1345" s="42"/>
      <c r="AH1345" s="42"/>
      <c r="AI1345" s="42"/>
      <c r="AJ1345" s="42"/>
      <c r="AK1345" s="42"/>
      <c r="AO1345" s="86"/>
      <c r="AP1345" s="87"/>
      <c r="AQ1345" s="87"/>
      <c r="AR1345" s="88"/>
      <c r="AS1345" s="87"/>
      <c r="AT1345" s="87"/>
    </row>
    <row r="1346" spans="15:46" x14ac:dyDescent="0.25">
      <c r="O1346" s="49" t="e">
        <f t="shared" si="84"/>
        <v>#N/A</v>
      </c>
      <c r="AE1346" s="42"/>
      <c r="AF1346" s="42"/>
      <c r="AG1346" s="42"/>
      <c r="AH1346" s="42"/>
      <c r="AI1346" s="42"/>
      <c r="AJ1346" s="42"/>
      <c r="AK1346" s="42"/>
      <c r="AO1346" s="86"/>
      <c r="AP1346" s="87"/>
      <c r="AQ1346" s="87"/>
      <c r="AR1346" s="88"/>
      <c r="AS1346" s="87"/>
      <c r="AT1346" s="87"/>
    </row>
    <row r="1347" spans="15:46" x14ac:dyDescent="0.25">
      <c r="O1347" s="49" t="e">
        <f t="shared" si="84"/>
        <v>#N/A</v>
      </c>
      <c r="AE1347" s="42"/>
      <c r="AF1347" s="42"/>
      <c r="AG1347" s="42"/>
      <c r="AH1347" s="42"/>
      <c r="AI1347" s="42"/>
      <c r="AJ1347" s="42"/>
      <c r="AK1347" s="42"/>
      <c r="AO1347" s="86"/>
      <c r="AP1347" s="87"/>
      <c r="AQ1347" s="87"/>
      <c r="AR1347" s="88"/>
      <c r="AS1347" s="87"/>
      <c r="AT1347" s="87"/>
    </row>
    <row r="1348" spans="15:46" x14ac:dyDescent="0.25">
      <c r="O1348" s="49" t="e">
        <f t="shared" si="84"/>
        <v>#N/A</v>
      </c>
      <c r="AE1348" s="42"/>
      <c r="AF1348" s="42"/>
      <c r="AG1348" s="42"/>
      <c r="AH1348" s="42"/>
      <c r="AI1348" s="42"/>
      <c r="AJ1348" s="42"/>
      <c r="AK1348" s="42"/>
      <c r="AO1348" s="86"/>
      <c r="AP1348" s="87"/>
      <c r="AQ1348" s="87"/>
      <c r="AR1348" s="88"/>
      <c r="AS1348" s="87"/>
      <c r="AT1348" s="87"/>
    </row>
    <row r="1349" spans="15:46" x14ac:dyDescent="0.25">
      <c r="O1349" s="49" t="e">
        <f t="shared" si="84"/>
        <v>#N/A</v>
      </c>
      <c r="AE1349" s="42"/>
      <c r="AF1349" s="42"/>
      <c r="AG1349" s="42"/>
      <c r="AH1349" s="42"/>
      <c r="AI1349" s="42"/>
      <c r="AJ1349" s="42"/>
      <c r="AK1349" s="42"/>
      <c r="AO1349" s="86"/>
      <c r="AP1349" s="87"/>
      <c r="AQ1349" s="87"/>
      <c r="AR1349" s="88"/>
      <c r="AS1349" s="87"/>
      <c r="AT1349" s="87"/>
    </row>
    <row r="1350" spans="15:46" x14ac:dyDescent="0.25">
      <c r="O1350" s="49" t="e">
        <f t="shared" si="84"/>
        <v>#N/A</v>
      </c>
      <c r="AE1350" s="42"/>
      <c r="AF1350" s="42"/>
      <c r="AG1350" s="42"/>
      <c r="AH1350" s="42"/>
      <c r="AI1350" s="42"/>
      <c r="AJ1350" s="42"/>
      <c r="AK1350" s="42"/>
      <c r="AO1350" s="86"/>
      <c r="AP1350" s="87"/>
      <c r="AQ1350" s="87"/>
      <c r="AR1350" s="88"/>
      <c r="AS1350" s="87"/>
      <c r="AT1350" s="87"/>
    </row>
    <row r="1351" spans="15:46" x14ac:dyDescent="0.25">
      <c r="O1351" s="49" t="e">
        <f t="shared" si="84"/>
        <v>#N/A</v>
      </c>
      <c r="AE1351" s="42"/>
      <c r="AF1351" s="42"/>
      <c r="AG1351" s="42"/>
      <c r="AH1351" s="42"/>
      <c r="AI1351" s="42"/>
      <c r="AJ1351" s="42"/>
      <c r="AK1351" s="42"/>
      <c r="AO1351" s="86"/>
      <c r="AP1351" s="87"/>
      <c r="AQ1351" s="87"/>
      <c r="AR1351" s="88"/>
      <c r="AS1351" s="87"/>
      <c r="AT1351" s="87"/>
    </row>
    <row r="1352" spans="15:46" x14ac:dyDescent="0.25">
      <c r="O1352" s="49" t="e">
        <f t="shared" si="84"/>
        <v>#N/A</v>
      </c>
      <c r="AE1352" s="42"/>
      <c r="AF1352" s="42"/>
      <c r="AG1352" s="42"/>
      <c r="AH1352" s="42"/>
      <c r="AI1352" s="42"/>
      <c r="AJ1352" s="42"/>
      <c r="AK1352" s="42"/>
      <c r="AO1352" s="86"/>
      <c r="AP1352" s="87"/>
      <c r="AQ1352" s="87"/>
      <c r="AR1352" s="88"/>
      <c r="AS1352" s="87"/>
      <c r="AT1352" s="87"/>
    </row>
    <row r="1353" spans="15:46" x14ac:dyDescent="0.25">
      <c r="O1353" s="49" t="e">
        <f t="shared" si="84"/>
        <v>#N/A</v>
      </c>
      <c r="AE1353" s="42"/>
      <c r="AF1353" s="42"/>
      <c r="AG1353" s="42"/>
      <c r="AH1353" s="42"/>
      <c r="AI1353" s="42"/>
      <c r="AJ1353" s="42"/>
      <c r="AK1353" s="42"/>
      <c r="AO1353" s="86"/>
      <c r="AP1353" s="87"/>
      <c r="AQ1353" s="87"/>
      <c r="AR1353" s="88"/>
      <c r="AS1353" s="87"/>
      <c r="AT1353" s="87"/>
    </row>
    <row r="1354" spans="15:46" x14ac:dyDescent="0.25">
      <c r="O1354" s="49" t="e">
        <f t="shared" si="84"/>
        <v>#N/A</v>
      </c>
      <c r="AE1354" s="42"/>
      <c r="AF1354" s="42"/>
      <c r="AG1354" s="42"/>
      <c r="AH1354" s="42"/>
      <c r="AI1354" s="42"/>
      <c r="AJ1354" s="42"/>
      <c r="AK1354" s="42"/>
      <c r="AO1354" s="86"/>
      <c r="AP1354" s="87"/>
      <c r="AQ1354" s="87"/>
      <c r="AR1354" s="88"/>
      <c r="AS1354" s="87"/>
      <c r="AT1354" s="87"/>
    </row>
    <row r="1355" spans="15:46" x14ac:dyDescent="0.25">
      <c r="O1355" s="49" t="e">
        <f t="shared" si="84"/>
        <v>#N/A</v>
      </c>
      <c r="AE1355" s="42"/>
      <c r="AF1355" s="42"/>
      <c r="AG1355" s="42"/>
      <c r="AH1355" s="42"/>
      <c r="AI1355" s="42"/>
      <c r="AJ1355" s="42"/>
      <c r="AK1355" s="42"/>
      <c r="AO1355" s="86"/>
      <c r="AP1355" s="87"/>
      <c r="AQ1355" s="87"/>
      <c r="AR1355" s="88"/>
      <c r="AS1355" s="87"/>
      <c r="AT1355" s="87"/>
    </row>
    <row r="1356" spans="15:46" x14ac:dyDescent="0.25">
      <c r="O1356" s="49" t="e">
        <f t="shared" si="84"/>
        <v>#N/A</v>
      </c>
      <c r="AE1356" s="42"/>
      <c r="AF1356" s="42"/>
      <c r="AG1356" s="42"/>
      <c r="AH1356" s="42"/>
      <c r="AI1356" s="42"/>
      <c r="AJ1356" s="42"/>
      <c r="AK1356" s="42"/>
      <c r="AO1356" s="86"/>
      <c r="AP1356" s="87"/>
      <c r="AQ1356" s="87"/>
      <c r="AR1356" s="88"/>
      <c r="AS1356" s="87"/>
      <c r="AT1356" s="87"/>
    </row>
    <row r="1357" spans="15:46" x14ac:dyDescent="0.25">
      <c r="O1357" s="49" t="e">
        <f t="shared" si="84"/>
        <v>#N/A</v>
      </c>
      <c r="AE1357" s="42"/>
      <c r="AF1357" s="42"/>
      <c r="AG1357" s="42"/>
      <c r="AH1357" s="42"/>
      <c r="AI1357" s="42"/>
      <c r="AJ1357" s="42"/>
      <c r="AK1357" s="42"/>
      <c r="AO1357" s="86"/>
      <c r="AP1357" s="87"/>
      <c r="AQ1357" s="87"/>
      <c r="AR1357" s="88"/>
      <c r="AS1357" s="87"/>
      <c r="AT1357" s="87"/>
    </row>
    <row r="1358" spans="15:46" x14ac:dyDescent="0.25">
      <c r="O1358" s="49" t="e">
        <f t="shared" si="84"/>
        <v>#N/A</v>
      </c>
      <c r="AE1358" s="42"/>
      <c r="AF1358" s="42"/>
      <c r="AG1358" s="42"/>
      <c r="AH1358" s="42"/>
      <c r="AI1358" s="42"/>
      <c r="AJ1358" s="42"/>
      <c r="AK1358" s="42"/>
      <c r="AO1358" s="86"/>
      <c r="AP1358" s="87"/>
      <c r="AQ1358" s="87"/>
      <c r="AR1358" s="88"/>
      <c r="AS1358" s="87"/>
      <c r="AT1358" s="87"/>
    </row>
    <row r="1359" spans="15:46" x14ac:dyDescent="0.25">
      <c r="O1359" s="49" t="e">
        <f t="shared" si="84"/>
        <v>#N/A</v>
      </c>
      <c r="AE1359" s="42"/>
      <c r="AF1359" s="42"/>
      <c r="AG1359" s="42"/>
      <c r="AH1359" s="42"/>
      <c r="AI1359" s="42"/>
      <c r="AJ1359" s="42"/>
      <c r="AK1359" s="42"/>
      <c r="AO1359" s="86"/>
      <c r="AP1359" s="87"/>
      <c r="AQ1359" s="87"/>
      <c r="AR1359" s="88"/>
      <c r="AS1359" s="87"/>
      <c r="AT1359" s="87"/>
    </row>
    <row r="1360" spans="15:46" x14ac:dyDescent="0.25">
      <c r="O1360" s="49" t="e">
        <f t="shared" si="84"/>
        <v>#N/A</v>
      </c>
      <c r="AE1360" s="42"/>
      <c r="AF1360" s="42"/>
      <c r="AG1360" s="42"/>
      <c r="AH1360" s="42"/>
      <c r="AI1360" s="42"/>
      <c r="AJ1360" s="42"/>
      <c r="AK1360" s="42"/>
      <c r="AO1360" s="86"/>
      <c r="AP1360" s="87"/>
      <c r="AQ1360" s="87"/>
      <c r="AR1360" s="88"/>
      <c r="AS1360" s="87"/>
      <c r="AT1360" s="87"/>
    </row>
    <row r="1361" spans="15:46" x14ac:dyDescent="0.25">
      <c r="O1361" s="49" t="e">
        <f t="shared" si="84"/>
        <v>#N/A</v>
      </c>
      <c r="AE1361" s="42"/>
      <c r="AF1361" s="42"/>
      <c r="AG1361" s="42"/>
      <c r="AH1361" s="42"/>
      <c r="AI1361" s="42"/>
      <c r="AJ1361" s="42"/>
      <c r="AK1361" s="42"/>
      <c r="AO1361" s="86"/>
      <c r="AP1361" s="87"/>
      <c r="AQ1361" s="87"/>
      <c r="AR1361" s="88"/>
      <c r="AS1361" s="87"/>
      <c r="AT1361" s="87"/>
    </row>
    <row r="1362" spans="15:46" x14ac:dyDescent="0.25">
      <c r="O1362" s="49" t="e">
        <f t="shared" si="84"/>
        <v>#N/A</v>
      </c>
      <c r="AE1362" s="42"/>
      <c r="AF1362" s="42"/>
      <c r="AG1362" s="42"/>
      <c r="AH1362" s="42"/>
      <c r="AI1362" s="42"/>
      <c r="AJ1362" s="42"/>
      <c r="AK1362" s="42"/>
      <c r="AO1362" s="86"/>
      <c r="AP1362" s="87"/>
      <c r="AQ1362" s="87"/>
      <c r="AR1362" s="88"/>
      <c r="AS1362" s="87"/>
      <c r="AT1362" s="87"/>
    </row>
    <row r="1363" spans="15:46" x14ac:dyDescent="0.25">
      <c r="O1363" s="49" t="e">
        <f t="shared" si="84"/>
        <v>#N/A</v>
      </c>
      <c r="AE1363" s="42"/>
      <c r="AF1363" s="42"/>
      <c r="AG1363" s="42"/>
      <c r="AH1363" s="42"/>
      <c r="AI1363" s="42"/>
      <c r="AJ1363" s="42"/>
      <c r="AK1363" s="42"/>
      <c r="AO1363" s="86"/>
      <c r="AP1363" s="87"/>
      <c r="AQ1363" s="87"/>
      <c r="AR1363" s="88"/>
      <c r="AS1363" s="87"/>
      <c r="AT1363" s="87"/>
    </row>
    <row r="1364" spans="15:46" x14ac:dyDescent="0.25">
      <c r="O1364" s="49" t="e">
        <f t="shared" si="84"/>
        <v>#N/A</v>
      </c>
      <c r="AE1364" s="42"/>
      <c r="AF1364" s="42"/>
      <c r="AG1364" s="42"/>
      <c r="AH1364" s="42"/>
      <c r="AI1364" s="42"/>
      <c r="AJ1364" s="42"/>
      <c r="AK1364" s="42"/>
      <c r="AO1364" s="86"/>
      <c r="AP1364" s="87"/>
      <c r="AQ1364" s="87"/>
      <c r="AR1364" s="88"/>
      <c r="AS1364" s="87"/>
      <c r="AT1364" s="87"/>
    </row>
    <row r="1365" spans="15:46" x14ac:dyDescent="0.25">
      <c r="O1365" s="49" t="e">
        <f t="shared" si="84"/>
        <v>#N/A</v>
      </c>
      <c r="AE1365" s="42"/>
      <c r="AF1365" s="42"/>
      <c r="AG1365" s="42"/>
      <c r="AH1365" s="42"/>
      <c r="AI1365" s="42"/>
      <c r="AJ1365" s="42"/>
      <c r="AK1365" s="42"/>
      <c r="AO1365" s="86"/>
      <c r="AP1365" s="87"/>
      <c r="AQ1365" s="87"/>
      <c r="AR1365" s="88"/>
      <c r="AS1365" s="87"/>
      <c r="AT1365" s="87"/>
    </row>
    <row r="1366" spans="15:46" x14ac:dyDescent="0.25">
      <c r="O1366" s="49" t="e">
        <f t="shared" si="84"/>
        <v>#N/A</v>
      </c>
      <c r="AE1366" s="42"/>
      <c r="AF1366" s="42"/>
      <c r="AG1366" s="42"/>
      <c r="AH1366" s="42"/>
      <c r="AI1366" s="42"/>
      <c r="AJ1366" s="42"/>
      <c r="AK1366" s="42"/>
      <c r="AO1366" s="86"/>
      <c r="AP1366" s="87"/>
      <c r="AQ1366" s="87"/>
      <c r="AR1366" s="88"/>
      <c r="AS1366" s="87"/>
      <c r="AT1366" s="87"/>
    </row>
    <row r="1367" spans="15:46" x14ac:dyDescent="0.25">
      <c r="O1367" s="49" t="e">
        <f t="shared" ref="O1367:O1430" si="85">IF(ISTEXT(N1367),IF(MID(N1367,11,2)="24",1+DATEVALUE(LEFT(N1367,10))+TIMEVALUE(CONCATENATE(MID(N1367,11,2),":",MID(N1367,13,2))),DATEVALUE(LEFT(N1367,10))+TIMEVALUE(CONCATENATE(MID(N1367,11,2),":",MID(N1367,13,2)))),#N/A)</f>
        <v>#N/A</v>
      </c>
      <c r="AE1367" s="42"/>
      <c r="AF1367" s="42"/>
      <c r="AG1367" s="42"/>
      <c r="AH1367" s="42"/>
      <c r="AI1367" s="42"/>
      <c r="AJ1367" s="42"/>
      <c r="AK1367" s="42"/>
      <c r="AO1367" s="86"/>
      <c r="AP1367" s="87"/>
      <c r="AQ1367" s="87"/>
      <c r="AR1367" s="88"/>
      <c r="AS1367" s="87"/>
      <c r="AT1367" s="87"/>
    </row>
    <row r="1368" spans="15:46" x14ac:dyDescent="0.25">
      <c r="O1368" s="49" t="e">
        <f t="shared" si="85"/>
        <v>#N/A</v>
      </c>
      <c r="AE1368" s="42"/>
      <c r="AF1368" s="42"/>
      <c r="AG1368" s="42"/>
      <c r="AH1368" s="42"/>
      <c r="AI1368" s="42"/>
      <c r="AJ1368" s="42"/>
      <c r="AK1368" s="42"/>
      <c r="AO1368" s="86"/>
      <c r="AP1368" s="87"/>
      <c r="AQ1368" s="87"/>
      <c r="AR1368" s="88"/>
      <c r="AS1368" s="87"/>
      <c r="AT1368" s="87"/>
    </row>
    <row r="1369" spans="15:46" x14ac:dyDescent="0.25">
      <c r="O1369" s="49" t="e">
        <f t="shared" si="85"/>
        <v>#N/A</v>
      </c>
      <c r="AE1369" s="42"/>
      <c r="AF1369" s="42"/>
      <c r="AG1369" s="42"/>
      <c r="AH1369" s="42"/>
      <c r="AI1369" s="42"/>
      <c r="AJ1369" s="42"/>
      <c r="AK1369" s="42"/>
      <c r="AO1369" s="86"/>
      <c r="AP1369" s="87"/>
      <c r="AQ1369" s="87"/>
      <c r="AR1369" s="88"/>
      <c r="AS1369" s="87"/>
      <c r="AT1369" s="87"/>
    </row>
    <row r="1370" spans="15:46" x14ac:dyDescent="0.25">
      <c r="O1370" s="49" t="e">
        <f t="shared" si="85"/>
        <v>#N/A</v>
      </c>
      <c r="AE1370" s="42"/>
      <c r="AF1370" s="42"/>
      <c r="AG1370" s="42"/>
      <c r="AH1370" s="42"/>
      <c r="AI1370" s="42"/>
      <c r="AJ1370" s="42"/>
      <c r="AK1370" s="42"/>
      <c r="AO1370" s="86"/>
      <c r="AP1370" s="87"/>
      <c r="AQ1370" s="87"/>
      <c r="AR1370" s="88"/>
      <c r="AS1370" s="87"/>
      <c r="AT1370" s="87"/>
    </row>
    <row r="1371" spans="15:46" x14ac:dyDescent="0.25">
      <c r="O1371" s="49" t="e">
        <f t="shared" si="85"/>
        <v>#N/A</v>
      </c>
      <c r="AE1371" s="42"/>
      <c r="AF1371" s="42"/>
      <c r="AG1371" s="42"/>
      <c r="AH1371" s="42"/>
      <c r="AI1371" s="42"/>
      <c r="AJ1371" s="42"/>
      <c r="AK1371" s="42"/>
      <c r="AO1371" s="86"/>
      <c r="AP1371" s="87"/>
      <c r="AQ1371" s="87"/>
      <c r="AR1371" s="88"/>
      <c r="AS1371" s="87"/>
      <c r="AT1371" s="87"/>
    </row>
    <row r="1372" spans="15:46" x14ac:dyDescent="0.25">
      <c r="O1372" s="49" t="e">
        <f t="shared" si="85"/>
        <v>#N/A</v>
      </c>
      <c r="AE1372" s="42"/>
      <c r="AF1372" s="42"/>
      <c r="AG1372" s="42"/>
      <c r="AH1372" s="42"/>
      <c r="AI1372" s="42"/>
      <c r="AJ1372" s="42"/>
      <c r="AK1372" s="42"/>
      <c r="AO1372" s="86"/>
      <c r="AP1372" s="87"/>
      <c r="AQ1372" s="87"/>
      <c r="AR1372" s="88"/>
      <c r="AS1372" s="87"/>
      <c r="AT1372" s="87"/>
    </row>
    <row r="1373" spans="15:46" x14ac:dyDescent="0.25">
      <c r="O1373" s="49" t="e">
        <f t="shared" si="85"/>
        <v>#N/A</v>
      </c>
      <c r="AE1373" s="42"/>
      <c r="AF1373" s="42"/>
      <c r="AG1373" s="42"/>
      <c r="AH1373" s="42"/>
      <c r="AI1373" s="42"/>
      <c r="AJ1373" s="42"/>
      <c r="AK1373" s="42"/>
      <c r="AO1373" s="86"/>
      <c r="AP1373" s="87"/>
      <c r="AQ1373" s="87"/>
      <c r="AR1373" s="88"/>
      <c r="AS1373" s="87"/>
      <c r="AT1373" s="87"/>
    </row>
    <row r="1374" spans="15:46" x14ac:dyDescent="0.25">
      <c r="O1374" s="49" t="e">
        <f t="shared" si="85"/>
        <v>#N/A</v>
      </c>
      <c r="AE1374" s="42"/>
      <c r="AF1374" s="42"/>
      <c r="AG1374" s="42"/>
      <c r="AH1374" s="42"/>
      <c r="AI1374" s="42"/>
      <c r="AJ1374" s="42"/>
      <c r="AK1374" s="42"/>
      <c r="AO1374" s="86"/>
      <c r="AP1374" s="87"/>
      <c r="AQ1374" s="87"/>
      <c r="AR1374" s="88"/>
      <c r="AS1374" s="87"/>
      <c r="AT1374" s="87"/>
    </row>
    <row r="1375" spans="15:46" x14ac:dyDescent="0.25">
      <c r="O1375" s="49" t="e">
        <f t="shared" si="85"/>
        <v>#N/A</v>
      </c>
      <c r="AE1375" s="42"/>
      <c r="AF1375" s="42"/>
      <c r="AG1375" s="42"/>
      <c r="AH1375" s="42"/>
      <c r="AI1375" s="42"/>
      <c r="AJ1375" s="42"/>
      <c r="AK1375" s="42"/>
      <c r="AO1375" s="86"/>
      <c r="AP1375" s="87"/>
      <c r="AQ1375" s="87"/>
      <c r="AR1375" s="88"/>
      <c r="AS1375" s="87"/>
      <c r="AT1375" s="87"/>
    </row>
    <row r="1376" spans="15:46" x14ac:dyDescent="0.25">
      <c r="O1376" s="49" t="e">
        <f t="shared" si="85"/>
        <v>#N/A</v>
      </c>
      <c r="AE1376" s="42"/>
      <c r="AF1376" s="42"/>
      <c r="AG1376" s="42"/>
      <c r="AH1376" s="42"/>
      <c r="AI1376" s="42"/>
      <c r="AJ1376" s="42"/>
      <c r="AK1376" s="42"/>
      <c r="AO1376" s="86"/>
      <c r="AP1376" s="87"/>
      <c r="AQ1376" s="87"/>
      <c r="AR1376" s="88"/>
      <c r="AS1376" s="87"/>
      <c r="AT1376" s="87"/>
    </row>
    <row r="1377" spans="15:46" x14ac:dyDescent="0.25">
      <c r="O1377" s="49" t="e">
        <f t="shared" si="85"/>
        <v>#N/A</v>
      </c>
      <c r="AE1377" s="42"/>
      <c r="AF1377" s="42"/>
      <c r="AG1377" s="42"/>
      <c r="AH1377" s="42"/>
      <c r="AI1377" s="42"/>
      <c r="AJ1377" s="42"/>
      <c r="AK1377" s="42"/>
      <c r="AO1377" s="86"/>
      <c r="AP1377" s="87"/>
      <c r="AQ1377" s="87"/>
      <c r="AR1377" s="88"/>
      <c r="AS1377" s="87"/>
      <c r="AT1377" s="87"/>
    </row>
    <row r="1378" spans="15:46" x14ac:dyDescent="0.25">
      <c r="O1378" s="49" t="e">
        <f t="shared" si="85"/>
        <v>#N/A</v>
      </c>
      <c r="AE1378" s="42"/>
      <c r="AF1378" s="42"/>
      <c r="AG1378" s="42"/>
      <c r="AH1378" s="42"/>
      <c r="AI1378" s="42"/>
      <c r="AJ1378" s="42"/>
      <c r="AK1378" s="42"/>
      <c r="AO1378" s="86"/>
      <c r="AP1378" s="87"/>
      <c r="AQ1378" s="87"/>
      <c r="AR1378" s="88"/>
      <c r="AS1378" s="87"/>
      <c r="AT1378" s="87"/>
    </row>
    <row r="1379" spans="15:46" x14ac:dyDescent="0.25">
      <c r="O1379" s="49" t="e">
        <f t="shared" si="85"/>
        <v>#N/A</v>
      </c>
      <c r="AE1379" s="42"/>
      <c r="AF1379" s="42"/>
      <c r="AG1379" s="42"/>
      <c r="AH1379" s="42"/>
      <c r="AI1379" s="42"/>
      <c r="AJ1379" s="42"/>
      <c r="AK1379" s="42"/>
      <c r="AO1379" s="86"/>
      <c r="AP1379" s="87"/>
      <c r="AQ1379" s="87"/>
      <c r="AR1379" s="88"/>
      <c r="AS1379" s="87"/>
      <c r="AT1379" s="87"/>
    </row>
    <row r="1380" spans="15:46" x14ac:dyDescent="0.25">
      <c r="O1380" s="49" t="e">
        <f t="shared" si="85"/>
        <v>#N/A</v>
      </c>
      <c r="AE1380" s="42"/>
      <c r="AF1380" s="42"/>
      <c r="AG1380" s="42"/>
      <c r="AH1380" s="42"/>
      <c r="AI1380" s="42"/>
      <c r="AJ1380" s="42"/>
      <c r="AK1380" s="42"/>
      <c r="AO1380" s="86"/>
      <c r="AP1380" s="87"/>
      <c r="AQ1380" s="87"/>
      <c r="AR1380" s="88"/>
      <c r="AS1380" s="87"/>
      <c r="AT1380" s="87"/>
    </row>
    <row r="1381" spans="15:46" x14ac:dyDescent="0.25">
      <c r="O1381" s="49" t="e">
        <f t="shared" si="85"/>
        <v>#N/A</v>
      </c>
      <c r="AE1381" s="42"/>
      <c r="AF1381" s="42"/>
      <c r="AG1381" s="42"/>
      <c r="AH1381" s="42"/>
      <c r="AI1381" s="42"/>
      <c r="AJ1381" s="42"/>
      <c r="AK1381" s="42"/>
      <c r="AO1381" s="86"/>
      <c r="AP1381" s="87"/>
      <c r="AQ1381" s="87"/>
      <c r="AR1381" s="88"/>
      <c r="AS1381" s="87"/>
      <c r="AT1381" s="87"/>
    </row>
    <row r="1382" spans="15:46" x14ac:dyDescent="0.25">
      <c r="O1382" s="49" t="e">
        <f t="shared" si="85"/>
        <v>#N/A</v>
      </c>
      <c r="AE1382" s="42"/>
      <c r="AF1382" s="42"/>
      <c r="AG1382" s="42"/>
      <c r="AH1382" s="42"/>
      <c r="AI1382" s="42"/>
      <c r="AJ1382" s="42"/>
      <c r="AK1382" s="42"/>
      <c r="AO1382" s="86"/>
      <c r="AP1382" s="87"/>
      <c r="AQ1382" s="87"/>
      <c r="AR1382" s="88"/>
      <c r="AS1382" s="87"/>
      <c r="AT1382" s="87"/>
    </row>
    <row r="1383" spans="15:46" x14ac:dyDescent="0.25">
      <c r="O1383" s="49" t="e">
        <f t="shared" si="85"/>
        <v>#N/A</v>
      </c>
      <c r="AE1383" s="42"/>
      <c r="AF1383" s="42"/>
      <c r="AG1383" s="42"/>
      <c r="AH1383" s="42"/>
      <c r="AI1383" s="42"/>
      <c r="AJ1383" s="42"/>
      <c r="AK1383" s="42"/>
      <c r="AO1383" s="86"/>
      <c r="AP1383" s="87"/>
      <c r="AQ1383" s="87"/>
      <c r="AR1383" s="88"/>
      <c r="AS1383" s="87"/>
      <c r="AT1383" s="87"/>
    </row>
    <row r="1384" spans="15:46" x14ac:dyDescent="0.25">
      <c r="O1384" s="49" t="e">
        <f t="shared" si="85"/>
        <v>#N/A</v>
      </c>
      <c r="AE1384" s="42"/>
      <c r="AF1384" s="42"/>
      <c r="AG1384" s="42"/>
      <c r="AH1384" s="42"/>
      <c r="AI1384" s="42"/>
      <c r="AJ1384" s="42"/>
      <c r="AK1384" s="42"/>
      <c r="AO1384" s="86"/>
      <c r="AP1384" s="87"/>
      <c r="AQ1384" s="87"/>
      <c r="AR1384" s="88"/>
      <c r="AS1384" s="87"/>
      <c r="AT1384" s="87"/>
    </row>
    <row r="1385" spans="15:46" x14ac:dyDescent="0.25">
      <c r="O1385" s="49" t="e">
        <f t="shared" si="85"/>
        <v>#N/A</v>
      </c>
      <c r="AE1385" s="42"/>
      <c r="AF1385" s="42"/>
      <c r="AG1385" s="42"/>
      <c r="AH1385" s="42"/>
      <c r="AI1385" s="42"/>
      <c r="AJ1385" s="42"/>
      <c r="AK1385" s="42"/>
      <c r="AO1385" s="86"/>
      <c r="AP1385" s="87"/>
      <c r="AQ1385" s="87"/>
      <c r="AR1385" s="88"/>
      <c r="AS1385" s="87"/>
      <c r="AT1385" s="87"/>
    </row>
    <row r="1386" spans="15:46" x14ac:dyDescent="0.25">
      <c r="O1386" s="49" t="e">
        <f t="shared" si="85"/>
        <v>#N/A</v>
      </c>
      <c r="AE1386" s="42"/>
      <c r="AF1386" s="42"/>
      <c r="AG1386" s="42"/>
      <c r="AH1386" s="42"/>
      <c r="AI1386" s="42"/>
      <c r="AJ1386" s="42"/>
      <c r="AK1386" s="42"/>
      <c r="AO1386" s="86"/>
      <c r="AP1386" s="87"/>
      <c r="AQ1386" s="87"/>
      <c r="AR1386" s="88"/>
      <c r="AS1386" s="87"/>
      <c r="AT1386" s="87"/>
    </row>
    <row r="1387" spans="15:46" x14ac:dyDescent="0.25">
      <c r="O1387" s="49" t="e">
        <f t="shared" si="85"/>
        <v>#N/A</v>
      </c>
      <c r="AE1387" s="42"/>
      <c r="AF1387" s="42"/>
      <c r="AG1387" s="42"/>
      <c r="AH1387" s="42"/>
      <c r="AI1387" s="42"/>
      <c r="AJ1387" s="42"/>
      <c r="AK1387" s="42"/>
      <c r="AO1387" s="86"/>
      <c r="AP1387" s="87"/>
      <c r="AQ1387" s="87"/>
      <c r="AR1387" s="88"/>
      <c r="AS1387" s="87"/>
      <c r="AT1387" s="87"/>
    </row>
    <row r="1388" spans="15:46" x14ac:dyDescent="0.25">
      <c r="O1388" s="49" t="e">
        <f t="shared" si="85"/>
        <v>#N/A</v>
      </c>
      <c r="AE1388" s="42"/>
      <c r="AF1388" s="42"/>
      <c r="AG1388" s="42"/>
      <c r="AH1388" s="42"/>
      <c r="AI1388" s="42"/>
      <c r="AJ1388" s="42"/>
      <c r="AK1388" s="42"/>
      <c r="AO1388" s="86"/>
      <c r="AP1388" s="87"/>
      <c r="AQ1388" s="87"/>
      <c r="AR1388" s="88"/>
      <c r="AS1388" s="87"/>
      <c r="AT1388" s="87"/>
    </row>
    <row r="1389" spans="15:46" x14ac:dyDescent="0.25">
      <c r="O1389" s="49" t="e">
        <f t="shared" si="85"/>
        <v>#N/A</v>
      </c>
      <c r="AE1389" s="42"/>
      <c r="AF1389" s="42"/>
      <c r="AG1389" s="42"/>
      <c r="AH1389" s="42"/>
      <c r="AI1389" s="42"/>
      <c r="AJ1389" s="42"/>
      <c r="AK1389" s="42"/>
      <c r="AO1389" s="86"/>
      <c r="AP1389" s="87"/>
      <c r="AQ1389" s="87"/>
      <c r="AR1389" s="88"/>
      <c r="AS1389" s="87"/>
      <c r="AT1389" s="87"/>
    </row>
    <row r="1390" spans="15:46" x14ac:dyDescent="0.25">
      <c r="O1390" s="49" t="e">
        <f t="shared" si="85"/>
        <v>#N/A</v>
      </c>
      <c r="AE1390" s="42"/>
      <c r="AF1390" s="42"/>
      <c r="AG1390" s="42"/>
      <c r="AH1390" s="42"/>
      <c r="AI1390" s="42"/>
      <c r="AJ1390" s="42"/>
      <c r="AK1390" s="42"/>
      <c r="AO1390" s="86"/>
      <c r="AP1390" s="87"/>
      <c r="AQ1390" s="87"/>
      <c r="AR1390" s="88"/>
      <c r="AS1390" s="87"/>
      <c r="AT1390" s="87"/>
    </row>
    <row r="1391" spans="15:46" x14ac:dyDescent="0.25">
      <c r="O1391" s="49" t="e">
        <f t="shared" si="85"/>
        <v>#N/A</v>
      </c>
      <c r="AE1391" s="42"/>
      <c r="AF1391" s="42"/>
      <c r="AG1391" s="42"/>
      <c r="AH1391" s="42"/>
      <c r="AI1391" s="42"/>
      <c r="AJ1391" s="42"/>
      <c r="AK1391" s="42"/>
      <c r="AO1391" s="86"/>
      <c r="AP1391" s="87"/>
      <c r="AQ1391" s="87"/>
      <c r="AR1391" s="88"/>
      <c r="AS1391" s="87"/>
      <c r="AT1391" s="87"/>
    </row>
    <row r="1392" spans="15:46" x14ac:dyDescent="0.25">
      <c r="O1392" s="49" t="e">
        <f t="shared" si="85"/>
        <v>#N/A</v>
      </c>
      <c r="AE1392" s="42"/>
      <c r="AF1392" s="42"/>
      <c r="AG1392" s="42"/>
      <c r="AH1392" s="42"/>
      <c r="AI1392" s="42"/>
      <c r="AJ1392" s="42"/>
      <c r="AK1392" s="42"/>
      <c r="AO1392" s="86"/>
      <c r="AP1392" s="87"/>
      <c r="AQ1392" s="87"/>
      <c r="AR1392" s="88"/>
      <c r="AS1392" s="87"/>
      <c r="AT1392" s="87"/>
    </row>
    <row r="1393" spans="15:46" x14ac:dyDescent="0.25">
      <c r="O1393" s="49" t="e">
        <f t="shared" si="85"/>
        <v>#N/A</v>
      </c>
      <c r="AE1393" s="42"/>
      <c r="AF1393" s="42"/>
      <c r="AG1393" s="42"/>
      <c r="AH1393" s="42"/>
      <c r="AI1393" s="42"/>
      <c r="AJ1393" s="42"/>
      <c r="AK1393" s="42"/>
      <c r="AO1393" s="86"/>
      <c r="AP1393" s="87"/>
      <c r="AQ1393" s="87"/>
      <c r="AR1393" s="88"/>
      <c r="AS1393" s="87"/>
      <c r="AT1393" s="87"/>
    </row>
    <row r="1394" spans="15:46" x14ac:dyDescent="0.25">
      <c r="O1394" s="49" t="e">
        <f t="shared" si="85"/>
        <v>#N/A</v>
      </c>
      <c r="AE1394" s="42"/>
      <c r="AF1394" s="42"/>
      <c r="AG1394" s="42"/>
      <c r="AH1394" s="42"/>
      <c r="AI1394" s="42"/>
      <c r="AJ1394" s="42"/>
      <c r="AK1394" s="42"/>
      <c r="AO1394" s="86"/>
      <c r="AP1394" s="87"/>
      <c r="AQ1394" s="87"/>
      <c r="AR1394" s="88"/>
      <c r="AS1394" s="87"/>
      <c r="AT1394" s="87"/>
    </row>
    <row r="1395" spans="15:46" x14ac:dyDescent="0.25">
      <c r="O1395" s="49" t="e">
        <f t="shared" si="85"/>
        <v>#N/A</v>
      </c>
      <c r="AE1395" s="42"/>
      <c r="AF1395" s="42"/>
      <c r="AG1395" s="42"/>
      <c r="AH1395" s="42"/>
      <c r="AI1395" s="42"/>
      <c r="AJ1395" s="42"/>
      <c r="AK1395" s="42"/>
      <c r="AO1395" s="86"/>
      <c r="AP1395" s="87"/>
      <c r="AQ1395" s="87"/>
      <c r="AR1395" s="88"/>
      <c r="AS1395" s="87"/>
      <c r="AT1395" s="87"/>
    </row>
    <row r="1396" spans="15:46" x14ac:dyDescent="0.25">
      <c r="O1396" s="49" t="e">
        <f t="shared" si="85"/>
        <v>#N/A</v>
      </c>
      <c r="AE1396" s="42"/>
      <c r="AF1396" s="42"/>
      <c r="AG1396" s="42"/>
      <c r="AH1396" s="42"/>
      <c r="AI1396" s="42"/>
      <c r="AJ1396" s="42"/>
      <c r="AK1396" s="42"/>
      <c r="AO1396" s="86"/>
      <c r="AP1396" s="87"/>
      <c r="AQ1396" s="87"/>
      <c r="AR1396" s="88"/>
      <c r="AS1396" s="87"/>
      <c r="AT1396" s="87"/>
    </row>
    <row r="1397" spans="15:46" x14ac:dyDescent="0.25">
      <c r="O1397" s="49" t="e">
        <f t="shared" si="85"/>
        <v>#N/A</v>
      </c>
      <c r="AE1397" s="42"/>
      <c r="AF1397" s="42"/>
      <c r="AG1397" s="42"/>
      <c r="AH1397" s="42"/>
      <c r="AI1397" s="42"/>
      <c r="AJ1397" s="42"/>
      <c r="AK1397" s="42"/>
      <c r="AO1397" s="86"/>
      <c r="AP1397" s="87"/>
      <c r="AQ1397" s="87"/>
      <c r="AR1397" s="88"/>
      <c r="AS1397" s="87"/>
      <c r="AT1397" s="87"/>
    </row>
    <row r="1398" spans="15:46" x14ac:dyDescent="0.25">
      <c r="O1398" s="49" t="e">
        <f t="shared" si="85"/>
        <v>#N/A</v>
      </c>
      <c r="AE1398" s="42"/>
      <c r="AF1398" s="42"/>
      <c r="AG1398" s="42"/>
      <c r="AH1398" s="42"/>
      <c r="AI1398" s="42"/>
      <c r="AJ1398" s="42"/>
      <c r="AK1398" s="42"/>
      <c r="AO1398" s="86"/>
      <c r="AP1398" s="87"/>
      <c r="AQ1398" s="87"/>
      <c r="AR1398" s="88"/>
      <c r="AS1398" s="87"/>
      <c r="AT1398" s="87"/>
    </row>
    <row r="1399" spans="15:46" x14ac:dyDescent="0.25">
      <c r="O1399" s="49" t="e">
        <f t="shared" si="85"/>
        <v>#N/A</v>
      </c>
      <c r="AE1399" s="42"/>
      <c r="AF1399" s="42"/>
      <c r="AG1399" s="42"/>
      <c r="AH1399" s="42"/>
      <c r="AI1399" s="42"/>
      <c r="AJ1399" s="42"/>
      <c r="AK1399" s="42"/>
      <c r="AO1399" s="86"/>
      <c r="AP1399" s="87"/>
      <c r="AQ1399" s="87"/>
      <c r="AR1399" s="88"/>
      <c r="AS1399" s="87"/>
      <c r="AT1399" s="87"/>
    </row>
    <row r="1400" spans="15:46" x14ac:dyDescent="0.25">
      <c r="O1400" s="49" t="e">
        <f t="shared" si="85"/>
        <v>#N/A</v>
      </c>
      <c r="AE1400" s="42"/>
      <c r="AF1400" s="42"/>
      <c r="AG1400" s="42"/>
      <c r="AH1400" s="42"/>
      <c r="AI1400" s="42"/>
      <c r="AJ1400" s="42"/>
      <c r="AK1400" s="42"/>
      <c r="AO1400" s="86"/>
      <c r="AP1400" s="87"/>
      <c r="AQ1400" s="87"/>
      <c r="AR1400" s="88"/>
      <c r="AS1400" s="87"/>
      <c r="AT1400" s="87"/>
    </row>
    <row r="1401" spans="15:46" x14ac:dyDescent="0.25">
      <c r="O1401" s="49" t="e">
        <f t="shared" si="85"/>
        <v>#N/A</v>
      </c>
      <c r="AE1401" s="42"/>
      <c r="AF1401" s="42"/>
      <c r="AG1401" s="42"/>
      <c r="AH1401" s="42"/>
      <c r="AI1401" s="42"/>
      <c r="AJ1401" s="42"/>
      <c r="AK1401" s="42"/>
      <c r="AO1401" s="86"/>
      <c r="AP1401" s="87"/>
      <c r="AQ1401" s="87"/>
      <c r="AR1401" s="88"/>
      <c r="AS1401" s="87"/>
      <c r="AT1401" s="87"/>
    </row>
    <row r="1402" spans="15:46" x14ac:dyDescent="0.25">
      <c r="O1402" s="49" t="e">
        <f t="shared" si="85"/>
        <v>#N/A</v>
      </c>
      <c r="AE1402" s="42"/>
      <c r="AF1402" s="42"/>
      <c r="AG1402" s="42"/>
      <c r="AH1402" s="42"/>
      <c r="AI1402" s="42"/>
      <c r="AJ1402" s="42"/>
      <c r="AK1402" s="42"/>
      <c r="AO1402" s="86"/>
      <c r="AP1402" s="87"/>
      <c r="AQ1402" s="87"/>
      <c r="AR1402" s="88"/>
      <c r="AS1402" s="87"/>
      <c r="AT1402" s="87"/>
    </row>
    <row r="1403" spans="15:46" x14ac:dyDescent="0.25">
      <c r="O1403" s="49" t="e">
        <f t="shared" si="85"/>
        <v>#N/A</v>
      </c>
      <c r="AE1403" s="42"/>
      <c r="AF1403" s="42"/>
      <c r="AG1403" s="42"/>
      <c r="AH1403" s="42"/>
      <c r="AI1403" s="42"/>
      <c r="AJ1403" s="42"/>
      <c r="AK1403" s="42"/>
      <c r="AO1403" s="86"/>
      <c r="AP1403" s="87"/>
      <c r="AQ1403" s="87"/>
      <c r="AR1403" s="88"/>
      <c r="AS1403" s="87"/>
      <c r="AT1403" s="87"/>
    </row>
    <row r="1404" spans="15:46" x14ac:dyDescent="0.25">
      <c r="O1404" s="49" t="e">
        <f t="shared" si="85"/>
        <v>#N/A</v>
      </c>
      <c r="AE1404" s="42"/>
      <c r="AF1404" s="42"/>
      <c r="AG1404" s="42"/>
      <c r="AH1404" s="42"/>
      <c r="AI1404" s="42"/>
      <c r="AJ1404" s="42"/>
      <c r="AK1404" s="42"/>
      <c r="AO1404" s="86"/>
      <c r="AP1404" s="87"/>
      <c r="AQ1404" s="87"/>
      <c r="AR1404" s="88"/>
      <c r="AS1404" s="87"/>
      <c r="AT1404" s="87"/>
    </row>
    <row r="1405" spans="15:46" x14ac:dyDescent="0.25">
      <c r="O1405" s="49" t="e">
        <f t="shared" si="85"/>
        <v>#N/A</v>
      </c>
      <c r="AE1405" s="42"/>
      <c r="AF1405" s="42"/>
      <c r="AG1405" s="42"/>
      <c r="AH1405" s="42"/>
      <c r="AI1405" s="42"/>
      <c r="AJ1405" s="42"/>
      <c r="AK1405" s="42"/>
      <c r="AO1405" s="86"/>
      <c r="AP1405" s="87"/>
      <c r="AQ1405" s="87"/>
      <c r="AR1405" s="88"/>
      <c r="AS1405" s="87"/>
      <c r="AT1405" s="87"/>
    </row>
    <row r="1406" spans="15:46" x14ac:dyDescent="0.25">
      <c r="O1406" s="49" t="e">
        <f t="shared" si="85"/>
        <v>#N/A</v>
      </c>
      <c r="AE1406" s="42"/>
      <c r="AF1406" s="42"/>
      <c r="AG1406" s="42"/>
      <c r="AH1406" s="42"/>
      <c r="AI1406" s="42"/>
      <c r="AJ1406" s="42"/>
      <c r="AK1406" s="42"/>
      <c r="AO1406" s="86"/>
      <c r="AP1406" s="87"/>
      <c r="AQ1406" s="87"/>
      <c r="AR1406" s="88"/>
      <c r="AS1406" s="87"/>
      <c r="AT1406" s="87"/>
    </row>
    <row r="1407" spans="15:46" x14ac:dyDescent="0.25">
      <c r="O1407" s="49" t="e">
        <f t="shared" si="85"/>
        <v>#N/A</v>
      </c>
      <c r="AE1407" s="42"/>
      <c r="AF1407" s="42"/>
      <c r="AG1407" s="42"/>
      <c r="AH1407" s="42"/>
      <c r="AI1407" s="42"/>
      <c r="AJ1407" s="42"/>
      <c r="AK1407" s="42"/>
      <c r="AO1407" s="86"/>
      <c r="AP1407" s="87"/>
      <c r="AQ1407" s="87"/>
      <c r="AR1407" s="88"/>
      <c r="AS1407" s="87"/>
      <c r="AT1407" s="87"/>
    </row>
    <row r="1408" spans="15:46" x14ac:dyDescent="0.25">
      <c r="O1408" s="49" t="e">
        <f t="shared" si="85"/>
        <v>#N/A</v>
      </c>
      <c r="AE1408" s="42"/>
      <c r="AF1408" s="42"/>
      <c r="AG1408" s="42"/>
      <c r="AH1408" s="42"/>
      <c r="AI1408" s="42"/>
      <c r="AJ1408" s="42"/>
      <c r="AK1408" s="42"/>
      <c r="AO1408" s="86"/>
      <c r="AP1408" s="87"/>
      <c r="AQ1408" s="87"/>
      <c r="AR1408" s="88"/>
      <c r="AS1408" s="87"/>
      <c r="AT1408" s="87"/>
    </row>
    <row r="1409" spans="15:46" x14ac:dyDescent="0.25">
      <c r="O1409" s="49" t="e">
        <f t="shared" si="85"/>
        <v>#N/A</v>
      </c>
      <c r="AE1409" s="42"/>
      <c r="AF1409" s="42"/>
      <c r="AG1409" s="42"/>
      <c r="AH1409" s="42"/>
      <c r="AI1409" s="42"/>
      <c r="AJ1409" s="42"/>
      <c r="AK1409" s="42"/>
      <c r="AO1409" s="86"/>
      <c r="AP1409" s="87"/>
      <c r="AQ1409" s="87"/>
      <c r="AR1409" s="88"/>
      <c r="AS1409" s="87"/>
      <c r="AT1409" s="87"/>
    </row>
    <row r="1410" spans="15:46" x14ac:dyDescent="0.25">
      <c r="O1410" s="49" t="e">
        <f t="shared" si="85"/>
        <v>#N/A</v>
      </c>
      <c r="AE1410" s="42"/>
      <c r="AF1410" s="42"/>
      <c r="AG1410" s="42"/>
      <c r="AH1410" s="42"/>
      <c r="AI1410" s="42"/>
      <c r="AJ1410" s="42"/>
      <c r="AK1410" s="42"/>
      <c r="AO1410" s="86"/>
      <c r="AP1410" s="87"/>
      <c r="AQ1410" s="87"/>
      <c r="AR1410" s="88"/>
      <c r="AS1410" s="87"/>
      <c r="AT1410" s="87"/>
    </row>
    <row r="1411" spans="15:46" x14ac:dyDescent="0.25">
      <c r="O1411" s="49" t="e">
        <f t="shared" si="85"/>
        <v>#N/A</v>
      </c>
      <c r="AE1411" s="42"/>
      <c r="AF1411" s="42"/>
      <c r="AG1411" s="42"/>
      <c r="AH1411" s="42"/>
      <c r="AI1411" s="42"/>
      <c r="AJ1411" s="42"/>
      <c r="AK1411" s="42"/>
      <c r="AO1411" s="86"/>
      <c r="AP1411" s="87"/>
      <c r="AQ1411" s="87"/>
      <c r="AR1411" s="88"/>
      <c r="AS1411" s="87"/>
      <c r="AT1411" s="87"/>
    </row>
    <row r="1412" spans="15:46" x14ac:dyDescent="0.25">
      <c r="O1412" s="49" t="e">
        <f t="shared" si="85"/>
        <v>#N/A</v>
      </c>
      <c r="AE1412" s="42"/>
      <c r="AF1412" s="42"/>
      <c r="AG1412" s="42"/>
      <c r="AH1412" s="42"/>
      <c r="AI1412" s="42"/>
      <c r="AJ1412" s="42"/>
      <c r="AK1412" s="42"/>
      <c r="AO1412" s="86"/>
      <c r="AP1412" s="87"/>
      <c r="AQ1412" s="87"/>
      <c r="AR1412" s="88"/>
      <c r="AS1412" s="87"/>
      <c r="AT1412" s="87"/>
    </row>
    <row r="1413" spans="15:46" x14ac:dyDescent="0.25">
      <c r="O1413" s="49" t="e">
        <f t="shared" si="85"/>
        <v>#N/A</v>
      </c>
      <c r="AE1413" s="42"/>
      <c r="AF1413" s="42"/>
      <c r="AG1413" s="42"/>
      <c r="AH1413" s="42"/>
      <c r="AI1413" s="42"/>
      <c r="AJ1413" s="42"/>
      <c r="AK1413" s="42"/>
      <c r="AO1413" s="86"/>
      <c r="AP1413" s="87"/>
      <c r="AQ1413" s="87"/>
      <c r="AR1413" s="88"/>
      <c r="AS1413" s="87"/>
      <c r="AT1413" s="87"/>
    </row>
    <row r="1414" spans="15:46" x14ac:dyDescent="0.25">
      <c r="O1414" s="49" t="e">
        <f t="shared" si="85"/>
        <v>#N/A</v>
      </c>
      <c r="AE1414" s="42"/>
      <c r="AF1414" s="42"/>
      <c r="AG1414" s="42"/>
      <c r="AH1414" s="42"/>
      <c r="AI1414" s="42"/>
      <c r="AJ1414" s="42"/>
      <c r="AK1414" s="42"/>
      <c r="AO1414" s="86"/>
      <c r="AP1414" s="87"/>
      <c r="AQ1414" s="87"/>
      <c r="AR1414" s="88"/>
      <c r="AS1414" s="87"/>
      <c r="AT1414" s="87"/>
    </row>
    <row r="1415" spans="15:46" x14ac:dyDescent="0.25">
      <c r="O1415" s="49" t="e">
        <f t="shared" si="85"/>
        <v>#N/A</v>
      </c>
      <c r="AE1415" s="42"/>
      <c r="AF1415" s="42"/>
      <c r="AG1415" s="42"/>
      <c r="AH1415" s="42"/>
      <c r="AI1415" s="42"/>
      <c r="AJ1415" s="42"/>
      <c r="AK1415" s="42"/>
      <c r="AO1415" s="86"/>
      <c r="AP1415" s="87"/>
      <c r="AQ1415" s="87"/>
      <c r="AR1415" s="88"/>
      <c r="AS1415" s="87"/>
      <c r="AT1415" s="87"/>
    </row>
    <row r="1416" spans="15:46" x14ac:dyDescent="0.25">
      <c r="O1416" s="49" t="e">
        <f t="shared" si="85"/>
        <v>#N/A</v>
      </c>
      <c r="AE1416" s="42"/>
      <c r="AF1416" s="42"/>
      <c r="AG1416" s="42"/>
      <c r="AH1416" s="42"/>
      <c r="AI1416" s="42"/>
      <c r="AJ1416" s="42"/>
      <c r="AK1416" s="42"/>
      <c r="AO1416" s="86"/>
      <c r="AP1416" s="87"/>
      <c r="AQ1416" s="87"/>
      <c r="AR1416" s="88"/>
      <c r="AS1416" s="87"/>
      <c r="AT1416" s="87"/>
    </row>
    <row r="1417" spans="15:46" x14ac:dyDescent="0.25">
      <c r="O1417" s="49" t="e">
        <f t="shared" si="85"/>
        <v>#N/A</v>
      </c>
      <c r="AE1417" s="42"/>
      <c r="AF1417" s="42"/>
      <c r="AG1417" s="42"/>
      <c r="AH1417" s="42"/>
      <c r="AI1417" s="42"/>
      <c r="AJ1417" s="42"/>
      <c r="AK1417" s="42"/>
      <c r="AO1417" s="86"/>
      <c r="AP1417" s="87"/>
      <c r="AQ1417" s="87"/>
      <c r="AR1417" s="88"/>
      <c r="AS1417" s="87"/>
      <c r="AT1417" s="87"/>
    </row>
    <row r="1418" spans="15:46" x14ac:dyDescent="0.25">
      <c r="O1418" s="49" t="e">
        <f t="shared" si="85"/>
        <v>#N/A</v>
      </c>
      <c r="AE1418" s="42"/>
      <c r="AF1418" s="42"/>
      <c r="AG1418" s="42"/>
      <c r="AH1418" s="42"/>
      <c r="AI1418" s="42"/>
      <c r="AJ1418" s="42"/>
      <c r="AK1418" s="42"/>
      <c r="AO1418" s="86"/>
      <c r="AP1418" s="87"/>
      <c r="AQ1418" s="87"/>
      <c r="AR1418" s="88"/>
      <c r="AS1418" s="87"/>
      <c r="AT1418" s="87"/>
    </row>
    <row r="1419" spans="15:46" x14ac:dyDescent="0.25">
      <c r="O1419" s="49" t="e">
        <f t="shared" si="85"/>
        <v>#N/A</v>
      </c>
      <c r="AE1419" s="42"/>
      <c r="AF1419" s="42"/>
      <c r="AG1419" s="42"/>
      <c r="AH1419" s="42"/>
      <c r="AI1419" s="42"/>
      <c r="AJ1419" s="42"/>
      <c r="AK1419" s="42"/>
      <c r="AO1419" s="86"/>
      <c r="AP1419" s="87"/>
      <c r="AQ1419" s="87"/>
      <c r="AR1419" s="88"/>
      <c r="AS1419" s="87"/>
      <c r="AT1419" s="87"/>
    </row>
    <row r="1420" spans="15:46" x14ac:dyDescent="0.25">
      <c r="O1420" s="49" t="e">
        <f t="shared" si="85"/>
        <v>#N/A</v>
      </c>
      <c r="AE1420" s="42"/>
      <c r="AF1420" s="42"/>
      <c r="AG1420" s="42"/>
      <c r="AH1420" s="42"/>
      <c r="AI1420" s="42"/>
      <c r="AJ1420" s="42"/>
      <c r="AK1420" s="42"/>
      <c r="AO1420" s="86"/>
      <c r="AP1420" s="87"/>
      <c r="AQ1420" s="87"/>
      <c r="AR1420" s="88"/>
      <c r="AS1420" s="87"/>
      <c r="AT1420" s="87"/>
    </row>
    <row r="1421" spans="15:46" x14ac:dyDescent="0.25">
      <c r="O1421" s="49" t="e">
        <f t="shared" si="85"/>
        <v>#N/A</v>
      </c>
      <c r="AE1421" s="42"/>
      <c r="AF1421" s="42"/>
      <c r="AG1421" s="42"/>
      <c r="AH1421" s="42"/>
      <c r="AI1421" s="42"/>
      <c r="AJ1421" s="42"/>
      <c r="AK1421" s="42"/>
      <c r="AO1421" s="86"/>
      <c r="AP1421" s="87"/>
      <c r="AQ1421" s="87"/>
      <c r="AR1421" s="88"/>
      <c r="AS1421" s="87"/>
      <c r="AT1421" s="87"/>
    </row>
    <row r="1422" spans="15:46" x14ac:dyDescent="0.25">
      <c r="O1422" s="49" t="e">
        <f t="shared" si="85"/>
        <v>#N/A</v>
      </c>
      <c r="AE1422" s="42"/>
      <c r="AF1422" s="42"/>
      <c r="AG1422" s="42"/>
      <c r="AH1422" s="42"/>
      <c r="AI1422" s="42"/>
      <c r="AJ1422" s="42"/>
      <c r="AK1422" s="42"/>
      <c r="AO1422" s="86"/>
      <c r="AP1422" s="87"/>
      <c r="AQ1422" s="87"/>
      <c r="AR1422" s="88"/>
      <c r="AS1422" s="87"/>
      <c r="AT1422" s="87"/>
    </row>
    <row r="1423" spans="15:46" x14ac:dyDescent="0.25">
      <c r="O1423" s="49" t="e">
        <f t="shared" si="85"/>
        <v>#N/A</v>
      </c>
      <c r="AE1423" s="42"/>
      <c r="AF1423" s="42"/>
      <c r="AG1423" s="42"/>
      <c r="AH1423" s="42"/>
      <c r="AI1423" s="42"/>
      <c r="AJ1423" s="42"/>
      <c r="AK1423" s="42"/>
      <c r="AO1423" s="86"/>
      <c r="AP1423" s="87"/>
      <c r="AQ1423" s="87"/>
      <c r="AR1423" s="88"/>
      <c r="AS1423" s="87"/>
      <c r="AT1423" s="87"/>
    </row>
    <row r="1424" spans="15:46" x14ac:dyDescent="0.25">
      <c r="O1424" s="49" t="e">
        <f t="shared" si="85"/>
        <v>#N/A</v>
      </c>
      <c r="AE1424" s="42"/>
      <c r="AF1424" s="42"/>
      <c r="AG1424" s="42"/>
      <c r="AH1424" s="42"/>
      <c r="AI1424" s="42"/>
      <c r="AJ1424" s="42"/>
      <c r="AK1424" s="42"/>
      <c r="AO1424" s="86"/>
      <c r="AP1424" s="87"/>
      <c r="AQ1424" s="87"/>
      <c r="AR1424" s="88"/>
      <c r="AS1424" s="87"/>
      <c r="AT1424" s="87"/>
    </row>
    <row r="1425" spans="15:46" x14ac:dyDescent="0.25">
      <c r="O1425" s="49" t="e">
        <f t="shared" si="85"/>
        <v>#N/A</v>
      </c>
      <c r="AE1425" s="42"/>
      <c r="AF1425" s="42"/>
      <c r="AG1425" s="42"/>
      <c r="AH1425" s="42"/>
      <c r="AI1425" s="42"/>
      <c r="AJ1425" s="42"/>
      <c r="AK1425" s="42"/>
      <c r="AO1425" s="86"/>
      <c r="AP1425" s="87"/>
      <c r="AQ1425" s="87"/>
      <c r="AR1425" s="88"/>
      <c r="AS1425" s="87"/>
      <c r="AT1425" s="87"/>
    </row>
    <row r="1426" spans="15:46" x14ac:dyDescent="0.25">
      <c r="O1426" s="49" t="e">
        <f t="shared" si="85"/>
        <v>#N/A</v>
      </c>
      <c r="AE1426" s="42"/>
      <c r="AF1426" s="42"/>
      <c r="AG1426" s="42"/>
      <c r="AH1426" s="42"/>
      <c r="AI1426" s="42"/>
      <c r="AJ1426" s="42"/>
      <c r="AK1426" s="42"/>
      <c r="AO1426" s="86"/>
      <c r="AP1426" s="87"/>
      <c r="AQ1426" s="87"/>
      <c r="AR1426" s="88"/>
      <c r="AS1426" s="87"/>
      <c r="AT1426" s="87"/>
    </row>
    <row r="1427" spans="15:46" x14ac:dyDescent="0.25">
      <c r="O1427" s="49" t="e">
        <f t="shared" si="85"/>
        <v>#N/A</v>
      </c>
      <c r="AE1427" s="42"/>
      <c r="AF1427" s="42"/>
      <c r="AG1427" s="42"/>
      <c r="AH1427" s="42"/>
      <c r="AI1427" s="42"/>
      <c r="AJ1427" s="42"/>
      <c r="AK1427" s="42"/>
      <c r="AO1427" s="86"/>
      <c r="AP1427" s="87"/>
      <c r="AQ1427" s="87"/>
      <c r="AR1427" s="88"/>
      <c r="AS1427" s="87"/>
      <c r="AT1427" s="87"/>
    </row>
    <row r="1428" spans="15:46" x14ac:dyDescent="0.25">
      <c r="O1428" s="49" t="e">
        <f t="shared" si="85"/>
        <v>#N/A</v>
      </c>
      <c r="AE1428" s="42"/>
      <c r="AF1428" s="42"/>
      <c r="AG1428" s="42"/>
      <c r="AH1428" s="42"/>
      <c r="AI1428" s="42"/>
      <c r="AJ1428" s="42"/>
      <c r="AK1428" s="42"/>
      <c r="AO1428" s="86"/>
      <c r="AP1428" s="87"/>
      <c r="AQ1428" s="87"/>
      <c r="AR1428" s="88"/>
      <c r="AS1428" s="87"/>
      <c r="AT1428" s="87"/>
    </row>
    <row r="1429" spans="15:46" x14ac:dyDescent="0.25">
      <c r="O1429" s="49" t="e">
        <f t="shared" si="85"/>
        <v>#N/A</v>
      </c>
      <c r="AE1429" s="42"/>
      <c r="AF1429" s="42"/>
      <c r="AG1429" s="42"/>
      <c r="AH1429" s="42"/>
      <c r="AI1429" s="42"/>
      <c r="AJ1429" s="42"/>
      <c r="AK1429" s="42"/>
      <c r="AO1429" s="86"/>
      <c r="AP1429" s="87"/>
      <c r="AQ1429" s="87"/>
      <c r="AR1429" s="88"/>
      <c r="AS1429" s="87"/>
      <c r="AT1429" s="87"/>
    </row>
    <row r="1430" spans="15:46" x14ac:dyDescent="0.25">
      <c r="O1430" s="49" t="e">
        <f t="shared" si="85"/>
        <v>#N/A</v>
      </c>
      <c r="AE1430" s="42"/>
      <c r="AF1430" s="42"/>
      <c r="AG1430" s="42"/>
      <c r="AH1430" s="42"/>
      <c r="AI1430" s="42"/>
      <c r="AJ1430" s="42"/>
      <c r="AK1430" s="42"/>
      <c r="AO1430" s="86"/>
      <c r="AP1430" s="87"/>
      <c r="AQ1430" s="87"/>
      <c r="AR1430" s="88"/>
      <c r="AS1430" s="87"/>
      <c r="AT1430" s="87"/>
    </row>
    <row r="1431" spans="15:46" x14ac:dyDescent="0.25">
      <c r="O1431" s="49" t="e">
        <f t="shared" ref="O1431:O1494" si="86">IF(ISTEXT(N1431),IF(MID(N1431,11,2)="24",1+DATEVALUE(LEFT(N1431,10))+TIMEVALUE(CONCATENATE(MID(N1431,11,2),":",MID(N1431,13,2))),DATEVALUE(LEFT(N1431,10))+TIMEVALUE(CONCATENATE(MID(N1431,11,2),":",MID(N1431,13,2)))),#N/A)</f>
        <v>#N/A</v>
      </c>
      <c r="AE1431" s="42"/>
      <c r="AF1431" s="42"/>
      <c r="AG1431" s="42"/>
      <c r="AH1431" s="42"/>
      <c r="AI1431" s="42"/>
      <c r="AJ1431" s="42"/>
      <c r="AK1431" s="42"/>
      <c r="AO1431" s="86"/>
      <c r="AP1431" s="87"/>
      <c r="AQ1431" s="87"/>
      <c r="AR1431" s="88"/>
      <c r="AS1431" s="87"/>
      <c r="AT1431" s="87"/>
    </row>
    <row r="1432" spans="15:46" x14ac:dyDescent="0.25">
      <c r="O1432" s="49" t="e">
        <f t="shared" si="86"/>
        <v>#N/A</v>
      </c>
      <c r="AE1432" s="42"/>
      <c r="AF1432" s="42"/>
      <c r="AG1432" s="42"/>
      <c r="AH1432" s="42"/>
      <c r="AI1432" s="42"/>
      <c r="AJ1432" s="42"/>
      <c r="AK1432" s="42"/>
      <c r="AO1432" s="86"/>
      <c r="AP1432" s="87"/>
      <c r="AQ1432" s="87"/>
      <c r="AR1432" s="88"/>
      <c r="AS1432" s="87"/>
      <c r="AT1432" s="87"/>
    </row>
    <row r="1433" spans="15:46" x14ac:dyDescent="0.25">
      <c r="O1433" s="49" t="e">
        <f t="shared" si="86"/>
        <v>#N/A</v>
      </c>
      <c r="AE1433" s="42"/>
      <c r="AF1433" s="42"/>
      <c r="AG1433" s="42"/>
      <c r="AH1433" s="42"/>
      <c r="AI1433" s="42"/>
      <c r="AJ1433" s="42"/>
      <c r="AK1433" s="42"/>
      <c r="AO1433" s="86"/>
      <c r="AP1433" s="87"/>
      <c r="AQ1433" s="87"/>
      <c r="AR1433" s="88"/>
      <c r="AS1433" s="87"/>
      <c r="AT1433" s="87"/>
    </row>
    <row r="1434" spans="15:46" x14ac:dyDescent="0.25">
      <c r="O1434" s="49" t="e">
        <f t="shared" si="86"/>
        <v>#N/A</v>
      </c>
      <c r="AE1434" s="42"/>
      <c r="AF1434" s="42"/>
      <c r="AG1434" s="42"/>
      <c r="AH1434" s="42"/>
      <c r="AI1434" s="42"/>
      <c r="AJ1434" s="42"/>
      <c r="AK1434" s="42"/>
      <c r="AO1434" s="86"/>
      <c r="AP1434" s="87"/>
      <c r="AQ1434" s="87"/>
      <c r="AR1434" s="88"/>
      <c r="AS1434" s="87"/>
      <c r="AT1434" s="87"/>
    </row>
    <row r="1435" spans="15:46" x14ac:dyDescent="0.25">
      <c r="O1435" s="49" t="e">
        <f t="shared" si="86"/>
        <v>#N/A</v>
      </c>
      <c r="AE1435" s="42"/>
      <c r="AF1435" s="42"/>
      <c r="AG1435" s="42"/>
      <c r="AH1435" s="42"/>
      <c r="AI1435" s="42"/>
      <c r="AJ1435" s="42"/>
      <c r="AK1435" s="42"/>
      <c r="AO1435" s="86"/>
      <c r="AP1435" s="87"/>
      <c r="AQ1435" s="87"/>
      <c r="AR1435" s="88"/>
      <c r="AS1435" s="87"/>
      <c r="AT1435" s="87"/>
    </row>
    <row r="1436" spans="15:46" x14ac:dyDescent="0.25">
      <c r="O1436" s="49" t="e">
        <f t="shared" si="86"/>
        <v>#N/A</v>
      </c>
      <c r="AE1436" s="42"/>
      <c r="AF1436" s="42"/>
      <c r="AG1436" s="42"/>
      <c r="AH1436" s="42"/>
      <c r="AI1436" s="42"/>
      <c r="AJ1436" s="42"/>
      <c r="AK1436" s="42"/>
      <c r="AO1436" s="86"/>
      <c r="AP1436" s="87"/>
      <c r="AQ1436" s="87"/>
      <c r="AR1436" s="88"/>
      <c r="AS1436" s="87"/>
      <c r="AT1436" s="87"/>
    </row>
    <row r="1437" spans="15:46" x14ac:dyDescent="0.25">
      <c r="O1437" s="49" t="e">
        <f t="shared" si="86"/>
        <v>#N/A</v>
      </c>
      <c r="AE1437" s="42"/>
      <c r="AF1437" s="42"/>
      <c r="AG1437" s="42"/>
      <c r="AH1437" s="42"/>
      <c r="AI1437" s="42"/>
      <c r="AJ1437" s="42"/>
      <c r="AK1437" s="42"/>
      <c r="AO1437" s="86"/>
      <c r="AP1437" s="87"/>
      <c r="AQ1437" s="87"/>
      <c r="AR1437" s="88"/>
      <c r="AS1437" s="87"/>
      <c r="AT1437" s="87"/>
    </row>
    <row r="1438" spans="15:46" x14ac:dyDescent="0.25">
      <c r="O1438" s="49" t="e">
        <f t="shared" si="86"/>
        <v>#N/A</v>
      </c>
      <c r="AE1438" s="42"/>
      <c r="AF1438" s="42"/>
      <c r="AG1438" s="42"/>
      <c r="AH1438" s="42"/>
      <c r="AI1438" s="42"/>
      <c r="AJ1438" s="42"/>
      <c r="AK1438" s="42"/>
      <c r="AO1438" s="86"/>
      <c r="AP1438" s="87"/>
      <c r="AQ1438" s="87"/>
      <c r="AR1438" s="88"/>
      <c r="AS1438" s="87"/>
      <c r="AT1438" s="87"/>
    </row>
    <row r="1439" spans="15:46" x14ac:dyDescent="0.25">
      <c r="O1439" s="49" t="e">
        <f t="shared" si="86"/>
        <v>#N/A</v>
      </c>
      <c r="AE1439" s="42"/>
      <c r="AF1439" s="42"/>
      <c r="AG1439" s="42"/>
      <c r="AH1439" s="42"/>
      <c r="AI1439" s="42"/>
      <c r="AJ1439" s="42"/>
      <c r="AK1439" s="42"/>
      <c r="AO1439" s="86"/>
      <c r="AP1439" s="87"/>
      <c r="AQ1439" s="87"/>
      <c r="AR1439" s="88"/>
      <c r="AS1439" s="87"/>
      <c r="AT1439" s="87"/>
    </row>
    <row r="1440" spans="15:46" x14ac:dyDescent="0.25">
      <c r="O1440" s="49" t="e">
        <f t="shared" si="86"/>
        <v>#N/A</v>
      </c>
      <c r="AE1440" s="42"/>
      <c r="AF1440" s="42"/>
      <c r="AG1440" s="42"/>
      <c r="AH1440" s="42"/>
      <c r="AI1440" s="42"/>
      <c r="AJ1440" s="42"/>
      <c r="AK1440" s="42"/>
      <c r="AO1440" s="86"/>
      <c r="AP1440" s="87"/>
      <c r="AQ1440" s="87"/>
      <c r="AR1440" s="88"/>
      <c r="AS1440" s="87"/>
      <c r="AT1440" s="87"/>
    </row>
    <row r="1441" spans="15:46" x14ac:dyDescent="0.25">
      <c r="O1441" s="49" t="e">
        <f t="shared" si="86"/>
        <v>#N/A</v>
      </c>
      <c r="AE1441" s="42"/>
      <c r="AF1441" s="42"/>
      <c r="AG1441" s="42"/>
      <c r="AH1441" s="42"/>
      <c r="AI1441" s="42"/>
      <c r="AJ1441" s="42"/>
      <c r="AK1441" s="42"/>
      <c r="AO1441" s="86"/>
      <c r="AP1441" s="87"/>
      <c r="AQ1441" s="87"/>
      <c r="AR1441" s="88"/>
      <c r="AS1441" s="87"/>
      <c r="AT1441" s="87"/>
    </row>
    <row r="1442" spans="15:46" x14ac:dyDescent="0.25">
      <c r="O1442" s="49" t="e">
        <f t="shared" si="86"/>
        <v>#N/A</v>
      </c>
      <c r="AE1442" s="42"/>
      <c r="AF1442" s="42"/>
      <c r="AG1442" s="42"/>
      <c r="AH1442" s="42"/>
      <c r="AI1442" s="42"/>
      <c r="AJ1442" s="42"/>
      <c r="AK1442" s="42"/>
      <c r="AO1442" s="86"/>
      <c r="AP1442" s="87"/>
      <c r="AQ1442" s="87"/>
      <c r="AR1442" s="88"/>
      <c r="AS1442" s="87"/>
      <c r="AT1442" s="87"/>
    </row>
    <row r="1443" spans="15:46" x14ac:dyDescent="0.25">
      <c r="O1443" s="49" t="e">
        <f t="shared" si="86"/>
        <v>#N/A</v>
      </c>
      <c r="AE1443" s="42"/>
      <c r="AF1443" s="42"/>
      <c r="AG1443" s="42"/>
      <c r="AH1443" s="42"/>
      <c r="AI1443" s="42"/>
      <c r="AJ1443" s="42"/>
      <c r="AK1443" s="42"/>
      <c r="AO1443" s="86"/>
      <c r="AP1443" s="87"/>
      <c r="AQ1443" s="87"/>
      <c r="AR1443" s="88"/>
      <c r="AS1443" s="87"/>
      <c r="AT1443" s="87"/>
    </row>
    <row r="1444" spans="15:46" x14ac:dyDescent="0.25">
      <c r="O1444" s="49" t="e">
        <f t="shared" si="86"/>
        <v>#N/A</v>
      </c>
      <c r="AE1444" s="42"/>
      <c r="AF1444" s="42"/>
      <c r="AG1444" s="42"/>
      <c r="AH1444" s="42"/>
      <c r="AI1444" s="42"/>
      <c r="AJ1444" s="42"/>
      <c r="AK1444" s="42"/>
      <c r="AO1444" s="86"/>
      <c r="AP1444" s="87"/>
      <c r="AQ1444" s="87"/>
      <c r="AR1444" s="88"/>
      <c r="AS1444" s="87"/>
      <c r="AT1444" s="87"/>
    </row>
    <row r="1445" spans="15:46" x14ac:dyDescent="0.25">
      <c r="O1445" s="49" t="e">
        <f t="shared" si="86"/>
        <v>#N/A</v>
      </c>
      <c r="AE1445" s="42"/>
      <c r="AF1445" s="42"/>
      <c r="AG1445" s="42"/>
      <c r="AH1445" s="42"/>
      <c r="AI1445" s="42"/>
      <c r="AJ1445" s="42"/>
      <c r="AK1445" s="42"/>
      <c r="AO1445" s="86"/>
      <c r="AP1445" s="87"/>
      <c r="AQ1445" s="87"/>
      <c r="AR1445" s="88"/>
      <c r="AS1445" s="87"/>
      <c r="AT1445" s="87"/>
    </row>
    <row r="1446" spans="15:46" x14ac:dyDescent="0.25">
      <c r="O1446" s="49" t="e">
        <f t="shared" si="86"/>
        <v>#N/A</v>
      </c>
      <c r="AE1446" s="42"/>
      <c r="AF1446" s="42"/>
      <c r="AG1446" s="42"/>
      <c r="AH1446" s="42"/>
      <c r="AI1446" s="42"/>
      <c r="AJ1446" s="42"/>
      <c r="AK1446" s="42"/>
      <c r="AO1446" s="86"/>
      <c r="AP1446" s="87"/>
      <c r="AQ1446" s="87"/>
      <c r="AR1446" s="88"/>
      <c r="AS1446" s="87"/>
      <c r="AT1446" s="87"/>
    </row>
    <row r="1447" spans="15:46" x14ac:dyDescent="0.25">
      <c r="O1447" s="49" t="e">
        <f t="shared" si="86"/>
        <v>#N/A</v>
      </c>
      <c r="AE1447" s="42"/>
      <c r="AF1447" s="42"/>
      <c r="AG1447" s="42"/>
      <c r="AH1447" s="42"/>
      <c r="AI1447" s="42"/>
      <c r="AJ1447" s="42"/>
      <c r="AK1447" s="42"/>
      <c r="AO1447" s="86"/>
      <c r="AP1447" s="87"/>
      <c r="AQ1447" s="87"/>
      <c r="AR1447" s="88"/>
      <c r="AS1447" s="87"/>
      <c r="AT1447" s="87"/>
    </row>
    <row r="1448" spans="15:46" x14ac:dyDescent="0.25">
      <c r="O1448" s="49" t="e">
        <f t="shared" si="86"/>
        <v>#N/A</v>
      </c>
      <c r="AE1448" s="42"/>
      <c r="AF1448" s="42"/>
      <c r="AG1448" s="42"/>
      <c r="AH1448" s="42"/>
      <c r="AI1448" s="42"/>
      <c r="AJ1448" s="42"/>
      <c r="AK1448" s="42"/>
      <c r="AO1448" s="86"/>
      <c r="AP1448" s="87"/>
      <c r="AQ1448" s="87"/>
      <c r="AR1448" s="88"/>
      <c r="AS1448" s="87"/>
      <c r="AT1448" s="87"/>
    </row>
    <row r="1449" spans="15:46" x14ac:dyDescent="0.25">
      <c r="O1449" s="49" t="e">
        <f t="shared" si="86"/>
        <v>#N/A</v>
      </c>
      <c r="AE1449" s="42"/>
      <c r="AF1449" s="42"/>
      <c r="AG1449" s="42"/>
      <c r="AH1449" s="42"/>
      <c r="AI1449" s="42"/>
      <c r="AJ1449" s="42"/>
      <c r="AK1449" s="42"/>
      <c r="AO1449" s="86"/>
      <c r="AP1449" s="87"/>
      <c r="AQ1449" s="87"/>
      <c r="AR1449" s="88"/>
      <c r="AS1449" s="87"/>
      <c r="AT1449" s="87"/>
    </row>
    <row r="1450" spans="15:46" x14ac:dyDescent="0.25">
      <c r="O1450" s="49" t="e">
        <f t="shared" si="86"/>
        <v>#N/A</v>
      </c>
      <c r="AE1450" s="42"/>
      <c r="AF1450" s="42"/>
      <c r="AG1450" s="42"/>
      <c r="AH1450" s="42"/>
      <c r="AI1450" s="42"/>
      <c r="AJ1450" s="42"/>
      <c r="AK1450" s="42"/>
      <c r="AO1450" s="86"/>
      <c r="AP1450" s="87"/>
      <c r="AQ1450" s="87"/>
      <c r="AR1450" s="88"/>
      <c r="AS1450" s="87"/>
      <c r="AT1450" s="87"/>
    </row>
    <row r="1451" spans="15:46" x14ac:dyDescent="0.25">
      <c r="O1451" s="49" t="e">
        <f t="shared" si="86"/>
        <v>#N/A</v>
      </c>
      <c r="AE1451" s="42"/>
      <c r="AF1451" s="42"/>
      <c r="AG1451" s="42"/>
      <c r="AH1451" s="42"/>
      <c r="AI1451" s="42"/>
      <c r="AJ1451" s="42"/>
      <c r="AK1451" s="42"/>
      <c r="AO1451" s="86"/>
      <c r="AP1451" s="87"/>
      <c r="AQ1451" s="87"/>
      <c r="AR1451" s="88"/>
      <c r="AS1451" s="87"/>
      <c r="AT1451" s="87"/>
    </row>
    <row r="1452" spans="15:46" x14ac:dyDescent="0.25">
      <c r="O1452" s="49" t="e">
        <f t="shared" si="86"/>
        <v>#N/A</v>
      </c>
      <c r="AE1452" s="42"/>
      <c r="AF1452" s="42"/>
      <c r="AG1452" s="42"/>
      <c r="AH1452" s="42"/>
      <c r="AI1452" s="42"/>
      <c r="AJ1452" s="42"/>
      <c r="AK1452" s="42"/>
      <c r="AO1452" s="86"/>
      <c r="AP1452" s="87"/>
      <c r="AQ1452" s="87"/>
      <c r="AR1452" s="88"/>
      <c r="AS1452" s="87"/>
      <c r="AT1452" s="87"/>
    </row>
    <row r="1453" spans="15:46" x14ac:dyDescent="0.25">
      <c r="O1453" s="49" t="e">
        <f t="shared" si="86"/>
        <v>#N/A</v>
      </c>
      <c r="AE1453" s="42"/>
      <c r="AF1453" s="42"/>
      <c r="AG1453" s="42"/>
      <c r="AH1453" s="42"/>
      <c r="AI1453" s="42"/>
      <c r="AJ1453" s="42"/>
      <c r="AK1453" s="42"/>
      <c r="AO1453" s="86"/>
      <c r="AP1453" s="87"/>
      <c r="AQ1453" s="87"/>
      <c r="AR1453" s="88"/>
      <c r="AS1453" s="87"/>
      <c r="AT1453" s="87"/>
    </row>
    <row r="1454" spans="15:46" x14ac:dyDescent="0.25">
      <c r="O1454" s="49" t="e">
        <f t="shared" si="86"/>
        <v>#N/A</v>
      </c>
      <c r="AE1454" s="42"/>
      <c r="AF1454" s="42"/>
      <c r="AG1454" s="42"/>
      <c r="AH1454" s="42"/>
      <c r="AI1454" s="42"/>
      <c r="AJ1454" s="42"/>
      <c r="AK1454" s="42"/>
      <c r="AO1454" s="86"/>
      <c r="AP1454" s="87"/>
      <c r="AQ1454" s="87"/>
      <c r="AR1454" s="88"/>
      <c r="AS1454" s="87"/>
      <c r="AT1454" s="87"/>
    </row>
    <row r="1455" spans="15:46" x14ac:dyDescent="0.25">
      <c r="O1455" s="49" t="e">
        <f t="shared" si="86"/>
        <v>#N/A</v>
      </c>
      <c r="AE1455" s="42"/>
      <c r="AF1455" s="42"/>
      <c r="AG1455" s="42"/>
      <c r="AH1455" s="42"/>
      <c r="AI1455" s="42"/>
      <c r="AJ1455" s="42"/>
      <c r="AK1455" s="42"/>
      <c r="AO1455" s="86"/>
      <c r="AP1455" s="87"/>
      <c r="AQ1455" s="87"/>
      <c r="AR1455" s="88"/>
      <c r="AS1455" s="87"/>
      <c r="AT1455" s="87"/>
    </row>
    <row r="1456" spans="15:46" x14ac:dyDescent="0.25">
      <c r="O1456" s="49" t="e">
        <f t="shared" si="86"/>
        <v>#N/A</v>
      </c>
      <c r="AE1456" s="42"/>
      <c r="AF1456" s="42"/>
      <c r="AG1456" s="42"/>
      <c r="AH1456" s="42"/>
      <c r="AI1456" s="42"/>
      <c r="AJ1456" s="42"/>
      <c r="AK1456" s="42"/>
      <c r="AO1456" s="86"/>
      <c r="AP1456" s="87"/>
      <c r="AQ1456" s="87"/>
      <c r="AR1456" s="88"/>
      <c r="AS1456" s="87"/>
      <c r="AT1456" s="87"/>
    </row>
    <row r="1457" spans="15:46" x14ac:dyDescent="0.25">
      <c r="O1457" s="49" t="e">
        <f t="shared" si="86"/>
        <v>#N/A</v>
      </c>
      <c r="AE1457" s="42"/>
      <c r="AF1457" s="42"/>
      <c r="AG1457" s="42"/>
      <c r="AH1457" s="42"/>
      <c r="AI1457" s="42"/>
      <c r="AJ1457" s="42"/>
      <c r="AK1457" s="42"/>
      <c r="AO1457" s="86"/>
      <c r="AP1457" s="87"/>
      <c r="AQ1457" s="87"/>
      <c r="AR1457" s="88"/>
      <c r="AS1457" s="87"/>
      <c r="AT1457" s="87"/>
    </row>
    <row r="1458" spans="15:46" x14ac:dyDescent="0.25">
      <c r="O1458" s="49" t="e">
        <f t="shared" si="86"/>
        <v>#N/A</v>
      </c>
      <c r="AE1458" s="42"/>
      <c r="AF1458" s="42"/>
      <c r="AG1458" s="42"/>
      <c r="AH1458" s="42"/>
      <c r="AI1458" s="42"/>
      <c r="AJ1458" s="42"/>
      <c r="AK1458" s="42"/>
      <c r="AO1458" s="86"/>
      <c r="AP1458" s="87"/>
      <c r="AQ1458" s="87"/>
      <c r="AR1458" s="88"/>
      <c r="AS1458" s="87"/>
      <c r="AT1458" s="87"/>
    </row>
    <row r="1459" spans="15:46" x14ac:dyDescent="0.25">
      <c r="O1459" s="49" t="e">
        <f t="shared" si="86"/>
        <v>#N/A</v>
      </c>
      <c r="AE1459" s="42"/>
      <c r="AF1459" s="42"/>
      <c r="AG1459" s="42"/>
      <c r="AH1459" s="42"/>
      <c r="AI1459" s="42"/>
      <c r="AJ1459" s="42"/>
      <c r="AK1459" s="42"/>
      <c r="AO1459" s="86"/>
      <c r="AP1459" s="87"/>
      <c r="AQ1459" s="87"/>
      <c r="AR1459" s="88"/>
      <c r="AS1459" s="87"/>
      <c r="AT1459" s="87"/>
    </row>
    <row r="1460" spans="15:46" x14ac:dyDescent="0.25">
      <c r="O1460" s="49" t="e">
        <f t="shared" si="86"/>
        <v>#N/A</v>
      </c>
      <c r="AE1460" s="42"/>
      <c r="AF1460" s="42"/>
      <c r="AG1460" s="42"/>
      <c r="AH1460" s="42"/>
      <c r="AI1460" s="42"/>
      <c r="AJ1460" s="42"/>
      <c r="AK1460" s="42"/>
      <c r="AO1460" s="86"/>
      <c r="AP1460" s="87"/>
      <c r="AQ1460" s="87"/>
      <c r="AR1460" s="88"/>
      <c r="AS1460" s="87"/>
      <c r="AT1460" s="87"/>
    </row>
    <row r="1461" spans="15:46" x14ac:dyDescent="0.25">
      <c r="O1461" s="49" t="e">
        <f t="shared" si="86"/>
        <v>#N/A</v>
      </c>
      <c r="AE1461" s="42"/>
      <c r="AF1461" s="42"/>
      <c r="AG1461" s="42"/>
      <c r="AH1461" s="42"/>
      <c r="AI1461" s="42"/>
      <c r="AJ1461" s="42"/>
      <c r="AK1461" s="42"/>
      <c r="AO1461" s="86"/>
      <c r="AP1461" s="87"/>
      <c r="AQ1461" s="87"/>
      <c r="AR1461" s="88"/>
      <c r="AS1461" s="87"/>
      <c r="AT1461" s="87"/>
    </row>
    <row r="1462" spans="15:46" x14ac:dyDescent="0.25">
      <c r="O1462" s="49" t="e">
        <f t="shared" si="86"/>
        <v>#N/A</v>
      </c>
      <c r="AE1462" s="42"/>
      <c r="AF1462" s="42"/>
      <c r="AG1462" s="42"/>
      <c r="AH1462" s="42"/>
      <c r="AI1462" s="42"/>
      <c r="AJ1462" s="42"/>
      <c r="AK1462" s="42"/>
      <c r="AO1462" s="86"/>
      <c r="AP1462" s="87"/>
      <c r="AQ1462" s="87"/>
      <c r="AR1462" s="88"/>
      <c r="AS1462" s="87"/>
      <c r="AT1462" s="87"/>
    </row>
    <row r="1463" spans="15:46" x14ac:dyDescent="0.25">
      <c r="O1463" s="49" t="e">
        <f t="shared" si="86"/>
        <v>#N/A</v>
      </c>
      <c r="AE1463" s="42"/>
      <c r="AF1463" s="42"/>
      <c r="AG1463" s="42"/>
      <c r="AH1463" s="42"/>
      <c r="AI1463" s="42"/>
      <c r="AJ1463" s="42"/>
      <c r="AK1463" s="42"/>
      <c r="AO1463" s="86"/>
      <c r="AP1463" s="87"/>
      <c r="AQ1463" s="87"/>
      <c r="AR1463" s="88"/>
      <c r="AS1463" s="87"/>
      <c r="AT1463" s="87"/>
    </row>
    <row r="1464" spans="15:46" x14ac:dyDescent="0.25">
      <c r="O1464" s="49" t="e">
        <f t="shared" si="86"/>
        <v>#N/A</v>
      </c>
      <c r="AE1464" s="42"/>
      <c r="AF1464" s="42"/>
      <c r="AG1464" s="42"/>
      <c r="AH1464" s="42"/>
      <c r="AI1464" s="42"/>
      <c r="AJ1464" s="42"/>
      <c r="AK1464" s="42"/>
      <c r="AO1464" s="86"/>
      <c r="AP1464" s="87"/>
      <c r="AQ1464" s="87"/>
      <c r="AR1464" s="88"/>
      <c r="AS1464" s="87"/>
      <c r="AT1464" s="87"/>
    </row>
    <row r="1465" spans="15:46" x14ac:dyDescent="0.25">
      <c r="O1465" s="49" t="e">
        <f t="shared" si="86"/>
        <v>#N/A</v>
      </c>
      <c r="AE1465" s="42"/>
      <c r="AF1465" s="42"/>
      <c r="AG1465" s="42"/>
      <c r="AH1465" s="42"/>
      <c r="AI1465" s="42"/>
      <c r="AJ1465" s="42"/>
      <c r="AK1465" s="42"/>
      <c r="AO1465" s="86"/>
      <c r="AP1465" s="87"/>
      <c r="AQ1465" s="87"/>
      <c r="AR1465" s="88"/>
      <c r="AS1465" s="87"/>
      <c r="AT1465" s="87"/>
    </row>
    <row r="1466" spans="15:46" x14ac:dyDescent="0.25">
      <c r="O1466" s="49" t="e">
        <f t="shared" si="86"/>
        <v>#N/A</v>
      </c>
      <c r="AE1466" s="42"/>
      <c r="AF1466" s="42"/>
      <c r="AG1466" s="42"/>
      <c r="AH1466" s="42"/>
      <c r="AI1466" s="42"/>
      <c r="AJ1466" s="42"/>
      <c r="AK1466" s="42"/>
      <c r="AO1466" s="86"/>
      <c r="AP1466" s="87"/>
      <c r="AQ1466" s="87"/>
      <c r="AR1466" s="88"/>
      <c r="AS1466" s="87"/>
      <c r="AT1466" s="87"/>
    </row>
    <row r="1467" spans="15:46" x14ac:dyDescent="0.25">
      <c r="O1467" s="49" t="e">
        <f t="shared" si="86"/>
        <v>#N/A</v>
      </c>
      <c r="AE1467" s="42"/>
      <c r="AF1467" s="42"/>
      <c r="AG1467" s="42"/>
      <c r="AH1467" s="42"/>
      <c r="AI1467" s="42"/>
      <c r="AJ1467" s="42"/>
      <c r="AK1467" s="42"/>
      <c r="AO1467" s="86"/>
      <c r="AP1467" s="87"/>
      <c r="AQ1467" s="87"/>
      <c r="AR1467" s="88"/>
      <c r="AS1467" s="87"/>
      <c r="AT1467" s="87"/>
    </row>
    <row r="1468" spans="15:46" x14ac:dyDescent="0.25">
      <c r="O1468" s="49" t="e">
        <f t="shared" si="86"/>
        <v>#N/A</v>
      </c>
      <c r="AE1468" s="42"/>
      <c r="AF1468" s="42"/>
      <c r="AG1468" s="42"/>
      <c r="AH1468" s="42"/>
      <c r="AI1468" s="42"/>
      <c r="AJ1468" s="42"/>
      <c r="AK1468" s="42"/>
      <c r="AO1468" s="86"/>
      <c r="AP1468" s="87"/>
      <c r="AQ1468" s="87"/>
      <c r="AR1468" s="88"/>
      <c r="AS1468" s="87"/>
      <c r="AT1468" s="87"/>
    </row>
    <row r="1469" spans="15:46" x14ac:dyDescent="0.25">
      <c r="O1469" s="49" t="e">
        <f t="shared" si="86"/>
        <v>#N/A</v>
      </c>
      <c r="AE1469" s="42"/>
      <c r="AF1469" s="42"/>
      <c r="AG1469" s="42"/>
      <c r="AH1469" s="42"/>
      <c r="AI1469" s="42"/>
      <c r="AJ1469" s="42"/>
      <c r="AK1469" s="42"/>
      <c r="AO1469" s="86"/>
      <c r="AP1469" s="87"/>
      <c r="AQ1469" s="87"/>
      <c r="AR1469" s="88"/>
      <c r="AS1469" s="87"/>
      <c r="AT1469" s="87"/>
    </row>
    <row r="1470" spans="15:46" x14ac:dyDescent="0.25">
      <c r="O1470" s="49" t="e">
        <f t="shared" si="86"/>
        <v>#N/A</v>
      </c>
      <c r="AE1470" s="42"/>
      <c r="AF1470" s="42"/>
      <c r="AG1470" s="42"/>
      <c r="AH1470" s="42"/>
      <c r="AI1470" s="42"/>
      <c r="AJ1470" s="42"/>
      <c r="AK1470" s="42"/>
      <c r="AO1470" s="86"/>
      <c r="AP1470" s="87"/>
      <c r="AQ1470" s="87"/>
      <c r="AR1470" s="88"/>
      <c r="AS1470" s="87"/>
      <c r="AT1470" s="87"/>
    </row>
    <row r="1471" spans="15:46" x14ac:dyDescent="0.25">
      <c r="O1471" s="49" t="e">
        <f t="shared" si="86"/>
        <v>#N/A</v>
      </c>
      <c r="AE1471" s="42"/>
      <c r="AF1471" s="42"/>
      <c r="AG1471" s="42"/>
      <c r="AH1471" s="42"/>
      <c r="AI1471" s="42"/>
      <c r="AJ1471" s="42"/>
      <c r="AK1471" s="42"/>
      <c r="AO1471" s="86"/>
      <c r="AP1471" s="87"/>
      <c r="AQ1471" s="87"/>
      <c r="AR1471" s="88"/>
      <c r="AS1471" s="87"/>
      <c r="AT1471" s="87"/>
    </row>
    <row r="1472" spans="15:46" x14ac:dyDescent="0.25">
      <c r="O1472" s="49" t="e">
        <f t="shared" si="86"/>
        <v>#N/A</v>
      </c>
      <c r="AE1472" s="42"/>
      <c r="AF1472" s="42"/>
      <c r="AG1472" s="42"/>
      <c r="AH1472" s="42"/>
      <c r="AI1472" s="42"/>
      <c r="AJ1472" s="42"/>
      <c r="AK1472" s="42"/>
      <c r="AO1472" s="86"/>
      <c r="AP1472" s="87"/>
      <c r="AQ1472" s="87"/>
      <c r="AR1472" s="88"/>
      <c r="AS1472" s="87"/>
      <c r="AT1472" s="87"/>
    </row>
    <row r="1473" spans="15:46" x14ac:dyDescent="0.25">
      <c r="O1473" s="49" t="e">
        <f t="shared" si="86"/>
        <v>#N/A</v>
      </c>
      <c r="AE1473" s="42"/>
      <c r="AF1473" s="42"/>
      <c r="AG1473" s="42"/>
      <c r="AH1473" s="42"/>
      <c r="AI1473" s="42"/>
      <c r="AJ1473" s="42"/>
      <c r="AK1473" s="42"/>
      <c r="AO1473" s="86"/>
      <c r="AP1473" s="87"/>
      <c r="AQ1473" s="87"/>
      <c r="AR1473" s="88"/>
      <c r="AS1473" s="87"/>
      <c r="AT1473" s="87"/>
    </row>
    <row r="1474" spans="15:46" x14ac:dyDescent="0.25">
      <c r="O1474" s="49" t="e">
        <f t="shared" si="86"/>
        <v>#N/A</v>
      </c>
      <c r="AE1474" s="42"/>
      <c r="AF1474" s="42"/>
      <c r="AG1474" s="42"/>
      <c r="AH1474" s="42"/>
      <c r="AI1474" s="42"/>
      <c r="AJ1474" s="42"/>
      <c r="AK1474" s="42"/>
      <c r="AO1474" s="86"/>
      <c r="AP1474" s="87"/>
      <c r="AQ1474" s="87"/>
      <c r="AR1474" s="88"/>
      <c r="AS1474" s="87"/>
      <c r="AT1474" s="87"/>
    </row>
    <row r="1475" spans="15:46" x14ac:dyDescent="0.25">
      <c r="O1475" s="49" t="e">
        <f t="shared" si="86"/>
        <v>#N/A</v>
      </c>
      <c r="AE1475" s="42"/>
      <c r="AF1475" s="42"/>
      <c r="AG1475" s="42"/>
      <c r="AH1475" s="42"/>
      <c r="AI1475" s="42"/>
      <c r="AJ1475" s="42"/>
      <c r="AK1475" s="42"/>
      <c r="AO1475" s="86"/>
      <c r="AP1475" s="87"/>
      <c r="AQ1475" s="87"/>
      <c r="AR1475" s="88"/>
      <c r="AS1475" s="87"/>
      <c r="AT1475" s="87"/>
    </row>
    <row r="1476" spans="15:46" x14ac:dyDescent="0.25">
      <c r="O1476" s="49" t="e">
        <f t="shared" si="86"/>
        <v>#N/A</v>
      </c>
      <c r="AE1476" s="42"/>
      <c r="AF1476" s="42"/>
      <c r="AG1476" s="42"/>
      <c r="AH1476" s="42"/>
      <c r="AI1476" s="42"/>
      <c r="AJ1476" s="42"/>
      <c r="AK1476" s="42"/>
      <c r="AO1476" s="86"/>
      <c r="AP1476" s="87"/>
      <c r="AQ1476" s="87"/>
      <c r="AR1476" s="88"/>
      <c r="AS1476" s="87"/>
      <c r="AT1476" s="87"/>
    </row>
    <row r="1477" spans="15:46" x14ac:dyDescent="0.25">
      <c r="O1477" s="49" t="e">
        <f t="shared" si="86"/>
        <v>#N/A</v>
      </c>
      <c r="AE1477" s="42"/>
      <c r="AF1477" s="42"/>
      <c r="AG1477" s="42"/>
      <c r="AH1477" s="42"/>
      <c r="AI1477" s="42"/>
      <c r="AJ1477" s="42"/>
      <c r="AK1477" s="42"/>
      <c r="AO1477" s="86"/>
      <c r="AP1477" s="87"/>
      <c r="AQ1477" s="87"/>
      <c r="AR1477" s="88"/>
      <c r="AS1477" s="87"/>
      <c r="AT1477" s="87"/>
    </row>
    <row r="1478" spans="15:46" x14ac:dyDescent="0.25">
      <c r="O1478" s="49" t="e">
        <f t="shared" si="86"/>
        <v>#N/A</v>
      </c>
      <c r="AE1478" s="42"/>
      <c r="AF1478" s="42"/>
      <c r="AG1478" s="42"/>
      <c r="AH1478" s="42"/>
      <c r="AI1478" s="42"/>
      <c r="AJ1478" s="42"/>
      <c r="AK1478" s="42"/>
      <c r="AO1478" s="86"/>
      <c r="AP1478" s="87"/>
      <c r="AQ1478" s="87"/>
      <c r="AR1478" s="88"/>
      <c r="AS1478" s="87"/>
      <c r="AT1478" s="87"/>
    </row>
    <row r="1479" spans="15:46" x14ac:dyDescent="0.25">
      <c r="O1479" s="49" t="e">
        <f t="shared" si="86"/>
        <v>#N/A</v>
      </c>
      <c r="AE1479" s="42"/>
      <c r="AF1479" s="42"/>
      <c r="AG1479" s="42"/>
      <c r="AH1479" s="42"/>
      <c r="AI1479" s="42"/>
      <c r="AJ1479" s="42"/>
      <c r="AK1479" s="42"/>
      <c r="AO1479" s="86"/>
      <c r="AP1479" s="87"/>
      <c r="AQ1479" s="87"/>
      <c r="AR1479" s="88"/>
      <c r="AS1479" s="87"/>
      <c r="AT1479" s="87"/>
    </row>
    <row r="1480" spans="15:46" x14ac:dyDescent="0.25">
      <c r="O1480" s="49" t="e">
        <f t="shared" si="86"/>
        <v>#N/A</v>
      </c>
      <c r="AE1480" s="42"/>
      <c r="AF1480" s="42"/>
      <c r="AG1480" s="42"/>
      <c r="AH1480" s="42"/>
      <c r="AI1480" s="42"/>
      <c r="AJ1480" s="42"/>
      <c r="AK1480" s="42"/>
      <c r="AO1480" s="86"/>
      <c r="AP1480" s="87"/>
      <c r="AQ1480" s="87"/>
      <c r="AR1480" s="88"/>
      <c r="AS1480" s="87"/>
      <c r="AT1480" s="87"/>
    </row>
    <row r="1481" spans="15:46" x14ac:dyDescent="0.25">
      <c r="O1481" s="49" t="e">
        <f t="shared" si="86"/>
        <v>#N/A</v>
      </c>
      <c r="AE1481" s="42"/>
      <c r="AF1481" s="42"/>
      <c r="AG1481" s="42"/>
      <c r="AH1481" s="42"/>
      <c r="AI1481" s="42"/>
      <c r="AJ1481" s="42"/>
      <c r="AK1481" s="42"/>
      <c r="AO1481" s="86"/>
      <c r="AP1481" s="87"/>
      <c r="AQ1481" s="87"/>
      <c r="AR1481" s="88"/>
      <c r="AS1481" s="87"/>
      <c r="AT1481" s="87"/>
    </row>
    <row r="1482" spans="15:46" x14ac:dyDescent="0.25">
      <c r="O1482" s="49" t="e">
        <f t="shared" si="86"/>
        <v>#N/A</v>
      </c>
      <c r="AE1482" s="42"/>
      <c r="AF1482" s="42"/>
      <c r="AG1482" s="42"/>
      <c r="AH1482" s="42"/>
      <c r="AI1482" s="42"/>
      <c r="AJ1482" s="42"/>
      <c r="AK1482" s="42"/>
      <c r="AO1482" s="86"/>
      <c r="AP1482" s="87"/>
      <c r="AQ1482" s="87"/>
      <c r="AR1482" s="88"/>
      <c r="AS1482" s="87"/>
      <c r="AT1482" s="87"/>
    </row>
    <row r="1483" spans="15:46" x14ac:dyDescent="0.25">
      <c r="O1483" s="49" t="e">
        <f t="shared" si="86"/>
        <v>#N/A</v>
      </c>
      <c r="AE1483" s="42"/>
      <c r="AF1483" s="42"/>
      <c r="AG1483" s="42"/>
      <c r="AH1483" s="42"/>
      <c r="AI1483" s="42"/>
      <c r="AJ1483" s="42"/>
      <c r="AK1483" s="42"/>
      <c r="AO1483" s="86"/>
      <c r="AP1483" s="87"/>
      <c r="AQ1483" s="87"/>
      <c r="AR1483" s="88"/>
      <c r="AS1483" s="87"/>
      <c r="AT1483" s="87"/>
    </row>
    <row r="1484" spans="15:46" x14ac:dyDescent="0.25">
      <c r="O1484" s="49" t="e">
        <f t="shared" si="86"/>
        <v>#N/A</v>
      </c>
      <c r="AE1484" s="42"/>
      <c r="AF1484" s="42"/>
      <c r="AG1484" s="42"/>
      <c r="AH1484" s="42"/>
      <c r="AI1484" s="42"/>
      <c r="AJ1484" s="42"/>
      <c r="AK1484" s="42"/>
      <c r="AO1484" s="86"/>
      <c r="AP1484" s="87"/>
      <c r="AQ1484" s="87"/>
      <c r="AR1484" s="88"/>
      <c r="AS1484" s="87"/>
      <c r="AT1484" s="87"/>
    </row>
    <row r="1485" spans="15:46" x14ac:dyDescent="0.25">
      <c r="O1485" s="49" t="e">
        <f t="shared" si="86"/>
        <v>#N/A</v>
      </c>
      <c r="AE1485" s="42"/>
      <c r="AF1485" s="42"/>
      <c r="AG1485" s="42"/>
      <c r="AH1485" s="42"/>
      <c r="AI1485" s="42"/>
      <c r="AJ1485" s="42"/>
      <c r="AK1485" s="42"/>
      <c r="AO1485" s="86"/>
      <c r="AP1485" s="87"/>
      <c r="AQ1485" s="87"/>
      <c r="AR1485" s="88"/>
      <c r="AS1485" s="87"/>
      <c r="AT1485" s="87"/>
    </row>
    <row r="1486" spans="15:46" x14ac:dyDescent="0.25">
      <c r="O1486" s="49" t="e">
        <f t="shared" si="86"/>
        <v>#N/A</v>
      </c>
      <c r="AE1486" s="42"/>
      <c r="AF1486" s="42"/>
      <c r="AG1486" s="42"/>
      <c r="AH1486" s="42"/>
      <c r="AI1486" s="42"/>
      <c r="AJ1486" s="42"/>
      <c r="AK1486" s="42"/>
      <c r="AO1486" s="86"/>
      <c r="AP1486" s="87"/>
      <c r="AQ1486" s="87"/>
      <c r="AR1486" s="88"/>
      <c r="AS1486" s="87"/>
      <c r="AT1486" s="87"/>
    </row>
    <row r="1487" spans="15:46" x14ac:dyDescent="0.25">
      <c r="O1487" s="49" t="e">
        <f t="shared" si="86"/>
        <v>#N/A</v>
      </c>
      <c r="AE1487" s="42"/>
      <c r="AF1487" s="42"/>
      <c r="AG1487" s="42"/>
      <c r="AH1487" s="42"/>
      <c r="AI1487" s="42"/>
      <c r="AJ1487" s="42"/>
      <c r="AK1487" s="42"/>
      <c r="AO1487" s="86"/>
      <c r="AP1487" s="87"/>
      <c r="AQ1487" s="87"/>
      <c r="AR1487" s="88"/>
      <c r="AS1487" s="87"/>
      <c r="AT1487" s="87"/>
    </row>
    <row r="1488" spans="15:46" x14ac:dyDescent="0.25">
      <c r="O1488" s="49" t="e">
        <f t="shared" si="86"/>
        <v>#N/A</v>
      </c>
      <c r="AE1488" s="42"/>
      <c r="AF1488" s="42"/>
      <c r="AG1488" s="42"/>
      <c r="AH1488" s="42"/>
      <c r="AI1488" s="42"/>
      <c r="AJ1488" s="42"/>
      <c r="AK1488" s="42"/>
      <c r="AO1488" s="86"/>
      <c r="AP1488" s="87"/>
      <c r="AQ1488" s="87"/>
      <c r="AR1488" s="88"/>
      <c r="AS1488" s="87"/>
      <c r="AT1488" s="87"/>
    </row>
    <row r="1489" spans="15:46" x14ac:dyDescent="0.25">
      <c r="O1489" s="49" t="e">
        <f t="shared" si="86"/>
        <v>#N/A</v>
      </c>
      <c r="AE1489" s="42"/>
      <c r="AF1489" s="42"/>
      <c r="AG1489" s="42"/>
      <c r="AH1489" s="42"/>
      <c r="AI1489" s="42"/>
      <c r="AJ1489" s="42"/>
      <c r="AK1489" s="42"/>
      <c r="AO1489" s="86"/>
      <c r="AP1489" s="87"/>
      <c r="AQ1489" s="87"/>
      <c r="AR1489" s="88"/>
      <c r="AS1489" s="87"/>
      <c r="AT1489" s="87"/>
    </row>
    <row r="1490" spans="15:46" x14ac:dyDescent="0.25">
      <c r="O1490" s="49" t="e">
        <f t="shared" si="86"/>
        <v>#N/A</v>
      </c>
      <c r="AE1490" s="42"/>
      <c r="AF1490" s="42"/>
      <c r="AG1490" s="42"/>
      <c r="AH1490" s="42"/>
      <c r="AI1490" s="42"/>
      <c r="AJ1490" s="42"/>
      <c r="AK1490" s="42"/>
      <c r="AO1490" s="86"/>
      <c r="AP1490" s="87"/>
      <c r="AQ1490" s="87"/>
      <c r="AR1490" s="88"/>
      <c r="AS1490" s="87"/>
      <c r="AT1490" s="87"/>
    </row>
    <row r="1491" spans="15:46" x14ac:dyDescent="0.25">
      <c r="O1491" s="49" t="e">
        <f t="shared" si="86"/>
        <v>#N/A</v>
      </c>
      <c r="AE1491" s="42"/>
      <c r="AF1491" s="42"/>
      <c r="AG1491" s="42"/>
      <c r="AH1491" s="42"/>
      <c r="AI1491" s="42"/>
      <c r="AJ1491" s="42"/>
      <c r="AK1491" s="42"/>
      <c r="AO1491" s="86"/>
      <c r="AP1491" s="87"/>
      <c r="AQ1491" s="87"/>
      <c r="AR1491" s="88"/>
      <c r="AS1491" s="87"/>
      <c r="AT1491" s="87"/>
    </row>
    <row r="1492" spans="15:46" x14ac:dyDescent="0.25">
      <c r="O1492" s="49" t="e">
        <f t="shared" si="86"/>
        <v>#N/A</v>
      </c>
      <c r="AE1492" s="42"/>
      <c r="AF1492" s="42"/>
      <c r="AG1492" s="42"/>
      <c r="AH1492" s="42"/>
      <c r="AI1492" s="42"/>
      <c r="AJ1492" s="42"/>
      <c r="AK1492" s="42"/>
      <c r="AO1492" s="86"/>
      <c r="AP1492" s="87"/>
      <c r="AQ1492" s="87"/>
      <c r="AR1492" s="88"/>
      <c r="AS1492" s="87"/>
      <c r="AT1492" s="87"/>
    </row>
    <row r="1493" spans="15:46" x14ac:dyDescent="0.25">
      <c r="O1493" s="49" t="e">
        <f t="shared" si="86"/>
        <v>#N/A</v>
      </c>
      <c r="AE1493" s="42"/>
      <c r="AF1493" s="42"/>
      <c r="AG1493" s="42"/>
      <c r="AH1493" s="42"/>
      <c r="AI1493" s="42"/>
      <c r="AJ1493" s="42"/>
      <c r="AK1493" s="42"/>
      <c r="AO1493" s="86"/>
      <c r="AP1493" s="87"/>
      <c r="AQ1493" s="87"/>
      <c r="AR1493" s="88"/>
      <c r="AS1493" s="87"/>
      <c r="AT1493" s="87"/>
    </row>
    <row r="1494" spans="15:46" x14ac:dyDescent="0.25">
      <c r="O1494" s="49" t="e">
        <f t="shared" si="86"/>
        <v>#N/A</v>
      </c>
      <c r="AE1494" s="42"/>
      <c r="AF1494" s="42"/>
      <c r="AG1494" s="42"/>
      <c r="AH1494" s="42"/>
      <c r="AI1494" s="42"/>
      <c r="AJ1494" s="42"/>
      <c r="AK1494" s="42"/>
      <c r="AO1494" s="86"/>
      <c r="AP1494" s="87"/>
      <c r="AQ1494" s="87"/>
      <c r="AR1494" s="88"/>
      <c r="AS1494" s="87"/>
      <c r="AT1494" s="87"/>
    </row>
    <row r="1495" spans="15:46" x14ac:dyDescent="0.25">
      <c r="O1495" s="49" t="e">
        <f t="shared" ref="O1495:O1558" si="87">IF(ISTEXT(N1495),IF(MID(N1495,11,2)="24",1+DATEVALUE(LEFT(N1495,10))+TIMEVALUE(CONCATENATE(MID(N1495,11,2),":",MID(N1495,13,2))),DATEVALUE(LEFT(N1495,10))+TIMEVALUE(CONCATENATE(MID(N1495,11,2),":",MID(N1495,13,2)))),#N/A)</f>
        <v>#N/A</v>
      </c>
      <c r="AE1495" s="42"/>
      <c r="AF1495" s="42"/>
      <c r="AG1495" s="42"/>
      <c r="AH1495" s="42"/>
      <c r="AI1495" s="42"/>
      <c r="AJ1495" s="42"/>
      <c r="AK1495" s="42"/>
      <c r="AO1495" s="86"/>
      <c r="AP1495" s="87"/>
      <c r="AQ1495" s="87"/>
      <c r="AR1495" s="88"/>
      <c r="AS1495" s="87"/>
      <c r="AT1495" s="87"/>
    </row>
    <row r="1496" spans="15:46" x14ac:dyDescent="0.25">
      <c r="O1496" s="49" t="e">
        <f t="shared" si="87"/>
        <v>#N/A</v>
      </c>
      <c r="AE1496" s="42"/>
      <c r="AF1496" s="42"/>
      <c r="AG1496" s="42"/>
      <c r="AH1496" s="42"/>
      <c r="AI1496" s="42"/>
      <c r="AJ1496" s="42"/>
      <c r="AK1496" s="42"/>
      <c r="AO1496" s="86"/>
      <c r="AP1496" s="87"/>
      <c r="AQ1496" s="87"/>
      <c r="AR1496" s="88"/>
      <c r="AS1496" s="87"/>
      <c r="AT1496" s="87"/>
    </row>
    <row r="1497" spans="15:46" x14ac:dyDescent="0.25">
      <c r="O1497" s="49" t="e">
        <f t="shared" si="87"/>
        <v>#N/A</v>
      </c>
      <c r="AE1497" s="42"/>
      <c r="AF1497" s="42"/>
      <c r="AG1497" s="42"/>
      <c r="AH1497" s="42"/>
      <c r="AI1497" s="42"/>
      <c r="AJ1497" s="42"/>
      <c r="AK1497" s="42"/>
      <c r="AO1497" s="86"/>
      <c r="AP1497" s="87"/>
      <c r="AQ1497" s="87"/>
      <c r="AR1497" s="88"/>
      <c r="AS1497" s="87"/>
      <c r="AT1497" s="87"/>
    </row>
    <row r="1498" spans="15:46" x14ac:dyDescent="0.25">
      <c r="O1498" s="49" t="e">
        <f t="shared" si="87"/>
        <v>#N/A</v>
      </c>
      <c r="AE1498" s="42"/>
      <c r="AF1498" s="42"/>
      <c r="AG1498" s="42"/>
      <c r="AH1498" s="42"/>
      <c r="AI1498" s="42"/>
      <c r="AJ1498" s="42"/>
      <c r="AK1498" s="42"/>
      <c r="AO1498" s="86"/>
      <c r="AP1498" s="87"/>
      <c r="AQ1498" s="87"/>
      <c r="AR1498" s="88"/>
      <c r="AS1498" s="87"/>
      <c r="AT1498" s="87"/>
    </row>
    <row r="1499" spans="15:46" x14ac:dyDescent="0.25">
      <c r="O1499" s="49" t="e">
        <f t="shared" si="87"/>
        <v>#N/A</v>
      </c>
      <c r="AE1499" s="42"/>
      <c r="AF1499" s="42"/>
      <c r="AG1499" s="42"/>
      <c r="AH1499" s="42"/>
      <c r="AI1499" s="42"/>
      <c r="AJ1499" s="42"/>
      <c r="AK1499" s="42"/>
      <c r="AO1499" s="86"/>
      <c r="AP1499" s="87"/>
      <c r="AQ1499" s="87"/>
      <c r="AR1499" s="88"/>
      <c r="AS1499" s="87"/>
      <c r="AT1499" s="87"/>
    </row>
    <row r="1500" spans="15:46" x14ac:dyDescent="0.25">
      <c r="O1500" s="49" t="e">
        <f t="shared" si="87"/>
        <v>#N/A</v>
      </c>
      <c r="AE1500" s="42"/>
      <c r="AF1500" s="42"/>
      <c r="AG1500" s="42"/>
      <c r="AH1500" s="42"/>
      <c r="AI1500" s="42"/>
      <c r="AJ1500" s="42"/>
      <c r="AK1500" s="42"/>
      <c r="AO1500" s="86"/>
      <c r="AP1500" s="87"/>
      <c r="AQ1500" s="87"/>
      <c r="AR1500" s="88"/>
      <c r="AS1500" s="87"/>
      <c r="AT1500" s="87"/>
    </row>
    <row r="1501" spans="15:46" x14ac:dyDescent="0.25">
      <c r="O1501" s="49" t="e">
        <f t="shared" si="87"/>
        <v>#N/A</v>
      </c>
      <c r="AE1501" s="42"/>
      <c r="AF1501" s="42"/>
      <c r="AG1501" s="42"/>
      <c r="AH1501" s="42"/>
      <c r="AI1501" s="42"/>
      <c r="AJ1501" s="42"/>
      <c r="AK1501" s="42"/>
      <c r="AO1501" s="86"/>
      <c r="AP1501" s="87"/>
      <c r="AQ1501" s="87"/>
      <c r="AR1501" s="88"/>
      <c r="AS1501" s="87"/>
      <c r="AT1501" s="87"/>
    </row>
    <row r="1502" spans="15:46" x14ac:dyDescent="0.25">
      <c r="O1502" s="49" t="e">
        <f t="shared" si="87"/>
        <v>#N/A</v>
      </c>
      <c r="AE1502" s="42"/>
      <c r="AF1502" s="42"/>
      <c r="AG1502" s="42"/>
      <c r="AH1502" s="42"/>
      <c r="AI1502" s="42"/>
      <c r="AJ1502" s="42"/>
      <c r="AK1502" s="42"/>
      <c r="AO1502" s="86"/>
      <c r="AP1502" s="87"/>
      <c r="AQ1502" s="87"/>
      <c r="AR1502" s="88"/>
      <c r="AS1502" s="87"/>
      <c r="AT1502" s="87"/>
    </row>
    <row r="1503" spans="15:46" x14ac:dyDescent="0.25">
      <c r="O1503" s="49" t="e">
        <f t="shared" si="87"/>
        <v>#N/A</v>
      </c>
      <c r="AE1503" s="42"/>
      <c r="AF1503" s="42"/>
      <c r="AG1503" s="42"/>
      <c r="AH1503" s="42"/>
      <c r="AI1503" s="42"/>
      <c r="AJ1503" s="42"/>
      <c r="AK1503" s="42"/>
      <c r="AO1503" s="86"/>
      <c r="AP1503" s="87"/>
      <c r="AQ1503" s="87"/>
      <c r="AR1503" s="88"/>
      <c r="AS1503" s="87"/>
      <c r="AT1503" s="87"/>
    </row>
    <row r="1504" spans="15:46" x14ac:dyDescent="0.25">
      <c r="O1504" s="49" t="e">
        <f t="shared" si="87"/>
        <v>#N/A</v>
      </c>
      <c r="AE1504" s="42"/>
      <c r="AF1504" s="42"/>
      <c r="AG1504" s="42"/>
      <c r="AH1504" s="42"/>
      <c r="AI1504" s="42"/>
      <c r="AJ1504" s="42"/>
      <c r="AK1504" s="42"/>
      <c r="AO1504" s="86"/>
      <c r="AP1504" s="87"/>
      <c r="AQ1504" s="87"/>
      <c r="AR1504" s="88"/>
      <c r="AS1504" s="87"/>
      <c r="AT1504" s="87"/>
    </row>
    <row r="1505" spans="15:46" x14ac:dyDescent="0.25">
      <c r="O1505" s="49" t="e">
        <f t="shared" si="87"/>
        <v>#N/A</v>
      </c>
      <c r="AE1505" s="42"/>
      <c r="AF1505" s="42"/>
      <c r="AG1505" s="42"/>
      <c r="AH1505" s="42"/>
      <c r="AI1505" s="42"/>
      <c r="AJ1505" s="42"/>
      <c r="AK1505" s="42"/>
      <c r="AO1505" s="86"/>
      <c r="AP1505" s="87"/>
      <c r="AQ1505" s="87"/>
      <c r="AR1505" s="88"/>
      <c r="AS1505" s="87"/>
      <c r="AT1505" s="87"/>
    </row>
    <row r="1506" spans="15:46" x14ac:dyDescent="0.25">
      <c r="O1506" s="49" t="e">
        <f t="shared" si="87"/>
        <v>#N/A</v>
      </c>
      <c r="AE1506" s="42"/>
      <c r="AF1506" s="42"/>
      <c r="AG1506" s="42"/>
      <c r="AH1506" s="42"/>
      <c r="AI1506" s="42"/>
      <c r="AJ1506" s="42"/>
      <c r="AK1506" s="42"/>
      <c r="AO1506" s="86"/>
      <c r="AP1506" s="87"/>
      <c r="AQ1506" s="87"/>
      <c r="AR1506" s="88"/>
      <c r="AS1506" s="87"/>
      <c r="AT1506" s="87"/>
    </row>
    <row r="1507" spans="15:46" x14ac:dyDescent="0.25">
      <c r="O1507" s="49" t="e">
        <f t="shared" si="87"/>
        <v>#N/A</v>
      </c>
      <c r="AE1507" s="42"/>
      <c r="AF1507" s="42"/>
      <c r="AG1507" s="42"/>
      <c r="AH1507" s="42"/>
      <c r="AI1507" s="42"/>
      <c r="AJ1507" s="42"/>
      <c r="AK1507" s="42"/>
      <c r="AO1507" s="86"/>
      <c r="AP1507" s="87"/>
      <c r="AQ1507" s="87"/>
      <c r="AR1507" s="88"/>
      <c r="AS1507" s="87"/>
      <c r="AT1507" s="87"/>
    </row>
    <row r="1508" spans="15:46" x14ac:dyDescent="0.25">
      <c r="O1508" s="49" t="e">
        <f t="shared" si="87"/>
        <v>#N/A</v>
      </c>
      <c r="AE1508" s="42"/>
      <c r="AF1508" s="42"/>
      <c r="AG1508" s="42"/>
      <c r="AH1508" s="42"/>
      <c r="AI1508" s="42"/>
      <c r="AJ1508" s="42"/>
      <c r="AK1508" s="42"/>
      <c r="AO1508" s="86"/>
      <c r="AP1508" s="87"/>
      <c r="AQ1508" s="87"/>
      <c r="AR1508" s="88"/>
      <c r="AS1508" s="87"/>
      <c r="AT1508" s="87"/>
    </row>
    <row r="1509" spans="15:46" x14ac:dyDescent="0.25">
      <c r="O1509" s="49" t="e">
        <f t="shared" si="87"/>
        <v>#N/A</v>
      </c>
      <c r="AE1509" s="42"/>
      <c r="AF1509" s="42"/>
      <c r="AG1509" s="42"/>
      <c r="AH1509" s="42"/>
      <c r="AI1509" s="42"/>
      <c r="AJ1509" s="42"/>
      <c r="AK1509" s="42"/>
      <c r="AO1509" s="86"/>
      <c r="AP1509" s="87"/>
      <c r="AQ1509" s="87"/>
      <c r="AR1509" s="88"/>
      <c r="AS1509" s="87"/>
      <c r="AT1509" s="87"/>
    </row>
    <row r="1510" spans="15:46" x14ac:dyDescent="0.25">
      <c r="O1510" s="49" t="e">
        <f t="shared" si="87"/>
        <v>#N/A</v>
      </c>
      <c r="AE1510" s="42"/>
      <c r="AF1510" s="42"/>
      <c r="AG1510" s="42"/>
      <c r="AH1510" s="42"/>
      <c r="AI1510" s="42"/>
      <c r="AJ1510" s="42"/>
      <c r="AK1510" s="42"/>
      <c r="AO1510" s="86"/>
      <c r="AP1510" s="87"/>
      <c r="AQ1510" s="87"/>
      <c r="AR1510" s="88"/>
      <c r="AS1510" s="87"/>
      <c r="AT1510" s="87"/>
    </row>
    <row r="1511" spans="15:46" x14ac:dyDescent="0.25">
      <c r="O1511" s="49" t="e">
        <f t="shared" si="87"/>
        <v>#N/A</v>
      </c>
      <c r="AE1511" s="42"/>
      <c r="AF1511" s="42"/>
      <c r="AG1511" s="42"/>
      <c r="AH1511" s="42"/>
      <c r="AI1511" s="42"/>
      <c r="AJ1511" s="42"/>
      <c r="AK1511" s="42"/>
      <c r="AO1511" s="86"/>
      <c r="AP1511" s="87"/>
      <c r="AQ1511" s="87"/>
      <c r="AR1511" s="88"/>
      <c r="AS1511" s="87"/>
      <c r="AT1511" s="87"/>
    </row>
    <row r="1512" spans="15:46" x14ac:dyDescent="0.25">
      <c r="O1512" s="49" t="e">
        <f t="shared" si="87"/>
        <v>#N/A</v>
      </c>
      <c r="AE1512" s="42"/>
      <c r="AF1512" s="42"/>
      <c r="AG1512" s="42"/>
      <c r="AH1512" s="42"/>
      <c r="AI1512" s="42"/>
      <c r="AJ1512" s="42"/>
      <c r="AK1512" s="42"/>
      <c r="AO1512" s="86"/>
      <c r="AP1512" s="87"/>
      <c r="AQ1512" s="87"/>
      <c r="AR1512" s="88"/>
      <c r="AS1512" s="87"/>
      <c r="AT1512" s="87"/>
    </row>
    <row r="1513" spans="15:46" x14ac:dyDescent="0.25">
      <c r="O1513" s="49" t="e">
        <f t="shared" si="87"/>
        <v>#N/A</v>
      </c>
      <c r="AE1513" s="42"/>
      <c r="AF1513" s="42"/>
      <c r="AG1513" s="42"/>
      <c r="AH1513" s="42"/>
      <c r="AI1513" s="42"/>
      <c r="AJ1513" s="42"/>
      <c r="AK1513" s="42"/>
      <c r="AO1513" s="86"/>
      <c r="AP1513" s="87"/>
      <c r="AQ1513" s="87"/>
      <c r="AR1513" s="88"/>
      <c r="AS1513" s="87"/>
      <c r="AT1513" s="87"/>
    </row>
    <row r="1514" spans="15:46" x14ac:dyDescent="0.25">
      <c r="O1514" s="49" t="e">
        <f t="shared" si="87"/>
        <v>#N/A</v>
      </c>
      <c r="AE1514" s="42"/>
      <c r="AF1514" s="42"/>
      <c r="AG1514" s="42"/>
      <c r="AH1514" s="42"/>
      <c r="AI1514" s="42"/>
      <c r="AJ1514" s="42"/>
      <c r="AK1514" s="42"/>
      <c r="AO1514" s="86"/>
      <c r="AP1514" s="87"/>
      <c r="AQ1514" s="87"/>
      <c r="AR1514" s="88"/>
      <c r="AS1514" s="87"/>
      <c r="AT1514" s="87"/>
    </row>
    <row r="1515" spans="15:46" x14ac:dyDescent="0.25">
      <c r="O1515" s="49" t="e">
        <f t="shared" si="87"/>
        <v>#N/A</v>
      </c>
      <c r="AE1515" s="42"/>
      <c r="AF1515" s="42"/>
      <c r="AG1515" s="42"/>
      <c r="AH1515" s="42"/>
      <c r="AI1515" s="42"/>
      <c r="AJ1515" s="42"/>
      <c r="AK1515" s="42"/>
      <c r="AO1515" s="86"/>
      <c r="AP1515" s="87"/>
      <c r="AQ1515" s="87"/>
      <c r="AR1515" s="88"/>
      <c r="AS1515" s="87"/>
      <c r="AT1515" s="87"/>
    </row>
    <row r="1516" spans="15:46" x14ac:dyDescent="0.25">
      <c r="O1516" s="49" t="e">
        <f t="shared" si="87"/>
        <v>#N/A</v>
      </c>
      <c r="AE1516" s="42"/>
      <c r="AF1516" s="42"/>
      <c r="AG1516" s="42"/>
      <c r="AH1516" s="42"/>
      <c r="AI1516" s="42"/>
      <c r="AJ1516" s="42"/>
      <c r="AK1516" s="42"/>
      <c r="AO1516" s="86"/>
      <c r="AP1516" s="87"/>
      <c r="AQ1516" s="87"/>
      <c r="AR1516" s="88"/>
      <c r="AS1516" s="87"/>
      <c r="AT1516" s="87"/>
    </row>
    <row r="1517" spans="15:46" x14ac:dyDescent="0.25">
      <c r="O1517" s="49" t="e">
        <f t="shared" si="87"/>
        <v>#N/A</v>
      </c>
      <c r="AE1517" s="42"/>
      <c r="AF1517" s="42"/>
      <c r="AG1517" s="42"/>
      <c r="AH1517" s="42"/>
      <c r="AI1517" s="42"/>
      <c r="AJ1517" s="42"/>
      <c r="AK1517" s="42"/>
      <c r="AO1517" s="86"/>
      <c r="AP1517" s="87"/>
      <c r="AQ1517" s="87"/>
      <c r="AR1517" s="88"/>
      <c r="AS1517" s="87"/>
      <c r="AT1517" s="87"/>
    </row>
    <row r="1518" spans="15:46" x14ac:dyDescent="0.25">
      <c r="O1518" s="49" t="e">
        <f t="shared" si="87"/>
        <v>#N/A</v>
      </c>
      <c r="AE1518" s="42"/>
      <c r="AF1518" s="42"/>
      <c r="AG1518" s="42"/>
      <c r="AH1518" s="42"/>
      <c r="AI1518" s="42"/>
      <c r="AJ1518" s="42"/>
      <c r="AK1518" s="42"/>
      <c r="AO1518" s="86"/>
      <c r="AP1518" s="87"/>
      <c r="AQ1518" s="87"/>
      <c r="AR1518" s="88"/>
      <c r="AS1518" s="87"/>
      <c r="AT1518" s="87"/>
    </row>
    <row r="1519" spans="15:46" x14ac:dyDescent="0.25">
      <c r="O1519" s="49" t="e">
        <f t="shared" si="87"/>
        <v>#N/A</v>
      </c>
      <c r="AE1519" s="42"/>
      <c r="AF1519" s="42"/>
      <c r="AG1519" s="42"/>
      <c r="AH1519" s="42"/>
      <c r="AI1519" s="42"/>
      <c r="AJ1519" s="42"/>
      <c r="AK1519" s="42"/>
      <c r="AO1519" s="86"/>
      <c r="AP1519" s="87"/>
      <c r="AQ1519" s="87"/>
      <c r="AR1519" s="88"/>
      <c r="AS1519" s="87"/>
      <c r="AT1519" s="87"/>
    </row>
    <row r="1520" spans="15:46" x14ac:dyDescent="0.25">
      <c r="O1520" s="49" t="e">
        <f t="shared" si="87"/>
        <v>#N/A</v>
      </c>
      <c r="AE1520" s="42"/>
      <c r="AF1520" s="42"/>
      <c r="AG1520" s="42"/>
      <c r="AH1520" s="42"/>
      <c r="AI1520" s="42"/>
      <c r="AJ1520" s="42"/>
      <c r="AK1520" s="42"/>
      <c r="AO1520" s="86"/>
      <c r="AP1520" s="87"/>
      <c r="AQ1520" s="87"/>
      <c r="AR1520" s="88"/>
      <c r="AS1520" s="87"/>
      <c r="AT1520" s="87"/>
    </row>
    <row r="1521" spans="15:46" x14ac:dyDescent="0.25">
      <c r="O1521" s="49" t="e">
        <f t="shared" si="87"/>
        <v>#N/A</v>
      </c>
      <c r="AE1521" s="42"/>
      <c r="AF1521" s="42"/>
      <c r="AG1521" s="42"/>
      <c r="AH1521" s="42"/>
      <c r="AI1521" s="42"/>
      <c r="AJ1521" s="42"/>
      <c r="AK1521" s="42"/>
      <c r="AO1521" s="86"/>
      <c r="AP1521" s="87"/>
      <c r="AQ1521" s="87"/>
      <c r="AR1521" s="88"/>
      <c r="AS1521" s="87"/>
      <c r="AT1521" s="87"/>
    </row>
    <row r="1522" spans="15:46" x14ac:dyDescent="0.25">
      <c r="O1522" s="49" t="e">
        <f t="shared" si="87"/>
        <v>#N/A</v>
      </c>
      <c r="AE1522" s="42"/>
      <c r="AF1522" s="42"/>
      <c r="AG1522" s="42"/>
      <c r="AH1522" s="42"/>
      <c r="AI1522" s="42"/>
      <c r="AJ1522" s="42"/>
      <c r="AK1522" s="42"/>
      <c r="AO1522" s="86"/>
      <c r="AP1522" s="87"/>
      <c r="AQ1522" s="87"/>
      <c r="AR1522" s="88"/>
      <c r="AS1522" s="87"/>
      <c r="AT1522" s="87"/>
    </row>
    <row r="1523" spans="15:46" x14ac:dyDescent="0.25">
      <c r="O1523" s="49" t="e">
        <f t="shared" si="87"/>
        <v>#N/A</v>
      </c>
      <c r="AE1523" s="42"/>
      <c r="AF1523" s="42"/>
      <c r="AG1523" s="42"/>
      <c r="AH1523" s="42"/>
      <c r="AI1523" s="42"/>
      <c r="AJ1523" s="42"/>
      <c r="AK1523" s="42"/>
      <c r="AO1523" s="86"/>
      <c r="AP1523" s="87"/>
      <c r="AQ1523" s="87"/>
      <c r="AR1523" s="88"/>
      <c r="AS1523" s="87"/>
      <c r="AT1523" s="87"/>
    </row>
    <row r="1524" spans="15:46" x14ac:dyDescent="0.25">
      <c r="O1524" s="49" t="e">
        <f t="shared" si="87"/>
        <v>#N/A</v>
      </c>
      <c r="AE1524" s="42"/>
      <c r="AF1524" s="42"/>
      <c r="AG1524" s="42"/>
      <c r="AH1524" s="42"/>
      <c r="AI1524" s="42"/>
      <c r="AJ1524" s="42"/>
      <c r="AK1524" s="42"/>
      <c r="AO1524" s="86"/>
      <c r="AP1524" s="87"/>
      <c r="AQ1524" s="87"/>
      <c r="AR1524" s="88"/>
      <c r="AS1524" s="87"/>
      <c r="AT1524" s="87"/>
    </row>
    <row r="1525" spans="15:46" x14ac:dyDescent="0.25">
      <c r="O1525" s="49" t="e">
        <f t="shared" si="87"/>
        <v>#N/A</v>
      </c>
      <c r="AE1525" s="42"/>
      <c r="AF1525" s="42"/>
      <c r="AG1525" s="42"/>
      <c r="AH1525" s="42"/>
      <c r="AI1525" s="42"/>
      <c r="AJ1525" s="42"/>
      <c r="AK1525" s="42"/>
      <c r="AO1525" s="86"/>
      <c r="AP1525" s="87"/>
      <c r="AQ1525" s="87"/>
      <c r="AR1525" s="88"/>
      <c r="AS1525" s="87"/>
      <c r="AT1525" s="87"/>
    </row>
    <row r="1526" spans="15:46" x14ac:dyDescent="0.25">
      <c r="O1526" s="49" t="e">
        <f t="shared" si="87"/>
        <v>#N/A</v>
      </c>
      <c r="AE1526" s="42"/>
      <c r="AF1526" s="42"/>
      <c r="AG1526" s="42"/>
      <c r="AH1526" s="42"/>
      <c r="AI1526" s="42"/>
      <c r="AJ1526" s="42"/>
      <c r="AK1526" s="42"/>
      <c r="AO1526" s="86"/>
      <c r="AP1526" s="87"/>
      <c r="AQ1526" s="87"/>
      <c r="AR1526" s="88"/>
      <c r="AS1526" s="87"/>
      <c r="AT1526" s="87"/>
    </row>
    <row r="1527" spans="15:46" x14ac:dyDescent="0.25">
      <c r="O1527" s="49" t="e">
        <f t="shared" si="87"/>
        <v>#N/A</v>
      </c>
      <c r="AE1527" s="42"/>
      <c r="AF1527" s="42"/>
      <c r="AG1527" s="42"/>
      <c r="AH1527" s="42"/>
      <c r="AI1527" s="42"/>
      <c r="AJ1527" s="42"/>
      <c r="AK1527" s="42"/>
      <c r="AO1527" s="86"/>
      <c r="AP1527" s="87"/>
      <c r="AQ1527" s="87"/>
      <c r="AR1527" s="88"/>
      <c r="AS1527" s="87"/>
      <c r="AT1527" s="87"/>
    </row>
    <row r="1528" spans="15:46" x14ac:dyDescent="0.25">
      <c r="O1528" s="49" t="e">
        <f t="shared" si="87"/>
        <v>#N/A</v>
      </c>
      <c r="AE1528" s="42"/>
      <c r="AF1528" s="42"/>
      <c r="AG1528" s="42"/>
      <c r="AH1528" s="42"/>
      <c r="AI1528" s="42"/>
      <c r="AJ1528" s="42"/>
      <c r="AK1528" s="42"/>
      <c r="AO1528" s="86"/>
      <c r="AP1528" s="87"/>
      <c r="AQ1528" s="87"/>
      <c r="AR1528" s="88"/>
      <c r="AS1528" s="87"/>
      <c r="AT1528" s="87"/>
    </row>
    <row r="1529" spans="15:46" x14ac:dyDescent="0.25">
      <c r="O1529" s="49" t="e">
        <f t="shared" si="87"/>
        <v>#N/A</v>
      </c>
      <c r="AE1529" s="42"/>
      <c r="AF1529" s="42"/>
      <c r="AG1529" s="42"/>
      <c r="AH1529" s="42"/>
      <c r="AI1529" s="42"/>
      <c r="AJ1529" s="42"/>
      <c r="AK1529" s="42"/>
      <c r="AO1529" s="86"/>
      <c r="AP1529" s="87"/>
      <c r="AQ1529" s="87"/>
      <c r="AR1529" s="88"/>
      <c r="AS1529" s="87"/>
      <c r="AT1529" s="87"/>
    </row>
    <row r="1530" spans="15:46" x14ac:dyDescent="0.25">
      <c r="O1530" s="49" t="e">
        <f t="shared" si="87"/>
        <v>#N/A</v>
      </c>
      <c r="AE1530" s="42"/>
      <c r="AF1530" s="42"/>
      <c r="AG1530" s="42"/>
      <c r="AH1530" s="42"/>
      <c r="AI1530" s="42"/>
      <c r="AJ1530" s="42"/>
      <c r="AK1530" s="42"/>
      <c r="AO1530" s="86"/>
      <c r="AP1530" s="87"/>
      <c r="AQ1530" s="87"/>
      <c r="AR1530" s="88"/>
      <c r="AS1530" s="87"/>
      <c r="AT1530" s="87"/>
    </row>
    <row r="1531" spans="15:46" x14ac:dyDescent="0.25">
      <c r="O1531" s="49" t="e">
        <f t="shared" si="87"/>
        <v>#N/A</v>
      </c>
      <c r="AE1531" s="42"/>
      <c r="AF1531" s="42"/>
      <c r="AG1531" s="42"/>
      <c r="AH1531" s="42"/>
      <c r="AI1531" s="42"/>
      <c r="AJ1531" s="42"/>
      <c r="AK1531" s="42"/>
      <c r="AO1531" s="86"/>
      <c r="AP1531" s="87"/>
      <c r="AQ1531" s="87"/>
      <c r="AR1531" s="88"/>
      <c r="AS1531" s="87"/>
      <c r="AT1531" s="87"/>
    </row>
    <row r="1532" spans="15:46" x14ac:dyDescent="0.25">
      <c r="O1532" s="49" t="e">
        <f t="shared" si="87"/>
        <v>#N/A</v>
      </c>
      <c r="AE1532" s="42"/>
      <c r="AF1532" s="42"/>
      <c r="AG1532" s="42"/>
      <c r="AH1532" s="42"/>
      <c r="AI1532" s="42"/>
      <c r="AJ1532" s="42"/>
      <c r="AK1532" s="42"/>
      <c r="AO1532" s="86"/>
      <c r="AP1532" s="87"/>
      <c r="AQ1532" s="87"/>
      <c r="AR1532" s="88"/>
      <c r="AS1532" s="87"/>
      <c r="AT1532" s="87"/>
    </row>
    <row r="1533" spans="15:46" x14ac:dyDescent="0.25">
      <c r="O1533" s="49" t="e">
        <f t="shared" si="87"/>
        <v>#N/A</v>
      </c>
      <c r="AE1533" s="42"/>
      <c r="AF1533" s="42"/>
      <c r="AG1533" s="42"/>
      <c r="AH1533" s="42"/>
      <c r="AI1533" s="42"/>
      <c r="AJ1533" s="42"/>
      <c r="AK1533" s="42"/>
      <c r="AO1533" s="86"/>
      <c r="AP1533" s="87"/>
      <c r="AQ1533" s="87"/>
      <c r="AR1533" s="88"/>
      <c r="AS1533" s="87"/>
      <c r="AT1533" s="87"/>
    </row>
    <row r="1534" spans="15:46" x14ac:dyDescent="0.25">
      <c r="O1534" s="49" t="e">
        <f t="shared" si="87"/>
        <v>#N/A</v>
      </c>
      <c r="AE1534" s="42"/>
      <c r="AF1534" s="42"/>
      <c r="AG1534" s="42"/>
      <c r="AH1534" s="42"/>
      <c r="AI1534" s="42"/>
      <c r="AJ1534" s="42"/>
      <c r="AK1534" s="42"/>
      <c r="AO1534" s="86"/>
      <c r="AP1534" s="87"/>
      <c r="AQ1534" s="87"/>
      <c r="AR1534" s="88"/>
      <c r="AS1534" s="87"/>
      <c r="AT1534" s="87"/>
    </row>
    <row r="1535" spans="15:46" x14ac:dyDescent="0.25">
      <c r="O1535" s="49" t="e">
        <f t="shared" si="87"/>
        <v>#N/A</v>
      </c>
      <c r="AE1535" s="42"/>
      <c r="AF1535" s="42"/>
      <c r="AG1535" s="42"/>
      <c r="AH1535" s="42"/>
      <c r="AI1535" s="42"/>
      <c r="AJ1535" s="42"/>
      <c r="AK1535" s="42"/>
      <c r="AO1535" s="86"/>
      <c r="AP1535" s="87"/>
      <c r="AQ1535" s="87"/>
      <c r="AR1535" s="88"/>
      <c r="AS1535" s="87"/>
      <c r="AT1535" s="87"/>
    </row>
    <row r="1536" spans="15:46" x14ac:dyDescent="0.25">
      <c r="O1536" s="49" t="e">
        <f t="shared" si="87"/>
        <v>#N/A</v>
      </c>
      <c r="AE1536" s="42"/>
      <c r="AF1536" s="42"/>
      <c r="AG1536" s="42"/>
      <c r="AH1536" s="42"/>
      <c r="AI1536" s="42"/>
      <c r="AJ1536" s="42"/>
      <c r="AK1536" s="42"/>
      <c r="AO1536" s="86"/>
      <c r="AP1536" s="87"/>
      <c r="AQ1536" s="87"/>
      <c r="AR1536" s="88"/>
      <c r="AS1536" s="87"/>
      <c r="AT1536" s="87"/>
    </row>
    <row r="1537" spans="15:46" x14ac:dyDescent="0.25">
      <c r="O1537" s="49" t="e">
        <f t="shared" si="87"/>
        <v>#N/A</v>
      </c>
      <c r="AE1537" s="42"/>
      <c r="AF1537" s="42"/>
      <c r="AG1537" s="42"/>
      <c r="AH1537" s="42"/>
      <c r="AI1537" s="42"/>
      <c r="AJ1537" s="42"/>
      <c r="AK1537" s="42"/>
      <c r="AO1537" s="86"/>
      <c r="AP1537" s="87"/>
      <c r="AQ1537" s="87"/>
      <c r="AR1537" s="88"/>
      <c r="AS1537" s="87"/>
      <c r="AT1537" s="87"/>
    </row>
    <row r="1538" spans="15:46" x14ac:dyDescent="0.25">
      <c r="O1538" s="49" t="e">
        <f t="shared" si="87"/>
        <v>#N/A</v>
      </c>
      <c r="AE1538" s="42"/>
      <c r="AF1538" s="42"/>
      <c r="AG1538" s="42"/>
      <c r="AH1538" s="42"/>
      <c r="AI1538" s="42"/>
      <c r="AJ1538" s="42"/>
      <c r="AK1538" s="42"/>
      <c r="AO1538" s="86"/>
      <c r="AP1538" s="87"/>
      <c r="AQ1538" s="87"/>
      <c r="AR1538" s="88"/>
      <c r="AS1538" s="87"/>
      <c r="AT1538" s="87"/>
    </row>
    <row r="1539" spans="15:46" x14ac:dyDescent="0.25">
      <c r="O1539" s="49" t="e">
        <f t="shared" si="87"/>
        <v>#N/A</v>
      </c>
      <c r="AE1539" s="42"/>
      <c r="AF1539" s="42"/>
      <c r="AG1539" s="42"/>
      <c r="AH1539" s="42"/>
      <c r="AI1539" s="42"/>
      <c r="AJ1539" s="42"/>
      <c r="AK1539" s="42"/>
      <c r="AO1539" s="86"/>
      <c r="AP1539" s="87"/>
      <c r="AQ1539" s="87"/>
      <c r="AR1539" s="88"/>
      <c r="AS1539" s="87"/>
      <c r="AT1539" s="87"/>
    </row>
    <row r="1540" spans="15:46" x14ac:dyDescent="0.25">
      <c r="O1540" s="49" t="e">
        <f t="shared" si="87"/>
        <v>#N/A</v>
      </c>
      <c r="AE1540" s="42"/>
      <c r="AF1540" s="42"/>
      <c r="AG1540" s="42"/>
      <c r="AH1540" s="42"/>
      <c r="AI1540" s="42"/>
      <c r="AJ1540" s="42"/>
      <c r="AK1540" s="42"/>
      <c r="AO1540" s="86"/>
      <c r="AP1540" s="87"/>
      <c r="AQ1540" s="87"/>
      <c r="AR1540" s="88"/>
      <c r="AS1540" s="87"/>
      <c r="AT1540" s="87"/>
    </row>
    <row r="1541" spans="15:46" x14ac:dyDescent="0.25">
      <c r="O1541" s="49" t="e">
        <f t="shared" si="87"/>
        <v>#N/A</v>
      </c>
      <c r="AE1541" s="42"/>
      <c r="AF1541" s="42"/>
      <c r="AG1541" s="42"/>
      <c r="AH1541" s="42"/>
      <c r="AI1541" s="42"/>
      <c r="AJ1541" s="42"/>
      <c r="AK1541" s="42"/>
      <c r="AO1541" s="86"/>
      <c r="AP1541" s="87"/>
      <c r="AQ1541" s="87"/>
      <c r="AR1541" s="88"/>
      <c r="AS1541" s="87"/>
      <c r="AT1541" s="87"/>
    </row>
    <row r="1542" spans="15:46" x14ac:dyDescent="0.25">
      <c r="O1542" s="49" t="e">
        <f t="shared" si="87"/>
        <v>#N/A</v>
      </c>
      <c r="AE1542" s="42"/>
      <c r="AF1542" s="42"/>
      <c r="AG1542" s="42"/>
      <c r="AH1542" s="42"/>
      <c r="AI1542" s="42"/>
      <c r="AJ1542" s="42"/>
      <c r="AK1542" s="42"/>
      <c r="AO1542" s="86"/>
      <c r="AP1542" s="87"/>
      <c r="AQ1542" s="87"/>
      <c r="AR1542" s="88"/>
      <c r="AS1542" s="87"/>
      <c r="AT1542" s="87"/>
    </row>
    <row r="1543" spans="15:46" x14ac:dyDescent="0.25">
      <c r="O1543" s="49" t="e">
        <f t="shared" si="87"/>
        <v>#N/A</v>
      </c>
      <c r="AE1543" s="42"/>
      <c r="AF1543" s="42"/>
      <c r="AG1543" s="42"/>
      <c r="AH1543" s="42"/>
      <c r="AI1543" s="42"/>
      <c r="AJ1543" s="42"/>
      <c r="AK1543" s="42"/>
      <c r="AO1543" s="86"/>
      <c r="AP1543" s="87"/>
      <c r="AQ1543" s="87"/>
      <c r="AR1543" s="88"/>
      <c r="AS1543" s="87"/>
      <c r="AT1543" s="87"/>
    </row>
    <row r="1544" spans="15:46" x14ac:dyDescent="0.25">
      <c r="O1544" s="49" t="e">
        <f t="shared" si="87"/>
        <v>#N/A</v>
      </c>
      <c r="AE1544" s="42"/>
      <c r="AF1544" s="42"/>
      <c r="AG1544" s="42"/>
      <c r="AH1544" s="42"/>
      <c r="AI1544" s="42"/>
      <c r="AJ1544" s="42"/>
      <c r="AK1544" s="42"/>
      <c r="AO1544" s="86"/>
      <c r="AP1544" s="87"/>
      <c r="AQ1544" s="87"/>
      <c r="AR1544" s="88"/>
      <c r="AS1544" s="87"/>
      <c r="AT1544" s="87"/>
    </row>
    <row r="1545" spans="15:46" x14ac:dyDescent="0.25">
      <c r="O1545" s="49" t="e">
        <f t="shared" si="87"/>
        <v>#N/A</v>
      </c>
      <c r="AE1545" s="42"/>
      <c r="AF1545" s="42"/>
      <c r="AG1545" s="42"/>
      <c r="AH1545" s="42"/>
      <c r="AI1545" s="42"/>
      <c r="AJ1545" s="42"/>
      <c r="AK1545" s="42"/>
      <c r="AO1545" s="86"/>
      <c r="AP1545" s="87"/>
      <c r="AQ1545" s="87"/>
      <c r="AR1545" s="88"/>
      <c r="AS1545" s="87"/>
      <c r="AT1545" s="87"/>
    </row>
    <row r="1546" spans="15:46" x14ac:dyDescent="0.25">
      <c r="O1546" s="49" t="e">
        <f t="shared" si="87"/>
        <v>#N/A</v>
      </c>
      <c r="AE1546" s="42"/>
      <c r="AF1546" s="42"/>
      <c r="AG1546" s="42"/>
      <c r="AH1546" s="42"/>
      <c r="AI1546" s="42"/>
      <c r="AJ1546" s="42"/>
      <c r="AK1546" s="42"/>
      <c r="AO1546" s="86"/>
      <c r="AP1546" s="87"/>
      <c r="AQ1546" s="87"/>
      <c r="AR1546" s="88"/>
      <c r="AS1546" s="87"/>
      <c r="AT1546" s="87"/>
    </row>
    <row r="1547" spans="15:46" x14ac:dyDescent="0.25">
      <c r="O1547" s="49" t="e">
        <f t="shared" si="87"/>
        <v>#N/A</v>
      </c>
      <c r="AE1547" s="42"/>
      <c r="AF1547" s="42"/>
      <c r="AG1547" s="42"/>
      <c r="AH1547" s="42"/>
      <c r="AI1547" s="42"/>
      <c r="AJ1547" s="42"/>
      <c r="AK1547" s="42"/>
      <c r="AO1547" s="86"/>
      <c r="AP1547" s="87"/>
      <c r="AQ1547" s="87"/>
      <c r="AR1547" s="88"/>
      <c r="AS1547" s="87"/>
      <c r="AT1547" s="87"/>
    </row>
    <row r="1548" spans="15:46" x14ac:dyDescent="0.25">
      <c r="O1548" s="49" t="e">
        <f t="shared" si="87"/>
        <v>#N/A</v>
      </c>
      <c r="AE1548" s="42"/>
      <c r="AF1548" s="42"/>
      <c r="AG1548" s="42"/>
      <c r="AH1548" s="42"/>
      <c r="AI1548" s="42"/>
      <c r="AJ1548" s="42"/>
      <c r="AK1548" s="42"/>
      <c r="AO1548" s="86"/>
      <c r="AP1548" s="87"/>
      <c r="AQ1548" s="87"/>
      <c r="AR1548" s="88"/>
      <c r="AS1548" s="87"/>
      <c r="AT1548" s="87"/>
    </row>
    <row r="1549" spans="15:46" x14ac:dyDescent="0.25">
      <c r="O1549" s="49" t="e">
        <f t="shared" si="87"/>
        <v>#N/A</v>
      </c>
      <c r="AE1549" s="42"/>
      <c r="AF1549" s="42"/>
      <c r="AG1549" s="42"/>
      <c r="AH1549" s="42"/>
      <c r="AI1549" s="42"/>
      <c r="AJ1549" s="42"/>
      <c r="AK1549" s="42"/>
      <c r="AO1549" s="86"/>
      <c r="AP1549" s="87"/>
      <c r="AQ1549" s="87"/>
      <c r="AR1549" s="88"/>
      <c r="AS1549" s="87"/>
      <c r="AT1549" s="87"/>
    </row>
    <row r="1550" spans="15:46" x14ac:dyDescent="0.25">
      <c r="O1550" s="49" t="e">
        <f t="shared" si="87"/>
        <v>#N/A</v>
      </c>
      <c r="AE1550" s="42"/>
      <c r="AF1550" s="42"/>
      <c r="AG1550" s="42"/>
      <c r="AH1550" s="42"/>
      <c r="AI1550" s="42"/>
      <c r="AJ1550" s="42"/>
      <c r="AK1550" s="42"/>
      <c r="AO1550" s="86"/>
      <c r="AP1550" s="87"/>
      <c r="AQ1550" s="87"/>
      <c r="AR1550" s="88"/>
      <c r="AS1550" s="87"/>
      <c r="AT1550" s="87"/>
    </row>
    <row r="1551" spans="15:46" x14ac:dyDescent="0.25">
      <c r="O1551" s="49" t="e">
        <f t="shared" si="87"/>
        <v>#N/A</v>
      </c>
      <c r="AE1551" s="42"/>
      <c r="AF1551" s="42"/>
      <c r="AG1551" s="42"/>
      <c r="AH1551" s="42"/>
      <c r="AI1551" s="42"/>
      <c r="AJ1551" s="42"/>
      <c r="AK1551" s="42"/>
      <c r="AO1551" s="86"/>
      <c r="AP1551" s="87"/>
      <c r="AQ1551" s="87"/>
      <c r="AR1551" s="88"/>
      <c r="AS1551" s="87"/>
      <c r="AT1551" s="87"/>
    </row>
    <row r="1552" spans="15:46" x14ac:dyDescent="0.25">
      <c r="O1552" s="49" t="e">
        <f t="shared" si="87"/>
        <v>#N/A</v>
      </c>
      <c r="AE1552" s="42"/>
      <c r="AF1552" s="42"/>
      <c r="AG1552" s="42"/>
      <c r="AH1552" s="42"/>
      <c r="AI1552" s="42"/>
      <c r="AJ1552" s="42"/>
      <c r="AK1552" s="42"/>
      <c r="AO1552" s="86"/>
      <c r="AP1552" s="87"/>
      <c r="AQ1552" s="87"/>
      <c r="AR1552" s="88"/>
      <c r="AS1552" s="87"/>
      <c r="AT1552" s="87"/>
    </row>
    <row r="1553" spans="15:46" x14ac:dyDescent="0.25">
      <c r="O1553" s="49" t="e">
        <f t="shared" si="87"/>
        <v>#N/A</v>
      </c>
      <c r="AE1553" s="42"/>
      <c r="AF1553" s="42"/>
      <c r="AG1553" s="42"/>
      <c r="AH1553" s="42"/>
      <c r="AI1553" s="42"/>
      <c r="AJ1553" s="42"/>
      <c r="AK1553" s="42"/>
      <c r="AO1553" s="86"/>
      <c r="AP1553" s="87"/>
      <c r="AQ1553" s="87"/>
      <c r="AR1553" s="88"/>
      <c r="AS1553" s="87"/>
      <c r="AT1553" s="87"/>
    </row>
    <row r="1554" spans="15:46" x14ac:dyDescent="0.25">
      <c r="O1554" s="49" t="e">
        <f t="shared" si="87"/>
        <v>#N/A</v>
      </c>
      <c r="AE1554" s="42"/>
      <c r="AF1554" s="42"/>
      <c r="AG1554" s="42"/>
      <c r="AH1554" s="42"/>
      <c r="AI1554" s="42"/>
      <c r="AJ1554" s="42"/>
      <c r="AK1554" s="42"/>
      <c r="AO1554" s="86"/>
      <c r="AP1554" s="87"/>
      <c r="AQ1554" s="87"/>
      <c r="AR1554" s="88"/>
      <c r="AS1554" s="87"/>
      <c r="AT1554" s="87"/>
    </row>
    <row r="1555" spans="15:46" x14ac:dyDescent="0.25">
      <c r="O1555" s="49" t="e">
        <f t="shared" si="87"/>
        <v>#N/A</v>
      </c>
      <c r="AE1555" s="42"/>
      <c r="AF1555" s="42"/>
      <c r="AG1555" s="42"/>
      <c r="AH1555" s="42"/>
      <c r="AI1555" s="42"/>
      <c r="AJ1555" s="42"/>
      <c r="AK1555" s="42"/>
      <c r="AO1555" s="86"/>
      <c r="AP1555" s="87"/>
      <c r="AQ1555" s="87"/>
      <c r="AR1555" s="88"/>
      <c r="AS1555" s="87"/>
      <c r="AT1555" s="87"/>
    </row>
    <row r="1556" spans="15:46" x14ac:dyDescent="0.25">
      <c r="O1556" s="49" t="e">
        <f t="shared" si="87"/>
        <v>#N/A</v>
      </c>
      <c r="AE1556" s="42"/>
      <c r="AF1556" s="42"/>
      <c r="AG1556" s="42"/>
      <c r="AH1556" s="42"/>
      <c r="AI1556" s="42"/>
      <c r="AJ1556" s="42"/>
      <c r="AK1556" s="42"/>
      <c r="AO1556" s="86"/>
      <c r="AP1556" s="87"/>
      <c r="AQ1556" s="87"/>
      <c r="AR1556" s="88"/>
      <c r="AS1556" s="87"/>
      <c r="AT1556" s="87"/>
    </row>
    <row r="1557" spans="15:46" x14ac:dyDescent="0.25">
      <c r="O1557" s="49" t="e">
        <f t="shared" si="87"/>
        <v>#N/A</v>
      </c>
      <c r="AE1557" s="42"/>
      <c r="AF1557" s="42"/>
      <c r="AG1557" s="42"/>
      <c r="AH1557" s="42"/>
      <c r="AI1557" s="42"/>
      <c r="AJ1557" s="42"/>
      <c r="AK1557" s="42"/>
      <c r="AO1557" s="86"/>
      <c r="AP1557" s="87"/>
      <c r="AQ1557" s="87"/>
      <c r="AR1557" s="88"/>
      <c r="AS1557" s="87"/>
      <c r="AT1557" s="87"/>
    </row>
    <row r="1558" spans="15:46" x14ac:dyDescent="0.25">
      <c r="O1558" s="49" t="e">
        <f t="shared" si="87"/>
        <v>#N/A</v>
      </c>
      <c r="AE1558" s="42"/>
      <c r="AF1558" s="42"/>
      <c r="AG1558" s="42"/>
      <c r="AH1558" s="42"/>
      <c r="AI1558" s="42"/>
      <c r="AJ1558" s="42"/>
      <c r="AK1558" s="42"/>
      <c r="AO1558" s="86"/>
      <c r="AP1558" s="87"/>
      <c r="AQ1558" s="87"/>
      <c r="AR1558" s="88"/>
      <c r="AS1558" s="87"/>
      <c r="AT1558" s="87"/>
    </row>
    <row r="1559" spans="15:46" x14ac:dyDescent="0.25">
      <c r="O1559" s="49" t="e">
        <f t="shared" ref="O1559:O1622" si="88">IF(ISTEXT(N1559),IF(MID(N1559,11,2)="24",1+DATEVALUE(LEFT(N1559,10))+TIMEVALUE(CONCATENATE(MID(N1559,11,2),":",MID(N1559,13,2))),DATEVALUE(LEFT(N1559,10))+TIMEVALUE(CONCATENATE(MID(N1559,11,2),":",MID(N1559,13,2)))),#N/A)</f>
        <v>#N/A</v>
      </c>
      <c r="AE1559" s="42"/>
      <c r="AF1559" s="42"/>
      <c r="AG1559" s="42"/>
      <c r="AH1559" s="42"/>
      <c r="AI1559" s="42"/>
      <c r="AJ1559" s="42"/>
      <c r="AK1559" s="42"/>
      <c r="AO1559" s="86"/>
      <c r="AP1559" s="87"/>
      <c r="AQ1559" s="87"/>
      <c r="AR1559" s="88"/>
      <c r="AS1559" s="87"/>
      <c r="AT1559" s="87"/>
    </row>
    <row r="1560" spans="15:46" x14ac:dyDescent="0.25">
      <c r="O1560" s="49" t="e">
        <f t="shared" si="88"/>
        <v>#N/A</v>
      </c>
      <c r="AE1560" s="42"/>
      <c r="AF1560" s="42"/>
      <c r="AG1560" s="42"/>
      <c r="AH1560" s="42"/>
      <c r="AI1560" s="42"/>
      <c r="AJ1560" s="42"/>
      <c r="AK1560" s="42"/>
      <c r="AO1560" s="86"/>
      <c r="AP1560" s="87"/>
      <c r="AQ1560" s="87"/>
      <c r="AR1560" s="88"/>
      <c r="AS1560" s="87"/>
      <c r="AT1560" s="87"/>
    </row>
    <row r="1561" spans="15:46" x14ac:dyDescent="0.25">
      <c r="O1561" s="49" t="e">
        <f t="shared" si="88"/>
        <v>#N/A</v>
      </c>
      <c r="AE1561" s="42"/>
      <c r="AF1561" s="42"/>
      <c r="AG1561" s="42"/>
      <c r="AH1561" s="42"/>
      <c r="AI1561" s="42"/>
      <c r="AJ1561" s="42"/>
      <c r="AK1561" s="42"/>
      <c r="AO1561" s="86"/>
      <c r="AP1561" s="87"/>
      <c r="AQ1561" s="87"/>
      <c r="AR1561" s="88"/>
      <c r="AS1561" s="87"/>
      <c r="AT1561" s="87"/>
    </row>
    <row r="1562" spans="15:46" x14ac:dyDescent="0.25">
      <c r="O1562" s="49" t="e">
        <f t="shared" si="88"/>
        <v>#N/A</v>
      </c>
      <c r="AE1562" s="42"/>
      <c r="AF1562" s="42"/>
      <c r="AG1562" s="42"/>
      <c r="AH1562" s="42"/>
      <c r="AI1562" s="42"/>
      <c r="AJ1562" s="42"/>
      <c r="AK1562" s="42"/>
      <c r="AO1562" s="86"/>
      <c r="AP1562" s="87"/>
      <c r="AQ1562" s="87"/>
      <c r="AR1562" s="88"/>
      <c r="AS1562" s="87"/>
      <c r="AT1562" s="87"/>
    </row>
    <row r="1563" spans="15:46" x14ac:dyDescent="0.25">
      <c r="O1563" s="49" t="e">
        <f t="shared" si="88"/>
        <v>#N/A</v>
      </c>
      <c r="AE1563" s="42"/>
      <c r="AF1563" s="42"/>
      <c r="AG1563" s="42"/>
      <c r="AH1563" s="42"/>
      <c r="AI1563" s="42"/>
      <c r="AJ1563" s="42"/>
      <c r="AK1563" s="42"/>
      <c r="AO1563" s="86"/>
      <c r="AP1563" s="87"/>
      <c r="AQ1563" s="87"/>
      <c r="AR1563" s="88"/>
      <c r="AS1563" s="87"/>
      <c r="AT1563" s="87"/>
    </row>
    <row r="1564" spans="15:46" x14ac:dyDescent="0.25">
      <c r="O1564" s="49" t="e">
        <f t="shared" si="88"/>
        <v>#N/A</v>
      </c>
      <c r="AE1564" s="42"/>
      <c r="AF1564" s="42"/>
      <c r="AG1564" s="42"/>
      <c r="AH1564" s="42"/>
      <c r="AI1564" s="42"/>
      <c r="AJ1564" s="42"/>
      <c r="AK1564" s="42"/>
      <c r="AO1564" s="86"/>
      <c r="AP1564" s="87"/>
      <c r="AQ1564" s="87"/>
      <c r="AR1564" s="88"/>
      <c r="AS1564" s="87"/>
      <c r="AT1564" s="87"/>
    </row>
    <row r="1565" spans="15:46" x14ac:dyDescent="0.25">
      <c r="O1565" s="49" t="e">
        <f t="shared" si="88"/>
        <v>#N/A</v>
      </c>
      <c r="AE1565" s="42"/>
      <c r="AF1565" s="42"/>
      <c r="AG1565" s="42"/>
      <c r="AH1565" s="42"/>
      <c r="AI1565" s="42"/>
      <c r="AJ1565" s="42"/>
      <c r="AK1565" s="42"/>
      <c r="AO1565" s="86"/>
      <c r="AP1565" s="87"/>
      <c r="AQ1565" s="87"/>
      <c r="AR1565" s="88"/>
      <c r="AS1565" s="87"/>
      <c r="AT1565" s="87"/>
    </row>
    <row r="1566" spans="15:46" x14ac:dyDescent="0.25">
      <c r="O1566" s="49" t="e">
        <f t="shared" si="88"/>
        <v>#N/A</v>
      </c>
      <c r="AE1566" s="42"/>
      <c r="AF1566" s="42"/>
      <c r="AG1566" s="42"/>
      <c r="AH1566" s="42"/>
      <c r="AI1566" s="42"/>
      <c r="AJ1566" s="42"/>
      <c r="AK1566" s="42"/>
      <c r="AO1566" s="86"/>
      <c r="AP1566" s="87"/>
      <c r="AQ1566" s="87"/>
      <c r="AR1566" s="88"/>
      <c r="AS1566" s="87"/>
      <c r="AT1566" s="87"/>
    </row>
    <row r="1567" spans="15:46" x14ac:dyDescent="0.25">
      <c r="O1567" s="49" t="e">
        <f t="shared" si="88"/>
        <v>#N/A</v>
      </c>
      <c r="AE1567" s="42"/>
      <c r="AF1567" s="42"/>
      <c r="AG1567" s="42"/>
      <c r="AH1567" s="42"/>
      <c r="AI1567" s="42"/>
      <c r="AJ1567" s="42"/>
      <c r="AK1567" s="42"/>
      <c r="AO1567" s="86"/>
      <c r="AP1567" s="87"/>
      <c r="AQ1567" s="87"/>
      <c r="AR1567" s="88"/>
      <c r="AS1567" s="87"/>
      <c r="AT1567" s="87"/>
    </row>
    <row r="1568" spans="15:46" x14ac:dyDescent="0.25">
      <c r="O1568" s="49" t="e">
        <f t="shared" si="88"/>
        <v>#N/A</v>
      </c>
      <c r="AE1568" s="42"/>
      <c r="AF1568" s="42"/>
      <c r="AG1568" s="42"/>
      <c r="AH1568" s="42"/>
      <c r="AI1568" s="42"/>
      <c r="AJ1568" s="42"/>
      <c r="AK1568" s="42"/>
      <c r="AO1568" s="86"/>
      <c r="AP1568" s="87"/>
      <c r="AQ1568" s="87"/>
      <c r="AR1568" s="88"/>
      <c r="AS1568" s="87"/>
      <c r="AT1568" s="87"/>
    </row>
    <row r="1569" spans="15:46" x14ac:dyDescent="0.25">
      <c r="O1569" s="49" t="e">
        <f t="shared" si="88"/>
        <v>#N/A</v>
      </c>
      <c r="AE1569" s="42"/>
      <c r="AF1569" s="42"/>
      <c r="AG1569" s="42"/>
      <c r="AH1569" s="42"/>
      <c r="AI1569" s="42"/>
      <c r="AJ1569" s="42"/>
      <c r="AK1569" s="42"/>
      <c r="AO1569" s="86"/>
      <c r="AP1569" s="87"/>
      <c r="AQ1569" s="87"/>
      <c r="AR1569" s="88"/>
      <c r="AS1569" s="87"/>
      <c r="AT1569" s="87"/>
    </row>
    <row r="1570" spans="15:46" x14ac:dyDescent="0.25">
      <c r="O1570" s="49" t="e">
        <f t="shared" si="88"/>
        <v>#N/A</v>
      </c>
      <c r="AE1570" s="42"/>
      <c r="AF1570" s="42"/>
      <c r="AG1570" s="42"/>
      <c r="AH1570" s="42"/>
      <c r="AI1570" s="42"/>
      <c r="AJ1570" s="42"/>
      <c r="AK1570" s="42"/>
      <c r="AO1570" s="86"/>
      <c r="AP1570" s="87"/>
      <c r="AQ1570" s="87"/>
      <c r="AR1570" s="88"/>
      <c r="AS1570" s="87"/>
      <c r="AT1570" s="87"/>
    </row>
    <row r="1571" spans="15:46" x14ac:dyDescent="0.25">
      <c r="O1571" s="49" t="e">
        <f t="shared" si="88"/>
        <v>#N/A</v>
      </c>
      <c r="AE1571" s="42"/>
      <c r="AF1571" s="42"/>
      <c r="AG1571" s="42"/>
      <c r="AH1571" s="42"/>
      <c r="AI1571" s="42"/>
      <c r="AJ1571" s="42"/>
      <c r="AK1571" s="42"/>
      <c r="AO1571" s="86"/>
      <c r="AP1571" s="87"/>
      <c r="AQ1571" s="87"/>
      <c r="AR1571" s="88"/>
      <c r="AS1571" s="87"/>
      <c r="AT1571" s="87"/>
    </row>
    <row r="1572" spans="15:46" x14ac:dyDescent="0.25">
      <c r="O1572" s="49" t="e">
        <f t="shared" si="88"/>
        <v>#N/A</v>
      </c>
      <c r="AE1572" s="42"/>
      <c r="AF1572" s="42"/>
      <c r="AG1572" s="42"/>
      <c r="AH1572" s="42"/>
      <c r="AI1572" s="42"/>
      <c r="AJ1572" s="42"/>
      <c r="AK1572" s="42"/>
      <c r="AO1572" s="86"/>
      <c r="AP1572" s="87"/>
      <c r="AQ1572" s="87"/>
      <c r="AR1572" s="88"/>
      <c r="AS1572" s="87"/>
      <c r="AT1572" s="87"/>
    </row>
    <row r="1573" spans="15:46" x14ac:dyDescent="0.25">
      <c r="O1573" s="49" t="e">
        <f t="shared" si="88"/>
        <v>#N/A</v>
      </c>
      <c r="AE1573" s="42"/>
      <c r="AF1573" s="42"/>
      <c r="AG1573" s="42"/>
      <c r="AH1573" s="42"/>
      <c r="AI1573" s="42"/>
      <c r="AJ1573" s="42"/>
      <c r="AK1573" s="42"/>
      <c r="AO1573" s="86"/>
      <c r="AP1573" s="87"/>
      <c r="AQ1573" s="87"/>
      <c r="AR1573" s="88"/>
      <c r="AS1573" s="87"/>
      <c r="AT1573" s="87"/>
    </row>
    <row r="1574" spans="15:46" x14ac:dyDescent="0.25">
      <c r="O1574" s="49" t="e">
        <f t="shared" si="88"/>
        <v>#N/A</v>
      </c>
      <c r="AE1574" s="42"/>
      <c r="AF1574" s="42"/>
      <c r="AG1574" s="42"/>
      <c r="AH1574" s="42"/>
      <c r="AI1574" s="42"/>
      <c r="AJ1574" s="42"/>
      <c r="AK1574" s="42"/>
      <c r="AO1574" s="86"/>
      <c r="AP1574" s="87"/>
      <c r="AQ1574" s="87"/>
      <c r="AR1574" s="88"/>
      <c r="AS1574" s="87"/>
      <c r="AT1574" s="87"/>
    </row>
    <row r="1575" spans="15:46" x14ac:dyDescent="0.25">
      <c r="O1575" s="49" t="e">
        <f t="shared" si="88"/>
        <v>#N/A</v>
      </c>
      <c r="AE1575" s="42"/>
      <c r="AF1575" s="42"/>
      <c r="AG1575" s="42"/>
      <c r="AH1575" s="42"/>
      <c r="AI1575" s="42"/>
      <c r="AJ1575" s="42"/>
      <c r="AK1575" s="42"/>
      <c r="AO1575" s="86"/>
      <c r="AP1575" s="87"/>
      <c r="AQ1575" s="87"/>
      <c r="AR1575" s="88"/>
      <c r="AS1575" s="87"/>
      <c r="AT1575" s="87"/>
    </row>
    <row r="1576" spans="15:46" x14ac:dyDescent="0.25">
      <c r="O1576" s="49" t="e">
        <f t="shared" si="88"/>
        <v>#N/A</v>
      </c>
      <c r="AE1576" s="42"/>
      <c r="AF1576" s="42"/>
      <c r="AG1576" s="42"/>
      <c r="AH1576" s="42"/>
      <c r="AI1576" s="42"/>
      <c r="AJ1576" s="42"/>
      <c r="AK1576" s="42"/>
      <c r="AO1576" s="86"/>
      <c r="AP1576" s="87"/>
      <c r="AQ1576" s="87"/>
      <c r="AR1576" s="88"/>
      <c r="AS1576" s="87"/>
      <c r="AT1576" s="87"/>
    </row>
    <row r="1577" spans="15:46" x14ac:dyDescent="0.25">
      <c r="O1577" s="49" t="e">
        <f t="shared" si="88"/>
        <v>#N/A</v>
      </c>
      <c r="AE1577" s="42"/>
      <c r="AF1577" s="42"/>
      <c r="AG1577" s="42"/>
      <c r="AH1577" s="42"/>
      <c r="AI1577" s="42"/>
      <c r="AJ1577" s="42"/>
      <c r="AK1577" s="42"/>
      <c r="AO1577" s="86"/>
      <c r="AP1577" s="87"/>
      <c r="AQ1577" s="87"/>
      <c r="AR1577" s="88"/>
      <c r="AS1577" s="87"/>
      <c r="AT1577" s="87"/>
    </row>
    <row r="1578" spans="15:46" x14ac:dyDescent="0.25">
      <c r="O1578" s="49" t="e">
        <f t="shared" si="88"/>
        <v>#N/A</v>
      </c>
      <c r="AE1578" s="42"/>
      <c r="AF1578" s="42"/>
      <c r="AG1578" s="42"/>
      <c r="AH1578" s="42"/>
      <c r="AI1578" s="42"/>
      <c r="AJ1578" s="42"/>
      <c r="AK1578" s="42"/>
      <c r="AO1578" s="86"/>
      <c r="AP1578" s="87"/>
      <c r="AQ1578" s="87"/>
      <c r="AR1578" s="88"/>
      <c r="AS1578" s="87"/>
      <c r="AT1578" s="87"/>
    </row>
    <row r="1579" spans="15:46" x14ac:dyDescent="0.25">
      <c r="O1579" s="49" t="e">
        <f t="shared" si="88"/>
        <v>#N/A</v>
      </c>
      <c r="AE1579" s="42"/>
      <c r="AF1579" s="42"/>
      <c r="AG1579" s="42"/>
      <c r="AH1579" s="42"/>
      <c r="AI1579" s="42"/>
      <c r="AJ1579" s="42"/>
      <c r="AK1579" s="42"/>
      <c r="AO1579" s="86"/>
      <c r="AP1579" s="87"/>
      <c r="AQ1579" s="87"/>
      <c r="AR1579" s="88"/>
      <c r="AS1579" s="87"/>
      <c r="AT1579" s="87"/>
    </row>
    <row r="1580" spans="15:46" x14ac:dyDescent="0.25">
      <c r="O1580" s="49" t="e">
        <f t="shared" si="88"/>
        <v>#N/A</v>
      </c>
      <c r="AE1580" s="42"/>
      <c r="AF1580" s="42"/>
      <c r="AG1580" s="42"/>
      <c r="AH1580" s="42"/>
      <c r="AI1580" s="42"/>
      <c r="AJ1580" s="42"/>
      <c r="AK1580" s="42"/>
      <c r="AO1580" s="86"/>
      <c r="AP1580" s="87"/>
      <c r="AQ1580" s="87"/>
      <c r="AR1580" s="88"/>
      <c r="AS1580" s="87"/>
      <c r="AT1580" s="87"/>
    </row>
    <row r="1581" spans="15:46" x14ac:dyDescent="0.25">
      <c r="O1581" s="49" t="e">
        <f t="shared" si="88"/>
        <v>#N/A</v>
      </c>
      <c r="AE1581" s="42"/>
      <c r="AF1581" s="42"/>
      <c r="AG1581" s="42"/>
      <c r="AH1581" s="42"/>
      <c r="AI1581" s="42"/>
      <c r="AJ1581" s="42"/>
      <c r="AK1581" s="42"/>
      <c r="AO1581" s="86"/>
      <c r="AP1581" s="87"/>
      <c r="AQ1581" s="87"/>
      <c r="AR1581" s="88"/>
      <c r="AS1581" s="87"/>
      <c r="AT1581" s="87"/>
    </row>
    <row r="1582" spans="15:46" x14ac:dyDescent="0.25">
      <c r="O1582" s="49" t="e">
        <f t="shared" si="88"/>
        <v>#N/A</v>
      </c>
      <c r="AE1582" s="42"/>
      <c r="AF1582" s="42"/>
      <c r="AG1582" s="42"/>
      <c r="AH1582" s="42"/>
      <c r="AI1582" s="42"/>
      <c r="AJ1582" s="42"/>
      <c r="AK1582" s="42"/>
      <c r="AO1582" s="86"/>
      <c r="AP1582" s="87"/>
      <c r="AQ1582" s="87"/>
      <c r="AR1582" s="88"/>
      <c r="AS1582" s="87"/>
      <c r="AT1582" s="87"/>
    </row>
    <row r="1583" spans="15:46" x14ac:dyDescent="0.25">
      <c r="O1583" s="49" t="e">
        <f t="shared" si="88"/>
        <v>#N/A</v>
      </c>
      <c r="AE1583" s="42"/>
      <c r="AF1583" s="42"/>
      <c r="AG1583" s="42"/>
      <c r="AH1583" s="42"/>
      <c r="AI1583" s="42"/>
      <c r="AJ1583" s="42"/>
      <c r="AK1583" s="42"/>
      <c r="AO1583" s="86"/>
      <c r="AP1583" s="87"/>
      <c r="AQ1583" s="87"/>
      <c r="AR1583" s="88"/>
      <c r="AS1583" s="87"/>
      <c r="AT1583" s="87"/>
    </row>
    <row r="1584" spans="15:46" x14ac:dyDescent="0.25">
      <c r="O1584" s="49" t="e">
        <f t="shared" si="88"/>
        <v>#N/A</v>
      </c>
      <c r="AE1584" s="42"/>
      <c r="AF1584" s="42"/>
      <c r="AG1584" s="42"/>
      <c r="AH1584" s="42"/>
      <c r="AI1584" s="42"/>
      <c r="AJ1584" s="42"/>
      <c r="AK1584" s="42"/>
      <c r="AO1584" s="86"/>
      <c r="AP1584" s="87"/>
      <c r="AQ1584" s="87"/>
      <c r="AR1584" s="88"/>
      <c r="AS1584" s="87"/>
      <c r="AT1584" s="87"/>
    </row>
    <row r="1585" spans="15:46" x14ac:dyDescent="0.25">
      <c r="O1585" s="49" t="e">
        <f t="shared" si="88"/>
        <v>#N/A</v>
      </c>
      <c r="AE1585" s="42"/>
      <c r="AF1585" s="42"/>
      <c r="AG1585" s="42"/>
      <c r="AH1585" s="42"/>
      <c r="AI1585" s="42"/>
      <c r="AJ1585" s="42"/>
      <c r="AK1585" s="42"/>
      <c r="AO1585" s="86"/>
      <c r="AP1585" s="87"/>
      <c r="AQ1585" s="87"/>
      <c r="AR1585" s="88"/>
      <c r="AS1585" s="87"/>
      <c r="AT1585" s="87"/>
    </row>
    <row r="1586" spans="15:46" x14ac:dyDescent="0.25">
      <c r="O1586" s="49" t="e">
        <f t="shared" si="88"/>
        <v>#N/A</v>
      </c>
      <c r="AE1586" s="42"/>
      <c r="AF1586" s="42"/>
      <c r="AG1586" s="42"/>
      <c r="AH1586" s="42"/>
      <c r="AI1586" s="42"/>
      <c r="AJ1586" s="42"/>
      <c r="AK1586" s="42"/>
      <c r="AO1586" s="86"/>
      <c r="AP1586" s="87"/>
      <c r="AQ1586" s="87"/>
      <c r="AR1586" s="88"/>
      <c r="AS1586" s="87"/>
      <c r="AT1586" s="87"/>
    </row>
    <row r="1587" spans="15:46" x14ac:dyDescent="0.25">
      <c r="O1587" s="49" t="e">
        <f t="shared" si="88"/>
        <v>#N/A</v>
      </c>
      <c r="AE1587" s="42"/>
      <c r="AF1587" s="42"/>
      <c r="AG1587" s="42"/>
      <c r="AH1587" s="42"/>
      <c r="AI1587" s="42"/>
      <c r="AJ1587" s="42"/>
      <c r="AK1587" s="42"/>
      <c r="AO1587" s="86"/>
      <c r="AP1587" s="87"/>
      <c r="AQ1587" s="87"/>
      <c r="AR1587" s="88"/>
      <c r="AS1587" s="87"/>
      <c r="AT1587" s="87"/>
    </row>
    <row r="1588" spans="15:46" x14ac:dyDescent="0.25">
      <c r="O1588" s="49" t="e">
        <f t="shared" si="88"/>
        <v>#N/A</v>
      </c>
      <c r="AE1588" s="42"/>
      <c r="AF1588" s="42"/>
      <c r="AG1588" s="42"/>
      <c r="AH1588" s="42"/>
      <c r="AI1588" s="42"/>
      <c r="AJ1588" s="42"/>
      <c r="AK1588" s="42"/>
      <c r="AO1588" s="86"/>
      <c r="AP1588" s="87"/>
      <c r="AQ1588" s="87"/>
      <c r="AR1588" s="88"/>
      <c r="AS1588" s="87"/>
      <c r="AT1588" s="87"/>
    </row>
    <row r="1589" spans="15:46" x14ac:dyDescent="0.25">
      <c r="O1589" s="49" t="e">
        <f t="shared" si="88"/>
        <v>#N/A</v>
      </c>
      <c r="AE1589" s="42"/>
      <c r="AF1589" s="42"/>
      <c r="AG1589" s="42"/>
      <c r="AH1589" s="42"/>
      <c r="AI1589" s="42"/>
      <c r="AJ1589" s="42"/>
      <c r="AK1589" s="42"/>
      <c r="AO1589" s="86"/>
      <c r="AP1589" s="87"/>
      <c r="AQ1589" s="87"/>
      <c r="AR1589" s="88"/>
      <c r="AS1589" s="87"/>
      <c r="AT1589" s="87"/>
    </row>
    <row r="1590" spans="15:46" x14ac:dyDescent="0.25">
      <c r="O1590" s="49" t="e">
        <f t="shared" si="88"/>
        <v>#N/A</v>
      </c>
      <c r="AE1590" s="42"/>
      <c r="AF1590" s="42"/>
      <c r="AG1590" s="42"/>
      <c r="AH1590" s="42"/>
      <c r="AI1590" s="42"/>
      <c r="AJ1590" s="42"/>
      <c r="AK1590" s="42"/>
      <c r="AO1590" s="86"/>
      <c r="AP1590" s="87"/>
      <c r="AQ1590" s="87"/>
      <c r="AR1590" s="88"/>
      <c r="AS1590" s="87"/>
      <c r="AT1590" s="87"/>
    </row>
    <row r="1591" spans="15:46" x14ac:dyDescent="0.25">
      <c r="O1591" s="49" t="e">
        <f t="shared" si="88"/>
        <v>#N/A</v>
      </c>
      <c r="AE1591" s="42"/>
      <c r="AF1591" s="42"/>
      <c r="AG1591" s="42"/>
      <c r="AH1591" s="42"/>
      <c r="AI1591" s="42"/>
      <c r="AJ1591" s="42"/>
      <c r="AK1591" s="42"/>
      <c r="AO1591" s="86"/>
      <c r="AP1591" s="87"/>
      <c r="AQ1591" s="87"/>
      <c r="AR1591" s="88"/>
      <c r="AS1591" s="87"/>
      <c r="AT1591" s="87"/>
    </row>
    <row r="1592" spans="15:46" x14ac:dyDescent="0.25">
      <c r="O1592" s="49" t="e">
        <f t="shared" si="88"/>
        <v>#N/A</v>
      </c>
      <c r="AE1592" s="42"/>
      <c r="AF1592" s="42"/>
      <c r="AG1592" s="42"/>
      <c r="AH1592" s="42"/>
      <c r="AI1592" s="42"/>
      <c r="AJ1592" s="42"/>
      <c r="AK1592" s="42"/>
      <c r="AO1592" s="86"/>
      <c r="AP1592" s="87"/>
      <c r="AQ1592" s="87"/>
      <c r="AR1592" s="88"/>
      <c r="AS1592" s="87"/>
      <c r="AT1592" s="87"/>
    </row>
    <row r="1593" spans="15:46" x14ac:dyDescent="0.25">
      <c r="O1593" s="49" t="e">
        <f t="shared" si="88"/>
        <v>#N/A</v>
      </c>
      <c r="AE1593" s="42"/>
      <c r="AF1593" s="42"/>
      <c r="AG1593" s="42"/>
      <c r="AH1593" s="42"/>
      <c r="AI1593" s="42"/>
      <c r="AJ1593" s="42"/>
      <c r="AK1593" s="42"/>
      <c r="AO1593" s="86"/>
      <c r="AP1593" s="87"/>
      <c r="AQ1593" s="87"/>
      <c r="AR1593" s="88"/>
      <c r="AS1593" s="87"/>
      <c r="AT1593" s="87"/>
    </row>
    <row r="1594" spans="15:46" x14ac:dyDescent="0.25">
      <c r="O1594" s="49" t="e">
        <f t="shared" si="88"/>
        <v>#N/A</v>
      </c>
      <c r="AE1594" s="42"/>
      <c r="AF1594" s="42"/>
      <c r="AG1594" s="42"/>
      <c r="AH1594" s="42"/>
      <c r="AI1594" s="42"/>
      <c r="AJ1594" s="42"/>
      <c r="AK1594" s="42"/>
      <c r="AO1594" s="86"/>
      <c r="AP1594" s="87"/>
      <c r="AQ1594" s="87"/>
      <c r="AR1594" s="88"/>
      <c r="AS1594" s="87"/>
      <c r="AT1594" s="87"/>
    </row>
    <row r="1595" spans="15:46" x14ac:dyDescent="0.25">
      <c r="O1595" s="49" t="e">
        <f t="shared" si="88"/>
        <v>#N/A</v>
      </c>
      <c r="AE1595" s="42"/>
      <c r="AF1595" s="42"/>
      <c r="AG1595" s="42"/>
      <c r="AH1595" s="42"/>
      <c r="AI1595" s="42"/>
      <c r="AJ1595" s="42"/>
      <c r="AK1595" s="42"/>
      <c r="AO1595" s="86"/>
      <c r="AP1595" s="87"/>
      <c r="AQ1595" s="87"/>
      <c r="AR1595" s="88"/>
      <c r="AS1595" s="87"/>
      <c r="AT1595" s="87"/>
    </row>
    <row r="1596" spans="15:46" x14ac:dyDescent="0.25">
      <c r="O1596" s="49" t="e">
        <f t="shared" si="88"/>
        <v>#N/A</v>
      </c>
      <c r="AE1596" s="42"/>
      <c r="AF1596" s="42"/>
      <c r="AG1596" s="42"/>
      <c r="AH1596" s="42"/>
      <c r="AI1596" s="42"/>
      <c r="AJ1596" s="42"/>
      <c r="AK1596" s="42"/>
      <c r="AO1596" s="86"/>
      <c r="AP1596" s="87"/>
      <c r="AQ1596" s="87"/>
      <c r="AR1596" s="88"/>
      <c r="AS1596" s="87"/>
      <c r="AT1596" s="87"/>
    </row>
    <row r="1597" spans="15:46" x14ac:dyDescent="0.25">
      <c r="O1597" s="49" t="e">
        <f t="shared" si="88"/>
        <v>#N/A</v>
      </c>
      <c r="AE1597" s="42"/>
      <c r="AF1597" s="42"/>
      <c r="AG1597" s="42"/>
      <c r="AH1597" s="42"/>
      <c r="AI1597" s="42"/>
      <c r="AJ1597" s="42"/>
      <c r="AK1597" s="42"/>
      <c r="AO1597" s="86"/>
      <c r="AP1597" s="87"/>
      <c r="AQ1597" s="87"/>
      <c r="AR1597" s="88"/>
      <c r="AS1597" s="87"/>
      <c r="AT1597" s="87"/>
    </row>
    <row r="1598" spans="15:46" x14ac:dyDescent="0.25">
      <c r="O1598" s="49" t="e">
        <f t="shared" si="88"/>
        <v>#N/A</v>
      </c>
      <c r="AE1598" s="42"/>
      <c r="AF1598" s="42"/>
      <c r="AG1598" s="42"/>
      <c r="AH1598" s="42"/>
      <c r="AI1598" s="42"/>
      <c r="AJ1598" s="42"/>
      <c r="AK1598" s="42"/>
      <c r="AO1598" s="86"/>
      <c r="AP1598" s="87"/>
      <c r="AQ1598" s="87"/>
      <c r="AR1598" s="88"/>
      <c r="AS1598" s="87"/>
      <c r="AT1598" s="87"/>
    </row>
    <row r="1599" spans="15:46" x14ac:dyDescent="0.25">
      <c r="O1599" s="49" t="e">
        <f t="shared" si="88"/>
        <v>#N/A</v>
      </c>
      <c r="AE1599" s="42"/>
      <c r="AF1599" s="42"/>
      <c r="AG1599" s="42"/>
      <c r="AH1599" s="42"/>
      <c r="AI1599" s="42"/>
      <c r="AJ1599" s="42"/>
      <c r="AK1599" s="42"/>
      <c r="AO1599" s="86"/>
      <c r="AP1599" s="87"/>
      <c r="AQ1599" s="87"/>
      <c r="AR1599" s="88"/>
      <c r="AS1599" s="87"/>
      <c r="AT1599" s="87"/>
    </row>
    <row r="1600" spans="15:46" x14ac:dyDescent="0.25">
      <c r="O1600" s="49" t="e">
        <f t="shared" si="88"/>
        <v>#N/A</v>
      </c>
      <c r="AE1600" s="42"/>
      <c r="AF1600" s="42"/>
      <c r="AG1600" s="42"/>
      <c r="AH1600" s="42"/>
      <c r="AI1600" s="42"/>
      <c r="AJ1600" s="42"/>
      <c r="AK1600" s="42"/>
      <c r="AO1600" s="86"/>
      <c r="AP1600" s="87"/>
      <c r="AQ1600" s="87"/>
      <c r="AR1600" s="88"/>
      <c r="AS1600" s="87"/>
      <c r="AT1600" s="87"/>
    </row>
    <row r="1601" spans="15:46" x14ac:dyDescent="0.25">
      <c r="O1601" s="49" t="e">
        <f t="shared" si="88"/>
        <v>#N/A</v>
      </c>
      <c r="AE1601" s="42"/>
      <c r="AF1601" s="42"/>
      <c r="AG1601" s="42"/>
      <c r="AH1601" s="42"/>
      <c r="AI1601" s="42"/>
      <c r="AJ1601" s="42"/>
      <c r="AK1601" s="42"/>
      <c r="AO1601" s="86"/>
      <c r="AP1601" s="87"/>
      <c r="AQ1601" s="87"/>
      <c r="AR1601" s="88"/>
      <c r="AS1601" s="87"/>
      <c r="AT1601" s="87"/>
    </row>
    <row r="1602" spans="15:46" x14ac:dyDescent="0.25">
      <c r="O1602" s="49" t="e">
        <f t="shared" si="88"/>
        <v>#N/A</v>
      </c>
      <c r="AE1602" s="42"/>
      <c r="AF1602" s="42"/>
      <c r="AG1602" s="42"/>
      <c r="AH1602" s="42"/>
      <c r="AI1602" s="42"/>
      <c r="AJ1602" s="42"/>
      <c r="AK1602" s="42"/>
      <c r="AO1602" s="86"/>
      <c r="AP1602" s="87"/>
      <c r="AQ1602" s="87"/>
      <c r="AR1602" s="88"/>
      <c r="AS1602" s="87"/>
      <c r="AT1602" s="87"/>
    </row>
    <row r="1603" spans="15:46" x14ac:dyDescent="0.25">
      <c r="O1603" s="49" t="e">
        <f t="shared" si="88"/>
        <v>#N/A</v>
      </c>
      <c r="AE1603" s="42"/>
      <c r="AF1603" s="42"/>
      <c r="AG1603" s="42"/>
      <c r="AH1603" s="42"/>
      <c r="AI1603" s="42"/>
      <c r="AJ1603" s="42"/>
      <c r="AK1603" s="42"/>
      <c r="AO1603" s="86"/>
      <c r="AP1603" s="87"/>
      <c r="AQ1603" s="87"/>
      <c r="AR1603" s="88"/>
      <c r="AS1603" s="87"/>
      <c r="AT1603" s="87"/>
    </row>
    <row r="1604" spans="15:46" x14ac:dyDescent="0.25">
      <c r="O1604" s="49" t="e">
        <f t="shared" si="88"/>
        <v>#N/A</v>
      </c>
      <c r="AE1604" s="42"/>
      <c r="AF1604" s="42"/>
      <c r="AG1604" s="42"/>
      <c r="AH1604" s="42"/>
      <c r="AI1604" s="42"/>
      <c r="AJ1604" s="42"/>
      <c r="AK1604" s="42"/>
      <c r="AO1604" s="86"/>
      <c r="AP1604" s="87"/>
      <c r="AQ1604" s="87"/>
      <c r="AR1604" s="88"/>
      <c r="AS1604" s="87"/>
      <c r="AT1604" s="87"/>
    </row>
    <row r="1605" spans="15:46" x14ac:dyDescent="0.25">
      <c r="O1605" s="49" t="e">
        <f t="shared" si="88"/>
        <v>#N/A</v>
      </c>
      <c r="AE1605" s="42"/>
      <c r="AF1605" s="42"/>
      <c r="AG1605" s="42"/>
      <c r="AH1605" s="42"/>
      <c r="AI1605" s="42"/>
      <c r="AJ1605" s="42"/>
      <c r="AK1605" s="42"/>
      <c r="AO1605" s="86"/>
      <c r="AP1605" s="87"/>
      <c r="AQ1605" s="87"/>
      <c r="AR1605" s="88"/>
      <c r="AS1605" s="87"/>
      <c r="AT1605" s="87"/>
    </row>
    <row r="1606" spans="15:46" x14ac:dyDescent="0.25">
      <c r="O1606" s="49" t="e">
        <f t="shared" si="88"/>
        <v>#N/A</v>
      </c>
      <c r="AE1606" s="42"/>
      <c r="AF1606" s="42"/>
      <c r="AG1606" s="42"/>
      <c r="AH1606" s="42"/>
      <c r="AI1606" s="42"/>
      <c r="AJ1606" s="42"/>
      <c r="AK1606" s="42"/>
      <c r="AO1606" s="86"/>
      <c r="AP1606" s="87"/>
      <c r="AQ1606" s="87"/>
      <c r="AR1606" s="88"/>
      <c r="AS1606" s="87"/>
      <c r="AT1606" s="87"/>
    </row>
    <row r="1607" spans="15:46" x14ac:dyDescent="0.25">
      <c r="O1607" s="49" t="e">
        <f t="shared" si="88"/>
        <v>#N/A</v>
      </c>
      <c r="AE1607" s="42"/>
      <c r="AF1607" s="42"/>
      <c r="AG1607" s="42"/>
      <c r="AH1607" s="42"/>
      <c r="AI1607" s="42"/>
      <c r="AJ1607" s="42"/>
      <c r="AK1607" s="42"/>
      <c r="AO1607" s="86"/>
      <c r="AP1607" s="87"/>
      <c r="AQ1607" s="87"/>
      <c r="AR1607" s="88"/>
      <c r="AS1607" s="87"/>
      <c r="AT1607" s="87"/>
    </row>
    <row r="1608" spans="15:46" x14ac:dyDescent="0.25">
      <c r="O1608" s="49" t="e">
        <f t="shared" si="88"/>
        <v>#N/A</v>
      </c>
      <c r="AE1608" s="42"/>
      <c r="AF1608" s="42"/>
      <c r="AG1608" s="42"/>
      <c r="AH1608" s="42"/>
      <c r="AI1608" s="42"/>
      <c r="AJ1608" s="42"/>
      <c r="AK1608" s="42"/>
      <c r="AO1608" s="86"/>
      <c r="AP1608" s="87"/>
      <c r="AQ1608" s="87"/>
      <c r="AR1608" s="88"/>
      <c r="AS1608" s="87"/>
      <c r="AT1608" s="87"/>
    </row>
    <row r="1609" spans="15:46" x14ac:dyDescent="0.25">
      <c r="O1609" s="49" t="e">
        <f t="shared" si="88"/>
        <v>#N/A</v>
      </c>
      <c r="AE1609" s="42"/>
      <c r="AF1609" s="42"/>
      <c r="AG1609" s="42"/>
      <c r="AH1609" s="42"/>
      <c r="AI1609" s="42"/>
      <c r="AJ1609" s="42"/>
      <c r="AK1609" s="42"/>
      <c r="AO1609" s="86"/>
      <c r="AP1609" s="87"/>
      <c r="AQ1609" s="87"/>
      <c r="AR1609" s="88"/>
      <c r="AS1609" s="87"/>
      <c r="AT1609" s="87"/>
    </row>
    <row r="1610" spans="15:46" x14ac:dyDescent="0.25">
      <c r="O1610" s="49" t="e">
        <f t="shared" si="88"/>
        <v>#N/A</v>
      </c>
      <c r="AE1610" s="42"/>
      <c r="AF1610" s="42"/>
      <c r="AG1610" s="42"/>
      <c r="AH1610" s="42"/>
      <c r="AI1610" s="42"/>
      <c r="AJ1610" s="42"/>
      <c r="AK1610" s="42"/>
      <c r="AO1610" s="86"/>
      <c r="AP1610" s="87"/>
      <c r="AQ1610" s="87"/>
      <c r="AR1610" s="88"/>
      <c r="AS1610" s="87"/>
      <c r="AT1610" s="87"/>
    </row>
    <row r="1611" spans="15:46" x14ac:dyDescent="0.25">
      <c r="O1611" s="49" t="e">
        <f t="shared" si="88"/>
        <v>#N/A</v>
      </c>
      <c r="AE1611" s="42"/>
      <c r="AF1611" s="42"/>
      <c r="AG1611" s="42"/>
      <c r="AH1611" s="42"/>
      <c r="AI1611" s="42"/>
      <c r="AJ1611" s="42"/>
      <c r="AK1611" s="42"/>
      <c r="AO1611" s="86"/>
      <c r="AP1611" s="87"/>
      <c r="AQ1611" s="87"/>
      <c r="AR1611" s="88"/>
      <c r="AS1611" s="87"/>
      <c r="AT1611" s="87"/>
    </row>
    <row r="1612" spans="15:46" x14ac:dyDescent="0.25">
      <c r="O1612" s="49" t="e">
        <f t="shared" si="88"/>
        <v>#N/A</v>
      </c>
      <c r="AE1612" s="42"/>
      <c r="AF1612" s="42"/>
      <c r="AG1612" s="42"/>
      <c r="AH1612" s="42"/>
      <c r="AI1612" s="42"/>
      <c r="AJ1612" s="42"/>
      <c r="AK1612" s="42"/>
      <c r="AO1612" s="86"/>
      <c r="AP1612" s="87"/>
      <c r="AQ1612" s="87"/>
      <c r="AR1612" s="88"/>
      <c r="AS1612" s="87"/>
      <c r="AT1612" s="87"/>
    </row>
    <row r="1613" spans="15:46" x14ac:dyDescent="0.25">
      <c r="O1613" s="49" t="e">
        <f t="shared" si="88"/>
        <v>#N/A</v>
      </c>
      <c r="AE1613" s="42"/>
      <c r="AF1613" s="42"/>
      <c r="AG1613" s="42"/>
      <c r="AH1613" s="42"/>
      <c r="AI1613" s="42"/>
      <c r="AJ1613" s="42"/>
      <c r="AK1613" s="42"/>
      <c r="AO1613" s="86"/>
      <c r="AP1613" s="87"/>
      <c r="AQ1613" s="87"/>
      <c r="AR1613" s="88"/>
      <c r="AS1613" s="87"/>
      <c r="AT1613" s="87"/>
    </row>
    <row r="1614" spans="15:46" x14ac:dyDescent="0.25">
      <c r="O1614" s="49" t="e">
        <f t="shared" si="88"/>
        <v>#N/A</v>
      </c>
      <c r="AE1614" s="42"/>
      <c r="AF1614" s="42"/>
      <c r="AG1614" s="42"/>
      <c r="AH1614" s="42"/>
      <c r="AI1614" s="42"/>
      <c r="AJ1614" s="42"/>
      <c r="AK1614" s="42"/>
      <c r="AO1614" s="86"/>
      <c r="AP1614" s="87"/>
      <c r="AQ1614" s="87"/>
      <c r="AR1614" s="88"/>
      <c r="AS1614" s="87"/>
      <c r="AT1614" s="87"/>
    </row>
    <row r="1615" spans="15:46" x14ac:dyDescent="0.25">
      <c r="O1615" s="49" t="e">
        <f t="shared" si="88"/>
        <v>#N/A</v>
      </c>
      <c r="AE1615" s="42"/>
      <c r="AF1615" s="42"/>
      <c r="AG1615" s="42"/>
      <c r="AH1615" s="42"/>
      <c r="AI1615" s="42"/>
      <c r="AJ1615" s="42"/>
      <c r="AK1615" s="42"/>
      <c r="AO1615" s="86"/>
      <c r="AP1615" s="87"/>
      <c r="AQ1615" s="87"/>
      <c r="AR1615" s="88"/>
      <c r="AS1615" s="87"/>
      <c r="AT1615" s="87"/>
    </row>
    <row r="1616" spans="15:46" x14ac:dyDescent="0.25">
      <c r="O1616" s="49" t="e">
        <f t="shared" si="88"/>
        <v>#N/A</v>
      </c>
      <c r="AE1616" s="42"/>
      <c r="AF1616" s="42"/>
      <c r="AG1616" s="42"/>
      <c r="AH1616" s="42"/>
      <c r="AI1616" s="42"/>
      <c r="AJ1616" s="42"/>
      <c r="AK1616" s="42"/>
      <c r="AO1616" s="86"/>
      <c r="AP1616" s="87"/>
      <c r="AQ1616" s="87"/>
      <c r="AR1616" s="88"/>
      <c r="AS1616" s="87"/>
      <c r="AT1616" s="87"/>
    </row>
    <row r="1617" spans="15:46" x14ac:dyDescent="0.25">
      <c r="O1617" s="49" t="e">
        <f t="shared" si="88"/>
        <v>#N/A</v>
      </c>
      <c r="AE1617" s="42"/>
      <c r="AF1617" s="42"/>
      <c r="AG1617" s="42"/>
      <c r="AH1617" s="42"/>
      <c r="AI1617" s="42"/>
      <c r="AJ1617" s="42"/>
      <c r="AK1617" s="42"/>
      <c r="AO1617" s="86"/>
      <c r="AP1617" s="87"/>
      <c r="AQ1617" s="87"/>
      <c r="AR1617" s="88"/>
      <c r="AS1617" s="87"/>
      <c r="AT1617" s="87"/>
    </row>
    <row r="1618" spans="15:46" x14ac:dyDescent="0.25">
      <c r="O1618" s="49" t="e">
        <f t="shared" si="88"/>
        <v>#N/A</v>
      </c>
      <c r="AE1618" s="42"/>
      <c r="AF1618" s="42"/>
      <c r="AG1618" s="42"/>
      <c r="AH1618" s="42"/>
      <c r="AI1618" s="42"/>
      <c r="AJ1618" s="42"/>
      <c r="AK1618" s="42"/>
      <c r="AO1618" s="86"/>
      <c r="AP1618" s="87"/>
      <c r="AQ1618" s="87"/>
      <c r="AR1618" s="88"/>
      <c r="AS1618" s="87"/>
      <c r="AT1618" s="87"/>
    </row>
    <row r="1619" spans="15:46" x14ac:dyDescent="0.25">
      <c r="O1619" s="49" t="e">
        <f t="shared" si="88"/>
        <v>#N/A</v>
      </c>
      <c r="AE1619" s="42"/>
      <c r="AF1619" s="42"/>
      <c r="AG1619" s="42"/>
      <c r="AH1619" s="42"/>
      <c r="AI1619" s="42"/>
      <c r="AJ1619" s="42"/>
      <c r="AK1619" s="42"/>
      <c r="AO1619" s="86"/>
      <c r="AP1619" s="87"/>
      <c r="AQ1619" s="87"/>
      <c r="AR1619" s="88"/>
      <c r="AS1619" s="87"/>
      <c r="AT1619" s="87"/>
    </row>
    <row r="1620" spans="15:46" x14ac:dyDescent="0.25">
      <c r="O1620" s="49" t="e">
        <f t="shared" si="88"/>
        <v>#N/A</v>
      </c>
      <c r="AE1620" s="42"/>
      <c r="AF1620" s="42"/>
      <c r="AG1620" s="42"/>
      <c r="AH1620" s="42"/>
      <c r="AI1620" s="42"/>
      <c r="AJ1620" s="42"/>
      <c r="AK1620" s="42"/>
      <c r="AO1620" s="86"/>
      <c r="AP1620" s="87"/>
      <c r="AQ1620" s="87"/>
      <c r="AR1620" s="88"/>
      <c r="AS1620" s="87"/>
      <c r="AT1620" s="87"/>
    </row>
    <row r="1621" spans="15:46" x14ac:dyDescent="0.25">
      <c r="O1621" s="49" t="e">
        <f t="shared" si="88"/>
        <v>#N/A</v>
      </c>
      <c r="AE1621" s="42"/>
      <c r="AF1621" s="42"/>
      <c r="AG1621" s="42"/>
      <c r="AH1621" s="42"/>
      <c r="AI1621" s="42"/>
      <c r="AJ1621" s="42"/>
      <c r="AK1621" s="42"/>
      <c r="AO1621" s="86"/>
      <c r="AP1621" s="87"/>
      <c r="AQ1621" s="87"/>
      <c r="AR1621" s="88"/>
      <c r="AS1621" s="87"/>
      <c r="AT1621" s="87"/>
    </row>
    <row r="1622" spans="15:46" x14ac:dyDescent="0.25">
      <c r="O1622" s="49" t="e">
        <f t="shared" si="88"/>
        <v>#N/A</v>
      </c>
      <c r="AE1622" s="42"/>
      <c r="AF1622" s="42"/>
      <c r="AG1622" s="42"/>
      <c r="AH1622" s="42"/>
      <c r="AI1622" s="42"/>
      <c r="AJ1622" s="42"/>
      <c r="AK1622" s="42"/>
      <c r="AO1622" s="86"/>
      <c r="AP1622" s="87"/>
      <c r="AQ1622" s="87"/>
      <c r="AR1622" s="88"/>
      <c r="AS1622" s="87"/>
      <c r="AT1622" s="87"/>
    </row>
    <row r="1623" spans="15:46" x14ac:dyDescent="0.25">
      <c r="O1623" s="49" t="e">
        <f t="shared" ref="O1623:O1686" si="89">IF(ISTEXT(N1623),IF(MID(N1623,11,2)="24",1+DATEVALUE(LEFT(N1623,10))+TIMEVALUE(CONCATENATE(MID(N1623,11,2),":",MID(N1623,13,2))),DATEVALUE(LEFT(N1623,10))+TIMEVALUE(CONCATENATE(MID(N1623,11,2),":",MID(N1623,13,2)))),#N/A)</f>
        <v>#N/A</v>
      </c>
      <c r="AE1623" s="42"/>
      <c r="AF1623" s="42"/>
      <c r="AG1623" s="42"/>
      <c r="AH1623" s="42"/>
      <c r="AI1623" s="42"/>
      <c r="AJ1623" s="42"/>
      <c r="AK1623" s="42"/>
      <c r="AO1623" s="86"/>
      <c r="AP1623" s="87"/>
      <c r="AQ1623" s="87"/>
      <c r="AR1623" s="88"/>
      <c r="AS1623" s="87"/>
      <c r="AT1623" s="87"/>
    </row>
    <row r="1624" spans="15:46" x14ac:dyDescent="0.25">
      <c r="O1624" s="49" t="e">
        <f t="shared" si="89"/>
        <v>#N/A</v>
      </c>
      <c r="AE1624" s="42"/>
      <c r="AF1624" s="42"/>
      <c r="AG1624" s="42"/>
      <c r="AH1624" s="42"/>
      <c r="AI1624" s="42"/>
      <c r="AJ1624" s="42"/>
      <c r="AK1624" s="42"/>
      <c r="AO1624" s="86"/>
      <c r="AP1624" s="87"/>
      <c r="AQ1624" s="87"/>
      <c r="AR1624" s="88"/>
      <c r="AS1624" s="87"/>
      <c r="AT1624" s="87"/>
    </row>
    <row r="1625" spans="15:46" x14ac:dyDescent="0.25">
      <c r="O1625" s="49" t="e">
        <f t="shared" si="89"/>
        <v>#N/A</v>
      </c>
      <c r="AE1625" s="42"/>
      <c r="AF1625" s="42"/>
      <c r="AG1625" s="42"/>
      <c r="AH1625" s="42"/>
      <c r="AI1625" s="42"/>
      <c r="AJ1625" s="42"/>
      <c r="AK1625" s="42"/>
      <c r="AO1625" s="86"/>
      <c r="AP1625" s="87"/>
      <c r="AQ1625" s="87"/>
      <c r="AR1625" s="88"/>
      <c r="AS1625" s="87"/>
      <c r="AT1625" s="87"/>
    </row>
    <row r="1626" spans="15:46" x14ac:dyDescent="0.25">
      <c r="O1626" s="49" t="e">
        <f t="shared" si="89"/>
        <v>#N/A</v>
      </c>
      <c r="AE1626" s="42"/>
      <c r="AF1626" s="42"/>
      <c r="AG1626" s="42"/>
      <c r="AH1626" s="42"/>
      <c r="AI1626" s="42"/>
      <c r="AJ1626" s="42"/>
      <c r="AK1626" s="42"/>
      <c r="AO1626" s="86"/>
      <c r="AP1626" s="87"/>
      <c r="AQ1626" s="87"/>
      <c r="AR1626" s="88"/>
      <c r="AS1626" s="87"/>
      <c r="AT1626" s="87"/>
    </row>
    <row r="1627" spans="15:46" x14ac:dyDescent="0.25">
      <c r="O1627" s="49" t="e">
        <f t="shared" si="89"/>
        <v>#N/A</v>
      </c>
      <c r="AE1627" s="42"/>
      <c r="AF1627" s="42"/>
      <c r="AG1627" s="42"/>
      <c r="AH1627" s="42"/>
      <c r="AI1627" s="42"/>
      <c r="AJ1627" s="42"/>
      <c r="AK1627" s="42"/>
      <c r="AO1627" s="86"/>
      <c r="AP1627" s="87"/>
      <c r="AQ1627" s="87"/>
      <c r="AR1627" s="88"/>
      <c r="AS1627" s="87"/>
      <c r="AT1627" s="87"/>
    </row>
    <row r="1628" spans="15:46" x14ac:dyDescent="0.25">
      <c r="O1628" s="49" t="e">
        <f t="shared" si="89"/>
        <v>#N/A</v>
      </c>
      <c r="AE1628" s="42"/>
      <c r="AF1628" s="42"/>
      <c r="AG1628" s="42"/>
      <c r="AH1628" s="42"/>
      <c r="AI1628" s="42"/>
      <c r="AJ1628" s="42"/>
      <c r="AK1628" s="42"/>
      <c r="AO1628" s="86"/>
      <c r="AP1628" s="87"/>
      <c r="AQ1628" s="87"/>
      <c r="AR1628" s="88"/>
      <c r="AS1628" s="87"/>
      <c r="AT1628" s="87"/>
    </row>
    <row r="1629" spans="15:46" x14ac:dyDescent="0.25">
      <c r="O1629" s="49" t="e">
        <f t="shared" si="89"/>
        <v>#N/A</v>
      </c>
      <c r="AE1629" s="42"/>
      <c r="AF1629" s="42"/>
      <c r="AG1629" s="42"/>
      <c r="AH1629" s="42"/>
      <c r="AI1629" s="42"/>
      <c r="AJ1629" s="42"/>
      <c r="AK1629" s="42"/>
      <c r="AO1629" s="86"/>
      <c r="AP1629" s="87"/>
      <c r="AQ1629" s="87"/>
      <c r="AR1629" s="88"/>
      <c r="AS1629" s="87"/>
      <c r="AT1629" s="87"/>
    </row>
    <row r="1630" spans="15:46" x14ac:dyDescent="0.25">
      <c r="O1630" s="49" t="e">
        <f t="shared" si="89"/>
        <v>#N/A</v>
      </c>
      <c r="AE1630" s="42"/>
      <c r="AF1630" s="42"/>
      <c r="AG1630" s="42"/>
      <c r="AH1630" s="42"/>
      <c r="AI1630" s="42"/>
      <c r="AJ1630" s="42"/>
      <c r="AK1630" s="42"/>
      <c r="AO1630" s="86"/>
      <c r="AP1630" s="87"/>
      <c r="AQ1630" s="87"/>
      <c r="AR1630" s="88"/>
      <c r="AS1630" s="87"/>
      <c r="AT1630" s="87"/>
    </row>
    <row r="1631" spans="15:46" x14ac:dyDescent="0.25">
      <c r="O1631" s="49" t="e">
        <f t="shared" si="89"/>
        <v>#N/A</v>
      </c>
      <c r="AE1631" s="42"/>
      <c r="AF1631" s="42"/>
      <c r="AG1631" s="42"/>
      <c r="AH1631" s="42"/>
      <c r="AI1631" s="42"/>
      <c r="AJ1631" s="42"/>
      <c r="AK1631" s="42"/>
      <c r="AO1631" s="86"/>
      <c r="AP1631" s="87"/>
      <c r="AQ1631" s="87"/>
      <c r="AR1631" s="88"/>
      <c r="AS1631" s="87"/>
      <c r="AT1631" s="87"/>
    </row>
    <row r="1632" spans="15:46" x14ac:dyDescent="0.25">
      <c r="O1632" s="49" t="e">
        <f t="shared" si="89"/>
        <v>#N/A</v>
      </c>
      <c r="AE1632" s="42"/>
      <c r="AF1632" s="42"/>
      <c r="AG1632" s="42"/>
      <c r="AH1632" s="42"/>
      <c r="AI1632" s="42"/>
      <c r="AJ1632" s="42"/>
      <c r="AK1632" s="42"/>
      <c r="AO1632" s="86"/>
      <c r="AP1632" s="87"/>
      <c r="AQ1632" s="87"/>
      <c r="AR1632" s="88"/>
      <c r="AS1632" s="87"/>
      <c r="AT1632" s="87"/>
    </row>
    <row r="1633" spans="15:46" x14ac:dyDescent="0.25">
      <c r="O1633" s="49" t="e">
        <f t="shared" si="89"/>
        <v>#N/A</v>
      </c>
      <c r="AE1633" s="42"/>
      <c r="AF1633" s="42"/>
      <c r="AG1633" s="42"/>
      <c r="AH1633" s="42"/>
      <c r="AI1633" s="42"/>
      <c r="AJ1633" s="42"/>
      <c r="AK1633" s="42"/>
      <c r="AO1633" s="86"/>
      <c r="AP1633" s="87"/>
      <c r="AQ1633" s="87"/>
      <c r="AR1633" s="88"/>
      <c r="AS1633" s="87"/>
      <c r="AT1633" s="87"/>
    </row>
    <row r="1634" spans="15:46" x14ac:dyDescent="0.25">
      <c r="O1634" s="49" t="e">
        <f t="shared" si="89"/>
        <v>#N/A</v>
      </c>
      <c r="AE1634" s="42"/>
      <c r="AF1634" s="42"/>
      <c r="AG1634" s="42"/>
      <c r="AH1634" s="42"/>
      <c r="AI1634" s="42"/>
      <c r="AJ1634" s="42"/>
      <c r="AK1634" s="42"/>
      <c r="AO1634" s="86"/>
      <c r="AP1634" s="87"/>
      <c r="AQ1634" s="87"/>
      <c r="AR1634" s="88"/>
      <c r="AS1634" s="87"/>
      <c r="AT1634" s="87"/>
    </row>
    <row r="1635" spans="15:46" x14ac:dyDescent="0.25">
      <c r="O1635" s="49" t="e">
        <f t="shared" si="89"/>
        <v>#N/A</v>
      </c>
      <c r="AE1635" s="42"/>
      <c r="AF1635" s="42"/>
      <c r="AG1635" s="42"/>
      <c r="AH1635" s="42"/>
      <c r="AI1635" s="42"/>
      <c r="AJ1635" s="42"/>
      <c r="AK1635" s="42"/>
      <c r="AO1635" s="86"/>
      <c r="AP1635" s="87"/>
      <c r="AQ1635" s="87"/>
      <c r="AR1635" s="88"/>
      <c r="AS1635" s="87"/>
      <c r="AT1635" s="87"/>
    </row>
    <row r="1636" spans="15:46" x14ac:dyDescent="0.25">
      <c r="O1636" s="49" t="e">
        <f t="shared" si="89"/>
        <v>#N/A</v>
      </c>
      <c r="AE1636" s="42"/>
      <c r="AF1636" s="42"/>
      <c r="AG1636" s="42"/>
      <c r="AH1636" s="42"/>
      <c r="AI1636" s="42"/>
      <c r="AJ1636" s="42"/>
      <c r="AK1636" s="42"/>
      <c r="AO1636" s="86"/>
      <c r="AP1636" s="87"/>
      <c r="AQ1636" s="87"/>
      <c r="AR1636" s="88"/>
      <c r="AS1636" s="87"/>
      <c r="AT1636" s="87"/>
    </row>
    <row r="1637" spans="15:46" x14ac:dyDescent="0.25">
      <c r="O1637" s="49" t="e">
        <f t="shared" si="89"/>
        <v>#N/A</v>
      </c>
      <c r="AE1637" s="42"/>
      <c r="AF1637" s="42"/>
      <c r="AG1637" s="42"/>
      <c r="AH1637" s="42"/>
      <c r="AI1637" s="42"/>
      <c r="AJ1637" s="42"/>
      <c r="AK1637" s="42"/>
      <c r="AO1637" s="86"/>
      <c r="AP1637" s="87"/>
      <c r="AQ1637" s="87"/>
      <c r="AR1637" s="88"/>
      <c r="AS1637" s="87"/>
      <c r="AT1637" s="87"/>
    </row>
    <row r="1638" spans="15:46" x14ac:dyDescent="0.25">
      <c r="O1638" s="49" t="e">
        <f t="shared" si="89"/>
        <v>#N/A</v>
      </c>
      <c r="AE1638" s="42"/>
      <c r="AF1638" s="42"/>
      <c r="AG1638" s="42"/>
      <c r="AH1638" s="42"/>
      <c r="AI1638" s="42"/>
      <c r="AJ1638" s="42"/>
      <c r="AK1638" s="42"/>
      <c r="AO1638" s="86"/>
      <c r="AP1638" s="87"/>
      <c r="AQ1638" s="87"/>
      <c r="AR1638" s="88"/>
      <c r="AS1638" s="87"/>
      <c r="AT1638" s="87"/>
    </row>
    <row r="1639" spans="15:46" x14ac:dyDescent="0.25">
      <c r="O1639" s="49" t="e">
        <f t="shared" si="89"/>
        <v>#N/A</v>
      </c>
      <c r="AE1639" s="42"/>
      <c r="AF1639" s="42"/>
      <c r="AG1639" s="42"/>
      <c r="AH1639" s="42"/>
      <c r="AI1639" s="42"/>
      <c r="AJ1639" s="42"/>
      <c r="AK1639" s="42"/>
      <c r="AO1639" s="86"/>
      <c r="AP1639" s="87"/>
      <c r="AQ1639" s="87"/>
      <c r="AR1639" s="88"/>
      <c r="AS1639" s="87"/>
      <c r="AT1639" s="87"/>
    </row>
    <row r="1640" spans="15:46" x14ac:dyDescent="0.25">
      <c r="O1640" s="49" t="e">
        <f t="shared" si="89"/>
        <v>#N/A</v>
      </c>
      <c r="AE1640" s="42"/>
      <c r="AF1640" s="42"/>
      <c r="AG1640" s="42"/>
      <c r="AH1640" s="42"/>
      <c r="AI1640" s="42"/>
      <c r="AJ1640" s="42"/>
      <c r="AK1640" s="42"/>
      <c r="AO1640" s="86"/>
      <c r="AP1640" s="87"/>
      <c r="AQ1640" s="87"/>
      <c r="AR1640" s="88"/>
      <c r="AS1640" s="87"/>
      <c r="AT1640" s="87"/>
    </row>
    <row r="1641" spans="15:46" x14ac:dyDescent="0.25">
      <c r="O1641" s="49" t="e">
        <f t="shared" si="89"/>
        <v>#N/A</v>
      </c>
      <c r="AE1641" s="42"/>
      <c r="AF1641" s="42"/>
      <c r="AG1641" s="42"/>
      <c r="AH1641" s="42"/>
      <c r="AI1641" s="42"/>
      <c r="AJ1641" s="42"/>
      <c r="AK1641" s="42"/>
      <c r="AO1641" s="86"/>
      <c r="AP1641" s="87"/>
      <c r="AQ1641" s="87"/>
      <c r="AR1641" s="88"/>
      <c r="AS1641" s="87"/>
      <c r="AT1641" s="87"/>
    </row>
    <row r="1642" spans="15:46" x14ac:dyDescent="0.25">
      <c r="O1642" s="49" t="e">
        <f t="shared" si="89"/>
        <v>#N/A</v>
      </c>
      <c r="AE1642" s="42"/>
      <c r="AF1642" s="42"/>
      <c r="AG1642" s="42"/>
      <c r="AH1642" s="42"/>
      <c r="AI1642" s="42"/>
      <c r="AJ1642" s="42"/>
      <c r="AK1642" s="42"/>
      <c r="AO1642" s="86"/>
      <c r="AP1642" s="87"/>
      <c r="AQ1642" s="87"/>
      <c r="AR1642" s="88"/>
      <c r="AS1642" s="87"/>
      <c r="AT1642" s="87"/>
    </row>
    <row r="1643" spans="15:46" x14ac:dyDescent="0.25">
      <c r="O1643" s="49" t="e">
        <f t="shared" si="89"/>
        <v>#N/A</v>
      </c>
      <c r="AE1643" s="42"/>
      <c r="AF1643" s="42"/>
      <c r="AG1643" s="42"/>
      <c r="AH1643" s="42"/>
      <c r="AI1643" s="42"/>
      <c r="AJ1643" s="42"/>
      <c r="AK1643" s="42"/>
      <c r="AO1643" s="86"/>
      <c r="AP1643" s="87"/>
      <c r="AQ1643" s="87"/>
      <c r="AR1643" s="88"/>
      <c r="AS1643" s="87"/>
      <c r="AT1643" s="87"/>
    </row>
    <row r="1644" spans="15:46" x14ac:dyDescent="0.25">
      <c r="O1644" s="49" t="e">
        <f t="shared" si="89"/>
        <v>#N/A</v>
      </c>
      <c r="AE1644" s="42"/>
      <c r="AF1644" s="42"/>
      <c r="AG1644" s="42"/>
      <c r="AH1644" s="42"/>
      <c r="AI1644" s="42"/>
      <c r="AJ1644" s="42"/>
      <c r="AK1644" s="42"/>
      <c r="AO1644" s="86"/>
      <c r="AP1644" s="87"/>
      <c r="AQ1644" s="87"/>
      <c r="AR1644" s="88"/>
      <c r="AS1644" s="87"/>
      <c r="AT1644" s="87"/>
    </row>
    <row r="1645" spans="15:46" x14ac:dyDescent="0.25">
      <c r="O1645" s="49" t="e">
        <f t="shared" si="89"/>
        <v>#N/A</v>
      </c>
      <c r="AE1645" s="42"/>
      <c r="AF1645" s="42"/>
      <c r="AG1645" s="42"/>
      <c r="AH1645" s="42"/>
      <c r="AI1645" s="42"/>
      <c r="AJ1645" s="42"/>
      <c r="AK1645" s="42"/>
      <c r="AO1645" s="86"/>
      <c r="AP1645" s="87"/>
      <c r="AQ1645" s="87"/>
      <c r="AR1645" s="88"/>
      <c r="AS1645" s="87"/>
      <c r="AT1645" s="87"/>
    </row>
    <row r="1646" spans="15:46" x14ac:dyDescent="0.25">
      <c r="O1646" s="49" t="e">
        <f t="shared" si="89"/>
        <v>#N/A</v>
      </c>
      <c r="AE1646" s="42"/>
      <c r="AF1646" s="42"/>
      <c r="AG1646" s="42"/>
      <c r="AH1646" s="42"/>
      <c r="AI1646" s="42"/>
      <c r="AJ1646" s="42"/>
      <c r="AK1646" s="42"/>
      <c r="AO1646" s="86"/>
      <c r="AP1646" s="87"/>
      <c r="AQ1646" s="87"/>
      <c r="AR1646" s="88"/>
      <c r="AS1646" s="87"/>
      <c r="AT1646" s="87"/>
    </row>
    <row r="1647" spans="15:46" x14ac:dyDescent="0.25">
      <c r="O1647" s="49" t="e">
        <f t="shared" si="89"/>
        <v>#N/A</v>
      </c>
      <c r="AE1647" s="42"/>
      <c r="AF1647" s="42"/>
      <c r="AG1647" s="42"/>
      <c r="AH1647" s="42"/>
      <c r="AI1647" s="42"/>
      <c r="AJ1647" s="42"/>
      <c r="AK1647" s="42"/>
      <c r="AO1647" s="86"/>
      <c r="AP1647" s="87"/>
      <c r="AQ1647" s="87"/>
      <c r="AR1647" s="88"/>
      <c r="AS1647" s="87"/>
      <c r="AT1647" s="87"/>
    </row>
    <row r="1648" spans="15:46" x14ac:dyDescent="0.25">
      <c r="O1648" s="49" t="e">
        <f t="shared" si="89"/>
        <v>#N/A</v>
      </c>
      <c r="AE1648" s="42"/>
      <c r="AF1648" s="42"/>
      <c r="AG1648" s="42"/>
      <c r="AH1648" s="42"/>
      <c r="AI1648" s="42"/>
      <c r="AJ1648" s="42"/>
      <c r="AK1648" s="42"/>
      <c r="AO1648" s="86"/>
      <c r="AP1648" s="87"/>
      <c r="AQ1648" s="87"/>
      <c r="AR1648" s="88"/>
      <c r="AS1648" s="87"/>
      <c r="AT1648" s="87"/>
    </row>
    <row r="1649" spans="15:46" x14ac:dyDescent="0.25">
      <c r="O1649" s="49" t="e">
        <f t="shared" si="89"/>
        <v>#N/A</v>
      </c>
      <c r="AE1649" s="42"/>
      <c r="AF1649" s="42"/>
      <c r="AG1649" s="42"/>
      <c r="AH1649" s="42"/>
      <c r="AI1649" s="42"/>
      <c r="AJ1649" s="42"/>
      <c r="AK1649" s="42"/>
      <c r="AO1649" s="86"/>
      <c r="AP1649" s="87"/>
      <c r="AQ1649" s="87"/>
      <c r="AR1649" s="88"/>
      <c r="AS1649" s="87"/>
      <c r="AT1649" s="87"/>
    </row>
    <row r="1650" spans="15:46" x14ac:dyDescent="0.25">
      <c r="O1650" s="49" t="e">
        <f t="shared" si="89"/>
        <v>#N/A</v>
      </c>
      <c r="AE1650" s="42"/>
      <c r="AF1650" s="42"/>
      <c r="AG1650" s="42"/>
      <c r="AH1650" s="42"/>
      <c r="AI1650" s="42"/>
      <c r="AJ1650" s="42"/>
      <c r="AK1650" s="42"/>
      <c r="AO1650" s="86"/>
      <c r="AP1650" s="87"/>
      <c r="AQ1650" s="87"/>
      <c r="AR1650" s="88"/>
      <c r="AS1650" s="87"/>
      <c r="AT1650" s="87"/>
    </row>
    <row r="1651" spans="15:46" x14ac:dyDescent="0.25">
      <c r="O1651" s="49" t="e">
        <f t="shared" si="89"/>
        <v>#N/A</v>
      </c>
      <c r="AE1651" s="42"/>
      <c r="AF1651" s="42"/>
      <c r="AG1651" s="42"/>
      <c r="AH1651" s="42"/>
      <c r="AI1651" s="42"/>
      <c r="AJ1651" s="42"/>
      <c r="AK1651" s="42"/>
      <c r="AO1651" s="86"/>
      <c r="AP1651" s="87"/>
      <c r="AQ1651" s="87"/>
      <c r="AR1651" s="88"/>
      <c r="AS1651" s="87"/>
      <c r="AT1651" s="87"/>
    </row>
    <row r="1652" spans="15:46" x14ac:dyDescent="0.25">
      <c r="O1652" s="49" t="e">
        <f t="shared" si="89"/>
        <v>#N/A</v>
      </c>
      <c r="AE1652" s="42"/>
      <c r="AF1652" s="42"/>
      <c r="AG1652" s="42"/>
      <c r="AH1652" s="42"/>
      <c r="AI1652" s="42"/>
      <c r="AJ1652" s="42"/>
      <c r="AK1652" s="42"/>
      <c r="AO1652" s="86"/>
      <c r="AP1652" s="87"/>
      <c r="AQ1652" s="87"/>
      <c r="AR1652" s="88"/>
      <c r="AS1652" s="87"/>
      <c r="AT1652" s="87"/>
    </row>
    <row r="1653" spans="15:46" x14ac:dyDescent="0.25">
      <c r="O1653" s="49" t="e">
        <f t="shared" si="89"/>
        <v>#N/A</v>
      </c>
      <c r="AE1653" s="42"/>
      <c r="AF1653" s="42"/>
      <c r="AG1653" s="42"/>
      <c r="AH1653" s="42"/>
      <c r="AI1653" s="42"/>
      <c r="AJ1653" s="42"/>
      <c r="AK1653" s="42"/>
      <c r="AO1653" s="86"/>
      <c r="AP1653" s="87"/>
      <c r="AQ1653" s="87"/>
      <c r="AR1653" s="88"/>
      <c r="AS1653" s="87"/>
      <c r="AT1653" s="87"/>
    </row>
    <row r="1654" spans="15:46" x14ac:dyDescent="0.25">
      <c r="O1654" s="49" t="e">
        <f t="shared" si="89"/>
        <v>#N/A</v>
      </c>
      <c r="AE1654" s="42"/>
      <c r="AF1654" s="42"/>
      <c r="AG1654" s="42"/>
      <c r="AH1654" s="42"/>
      <c r="AI1654" s="42"/>
      <c r="AJ1654" s="42"/>
      <c r="AK1654" s="42"/>
      <c r="AO1654" s="86"/>
      <c r="AP1654" s="87"/>
      <c r="AQ1654" s="87"/>
      <c r="AR1654" s="88"/>
      <c r="AS1654" s="87"/>
      <c r="AT1654" s="87"/>
    </row>
    <row r="1655" spans="15:46" x14ac:dyDescent="0.25">
      <c r="O1655" s="49" t="e">
        <f t="shared" si="89"/>
        <v>#N/A</v>
      </c>
      <c r="AE1655" s="42"/>
      <c r="AF1655" s="42"/>
      <c r="AG1655" s="42"/>
      <c r="AH1655" s="42"/>
      <c r="AI1655" s="42"/>
      <c r="AJ1655" s="42"/>
      <c r="AK1655" s="42"/>
      <c r="AO1655" s="86"/>
      <c r="AP1655" s="87"/>
      <c r="AQ1655" s="87"/>
      <c r="AR1655" s="88"/>
      <c r="AS1655" s="87"/>
      <c r="AT1655" s="87"/>
    </row>
    <row r="1656" spans="15:46" x14ac:dyDescent="0.25">
      <c r="O1656" s="49" t="e">
        <f t="shared" si="89"/>
        <v>#N/A</v>
      </c>
      <c r="AE1656" s="42"/>
      <c r="AF1656" s="42"/>
      <c r="AG1656" s="42"/>
      <c r="AH1656" s="42"/>
      <c r="AI1656" s="42"/>
      <c r="AJ1656" s="42"/>
      <c r="AK1656" s="42"/>
      <c r="AO1656" s="86"/>
      <c r="AP1656" s="87"/>
      <c r="AQ1656" s="87"/>
      <c r="AR1656" s="88"/>
      <c r="AS1656" s="87"/>
      <c r="AT1656" s="87"/>
    </row>
    <row r="1657" spans="15:46" x14ac:dyDescent="0.25">
      <c r="O1657" s="49" t="e">
        <f t="shared" si="89"/>
        <v>#N/A</v>
      </c>
      <c r="AE1657" s="42"/>
      <c r="AF1657" s="42"/>
      <c r="AG1657" s="42"/>
      <c r="AH1657" s="42"/>
      <c r="AI1657" s="42"/>
      <c r="AJ1657" s="42"/>
      <c r="AK1657" s="42"/>
      <c r="AO1657" s="86"/>
      <c r="AP1657" s="87"/>
      <c r="AQ1657" s="87"/>
      <c r="AR1657" s="88"/>
      <c r="AS1657" s="87"/>
      <c r="AT1657" s="87"/>
    </row>
    <row r="1658" spans="15:46" x14ac:dyDescent="0.25">
      <c r="O1658" s="49" t="e">
        <f t="shared" si="89"/>
        <v>#N/A</v>
      </c>
      <c r="AE1658" s="42"/>
      <c r="AF1658" s="42"/>
      <c r="AG1658" s="42"/>
      <c r="AH1658" s="42"/>
      <c r="AI1658" s="42"/>
      <c r="AJ1658" s="42"/>
      <c r="AK1658" s="42"/>
      <c r="AO1658" s="86"/>
      <c r="AP1658" s="87"/>
      <c r="AQ1658" s="87"/>
      <c r="AR1658" s="88"/>
      <c r="AS1658" s="87"/>
      <c r="AT1658" s="87"/>
    </row>
    <row r="1659" spans="15:46" x14ac:dyDescent="0.25">
      <c r="O1659" s="49" t="e">
        <f t="shared" si="89"/>
        <v>#N/A</v>
      </c>
      <c r="AE1659" s="42"/>
      <c r="AF1659" s="42"/>
      <c r="AG1659" s="42"/>
      <c r="AH1659" s="42"/>
      <c r="AI1659" s="42"/>
      <c r="AJ1659" s="42"/>
      <c r="AK1659" s="42"/>
      <c r="AO1659" s="86"/>
      <c r="AP1659" s="87"/>
      <c r="AQ1659" s="87"/>
      <c r="AR1659" s="88"/>
      <c r="AS1659" s="87"/>
      <c r="AT1659" s="87"/>
    </row>
    <row r="1660" spans="15:46" x14ac:dyDescent="0.25">
      <c r="O1660" s="49" t="e">
        <f t="shared" si="89"/>
        <v>#N/A</v>
      </c>
      <c r="AE1660" s="42"/>
      <c r="AF1660" s="42"/>
      <c r="AG1660" s="42"/>
      <c r="AH1660" s="42"/>
      <c r="AI1660" s="42"/>
      <c r="AJ1660" s="42"/>
      <c r="AK1660" s="42"/>
      <c r="AO1660" s="86"/>
      <c r="AP1660" s="87"/>
      <c r="AQ1660" s="87"/>
      <c r="AR1660" s="88"/>
      <c r="AS1660" s="87"/>
      <c r="AT1660" s="87"/>
    </row>
    <row r="1661" spans="15:46" x14ac:dyDescent="0.25">
      <c r="O1661" s="49" t="e">
        <f t="shared" si="89"/>
        <v>#N/A</v>
      </c>
      <c r="AE1661" s="42"/>
      <c r="AF1661" s="42"/>
      <c r="AG1661" s="42"/>
      <c r="AH1661" s="42"/>
      <c r="AI1661" s="42"/>
      <c r="AJ1661" s="42"/>
      <c r="AK1661" s="42"/>
      <c r="AO1661" s="86"/>
      <c r="AP1661" s="87"/>
      <c r="AQ1661" s="87"/>
      <c r="AR1661" s="88"/>
      <c r="AS1661" s="87"/>
      <c r="AT1661" s="87"/>
    </row>
    <row r="1662" spans="15:46" x14ac:dyDescent="0.25">
      <c r="O1662" s="49" t="e">
        <f t="shared" si="89"/>
        <v>#N/A</v>
      </c>
      <c r="AE1662" s="42"/>
      <c r="AF1662" s="42"/>
      <c r="AG1662" s="42"/>
      <c r="AH1662" s="42"/>
      <c r="AI1662" s="42"/>
      <c r="AJ1662" s="42"/>
      <c r="AK1662" s="42"/>
      <c r="AO1662" s="86"/>
      <c r="AP1662" s="87"/>
      <c r="AQ1662" s="87"/>
      <c r="AR1662" s="88"/>
      <c r="AS1662" s="87"/>
      <c r="AT1662" s="87"/>
    </row>
    <row r="1663" spans="15:46" x14ac:dyDescent="0.25">
      <c r="O1663" s="49" t="e">
        <f t="shared" si="89"/>
        <v>#N/A</v>
      </c>
      <c r="AE1663" s="42"/>
      <c r="AF1663" s="42"/>
      <c r="AG1663" s="42"/>
      <c r="AH1663" s="42"/>
      <c r="AI1663" s="42"/>
      <c r="AJ1663" s="42"/>
      <c r="AK1663" s="42"/>
      <c r="AO1663" s="86"/>
      <c r="AP1663" s="87"/>
      <c r="AQ1663" s="87"/>
      <c r="AR1663" s="88"/>
      <c r="AS1663" s="87"/>
      <c r="AT1663" s="87"/>
    </row>
    <row r="1664" spans="15:46" x14ac:dyDescent="0.25">
      <c r="O1664" s="49" t="e">
        <f t="shared" si="89"/>
        <v>#N/A</v>
      </c>
      <c r="AE1664" s="42"/>
      <c r="AF1664" s="42"/>
      <c r="AG1664" s="42"/>
      <c r="AH1664" s="42"/>
      <c r="AI1664" s="42"/>
      <c r="AJ1664" s="42"/>
      <c r="AK1664" s="42"/>
      <c r="AO1664" s="86"/>
      <c r="AP1664" s="87"/>
      <c r="AQ1664" s="87"/>
      <c r="AR1664" s="88"/>
      <c r="AS1664" s="87"/>
      <c r="AT1664" s="87"/>
    </row>
    <row r="1665" spans="15:46" x14ac:dyDescent="0.25">
      <c r="O1665" s="49" t="e">
        <f t="shared" si="89"/>
        <v>#N/A</v>
      </c>
      <c r="AE1665" s="42"/>
      <c r="AF1665" s="42"/>
      <c r="AG1665" s="42"/>
      <c r="AH1665" s="42"/>
      <c r="AI1665" s="42"/>
      <c r="AJ1665" s="42"/>
      <c r="AK1665" s="42"/>
      <c r="AO1665" s="86"/>
      <c r="AP1665" s="87"/>
      <c r="AQ1665" s="87"/>
      <c r="AR1665" s="88"/>
      <c r="AS1665" s="87"/>
      <c r="AT1665" s="87"/>
    </row>
    <row r="1666" spans="15:46" x14ac:dyDescent="0.25">
      <c r="O1666" s="49" t="e">
        <f t="shared" si="89"/>
        <v>#N/A</v>
      </c>
      <c r="AE1666" s="42"/>
      <c r="AF1666" s="42"/>
      <c r="AG1666" s="42"/>
      <c r="AH1666" s="42"/>
      <c r="AI1666" s="42"/>
      <c r="AJ1666" s="42"/>
      <c r="AK1666" s="42"/>
      <c r="AO1666" s="86"/>
      <c r="AP1666" s="87"/>
      <c r="AQ1666" s="87"/>
      <c r="AR1666" s="88"/>
      <c r="AS1666" s="87"/>
      <c r="AT1666" s="87"/>
    </row>
    <row r="1667" spans="15:46" x14ac:dyDescent="0.25">
      <c r="O1667" s="49" t="e">
        <f t="shared" si="89"/>
        <v>#N/A</v>
      </c>
      <c r="AE1667" s="42"/>
      <c r="AF1667" s="42"/>
      <c r="AG1667" s="42"/>
      <c r="AH1667" s="42"/>
      <c r="AI1667" s="42"/>
      <c r="AJ1667" s="42"/>
      <c r="AK1667" s="42"/>
      <c r="AO1667" s="86"/>
      <c r="AP1667" s="87"/>
      <c r="AQ1667" s="87"/>
      <c r="AR1667" s="88"/>
      <c r="AS1667" s="87"/>
      <c r="AT1667" s="87"/>
    </row>
    <row r="1668" spans="15:46" x14ac:dyDescent="0.25">
      <c r="O1668" s="49" t="e">
        <f t="shared" si="89"/>
        <v>#N/A</v>
      </c>
      <c r="AE1668" s="42"/>
      <c r="AF1668" s="42"/>
      <c r="AG1668" s="42"/>
      <c r="AH1668" s="42"/>
      <c r="AI1668" s="42"/>
      <c r="AJ1668" s="42"/>
      <c r="AK1668" s="42"/>
      <c r="AO1668" s="86"/>
      <c r="AP1668" s="87"/>
      <c r="AQ1668" s="87"/>
      <c r="AR1668" s="88"/>
      <c r="AS1668" s="87"/>
      <c r="AT1668" s="87"/>
    </row>
    <row r="1669" spans="15:46" x14ac:dyDescent="0.25">
      <c r="O1669" s="49" t="e">
        <f t="shared" si="89"/>
        <v>#N/A</v>
      </c>
      <c r="AE1669" s="42"/>
      <c r="AF1669" s="42"/>
      <c r="AG1669" s="42"/>
      <c r="AH1669" s="42"/>
      <c r="AI1669" s="42"/>
      <c r="AJ1669" s="42"/>
      <c r="AK1669" s="42"/>
      <c r="AO1669" s="86"/>
      <c r="AP1669" s="87"/>
      <c r="AQ1669" s="87"/>
      <c r="AR1669" s="88"/>
      <c r="AS1669" s="87"/>
      <c r="AT1669" s="87"/>
    </row>
    <row r="1670" spans="15:46" x14ac:dyDescent="0.25">
      <c r="O1670" s="49" t="e">
        <f t="shared" si="89"/>
        <v>#N/A</v>
      </c>
      <c r="AE1670" s="42"/>
      <c r="AF1670" s="42"/>
      <c r="AG1670" s="42"/>
      <c r="AH1670" s="42"/>
      <c r="AI1670" s="42"/>
      <c r="AJ1670" s="42"/>
      <c r="AK1670" s="42"/>
      <c r="AO1670" s="86"/>
      <c r="AP1670" s="87"/>
      <c r="AQ1670" s="87"/>
      <c r="AR1670" s="88"/>
      <c r="AS1670" s="87"/>
      <c r="AT1670" s="87"/>
    </row>
    <row r="1671" spans="15:46" x14ac:dyDescent="0.25">
      <c r="O1671" s="49" t="e">
        <f t="shared" si="89"/>
        <v>#N/A</v>
      </c>
      <c r="AE1671" s="42"/>
      <c r="AF1671" s="42"/>
      <c r="AG1671" s="42"/>
      <c r="AH1671" s="42"/>
      <c r="AI1671" s="42"/>
      <c r="AJ1671" s="42"/>
      <c r="AK1671" s="42"/>
      <c r="AO1671" s="86"/>
      <c r="AP1671" s="87"/>
      <c r="AQ1671" s="87"/>
      <c r="AR1671" s="88"/>
      <c r="AS1671" s="87"/>
      <c r="AT1671" s="87"/>
    </row>
    <row r="1672" spans="15:46" x14ac:dyDescent="0.25">
      <c r="O1672" s="49" t="e">
        <f t="shared" si="89"/>
        <v>#N/A</v>
      </c>
      <c r="AE1672" s="42"/>
      <c r="AF1672" s="42"/>
      <c r="AG1672" s="42"/>
      <c r="AH1672" s="42"/>
      <c r="AI1672" s="42"/>
      <c r="AJ1672" s="42"/>
      <c r="AK1672" s="42"/>
      <c r="AO1672" s="86"/>
      <c r="AP1672" s="87"/>
      <c r="AQ1672" s="87"/>
      <c r="AR1672" s="88"/>
      <c r="AS1672" s="87"/>
      <c r="AT1672" s="87"/>
    </row>
    <row r="1673" spans="15:46" x14ac:dyDescent="0.25">
      <c r="O1673" s="49" t="e">
        <f t="shared" si="89"/>
        <v>#N/A</v>
      </c>
      <c r="AE1673" s="42"/>
      <c r="AF1673" s="42"/>
      <c r="AG1673" s="42"/>
      <c r="AH1673" s="42"/>
      <c r="AI1673" s="42"/>
      <c r="AJ1673" s="42"/>
      <c r="AK1673" s="42"/>
      <c r="AO1673" s="86"/>
      <c r="AP1673" s="87"/>
      <c r="AQ1673" s="87"/>
      <c r="AR1673" s="88"/>
      <c r="AS1673" s="87"/>
      <c r="AT1673" s="87"/>
    </row>
    <row r="1674" spans="15:46" x14ac:dyDescent="0.25">
      <c r="O1674" s="49" t="e">
        <f t="shared" si="89"/>
        <v>#N/A</v>
      </c>
      <c r="AE1674" s="42"/>
      <c r="AF1674" s="42"/>
      <c r="AG1674" s="42"/>
      <c r="AH1674" s="42"/>
      <c r="AI1674" s="42"/>
      <c r="AJ1674" s="42"/>
      <c r="AK1674" s="42"/>
      <c r="AO1674" s="86"/>
      <c r="AP1674" s="87"/>
      <c r="AQ1674" s="87"/>
      <c r="AR1674" s="88"/>
      <c r="AS1674" s="87"/>
      <c r="AT1674" s="87"/>
    </row>
    <row r="1675" spans="15:46" x14ac:dyDescent="0.25">
      <c r="O1675" s="49" t="e">
        <f t="shared" si="89"/>
        <v>#N/A</v>
      </c>
      <c r="AE1675" s="42"/>
      <c r="AF1675" s="42"/>
      <c r="AG1675" s="42"/>
      <c r="AH1675" s="42"/>
      <c r="AI1675" s="42"/>
      <c r="AJ1675" s="42"/>
      <c r="AK1675" s="42"/>
      <c r="AO1675" s="86"/>
      <c r="AP1675" s="87"/>
      <c r="AQ1675" s="87"/>
      <c r="AR1675" s="88"/>
      <c r="AS1675" s="87"/>
      <c r="AT1675" s="87"/>
    </row>
    <row r="1676" spans="15:46" x14ac:dyDescent="0.25">
      <c r="O1676" s="49" t="e">
        <f t="shared" si="89"/>
        <v>#N/A</v>
      </c>
      <c r="AE1676" s="42"/>
      <c r="AF1676" s="42"/>
      <c r="AG1676" s="42"/>
      <c r="AH1676" s="42"/>
      <c r="AI1676" s="42"/>
      <c r="AJ1676" s="42"/>
      <c r="AK1676" s="42"/>
      <c r="AO1676" s="86"/>
      <c r="AP1676" s="87"/>
      <c r="AQ1676" s="87"/>
      <c r="AR1676" s="88"/>
      <c r="AS1676" s="87"/>
      <c r="AT1676" s="87"/>
    </row>
    <row r="1677" spans="15:46" x14ac:dyDescent="0.25">
      <c r="O1677" s="49" t="e">
        <f t="shared" si="89"/>
        <v>#N/A</v>
      </c>
      <c r="AE1677" s="42"/>
      <c r="AF1677" s="42"/>
      <c r="AG1677" s="42"/>
      <c r="AH1677" s="42"/>
      <c r="AI1677" s="42"/>
      <c r="AJ1677" s="42"/>
      <c r="AK1677" s="42"/>
      <c r="AO1677" s="86"/>
      <c r="AP1677" s="87"/>
      <c r="AQ1677" s="87"/>
      <c r="AR1677" s="88"/>
      <c r="AS1677" s="87"/>
      <c r="AT1677" s="87"/>
    </row>
    <row r="1678" spans="15:46" x14ac:dyDescent="0.25">
      <c r="O1678" s="49" t="e">
        <f t="shared" si="89"/>
        <v>#N/A</v>
      </c>
      <c r="AE1678" s="42"/>
      <c r="AF1678" s="42"/>
      <c r="AG1678" s="42"/>
      <c r="AH1678" s="42"/>
      <c r="AI1678" s="42"/>
      <c r="AJ1678" s="42"/>
      <c r="AK1678" s="42"/>
      <c r="AO1678" s="86"/>
      <c r="AP1678" s="87"/>
      <c r="AQ1678" s="87"/>
      <c r="AR1678" s="88"/>
      <c r="AS1678" s="87"/>
      <c r="AT1678" s="87"/>
    </row>
    <row r="1679" spans="15:46" x14ac:dyDescent="0.25">
      <c r="O1679" s="49" t="e">
        <f t="shared" si="89"/>
        <v>#N/A</v>
      </c>
      <c r="AE1679" s="42"/>
      <c r="AF1679" s="42"/>
      <c r="AG1679" s="42"/>
      <c r="AH1679" s="42"/>
      <c r="AI1679" s="42"/>
      <c r="AJ1679" s="42"/>
      <c r="AK1679" s="42"/>
      <c r="AO1679" s="86"/>
      <c r="AP1679" s="87"/>
      <c r="AQ1679" s="87"/>
      <c r="AR1679" s="88"/>
      <c r="AS1679" s="87"/>
      <c r="AT1679" s="87"/>
    </row>
    <row r="1680" spans="15:46" x14ac:dyDescent="0.25">
      <c r="O1680" s="49" t="e">
        <f t="shared" si="89"/>
        <v>#N/A</v>
      </c>
      <c r="AE1680" s="42"/>
      <c r="AF1680" s="42"/>
      <c r="AG1680" s="42"/>
      <c r="AH1680" s="42"/>
      <c r="AI1680" s="42"/>
      <c r="AJ1680" s="42"/>
      <c r="AK1680" s="42"/>
      <c r="AO1680" s="86"/>
      <c r="AP1680" s="87"/>
      <c r="AQ1680" s="87"/>
      <c r="AR1680" s="88"/>
      <c r="AS1680" s="87"/>
      <c r="AT1680" s="87"/>
    </row>
    <row r="1681" spans="15:46" x14ac:dyDescent="0.25">
      <c r="O1681" s="49" t="e">
        <f t="shared" si="89"/>
        <v>#N/A</v>
      </c>
      <c r="AE1681" s="42"/>
      <c r="AF1681" s="42"/>
      <c r="AG1681" s="42"/>
      <c r="AH1681" s="42"/>
      <c r="AI1681" s="42"/>
      <c r="AJ1681" s="42"/>
      <c r="AK1681" s="42"/>
      <c r="AO1681" s="86"/>
      <c r="AP1681" s="87"/>
      <c r="AQ1681" s="87"/>
      <c r="AR1681" s="88"/>
      <c r="AS1681" s="87"/>
      <c r="AT1681" s="87"/>
    </row>
    <row r="1682" spans="15:46" x14ac:dyDescent="0.25">
      <c r="O1682" s="49" t="e">
        <f t="shared" si="89"/>
        <v>#N/A</v>
      </c>
      <c r="AE1682" s="42"/>
      <c r="AF1682" s="42"/>
      <c r="AG1682" s="42"/>
      <c r="AH1682" s="42"/>
      <c r="AI1682" s="42"/>
      <c r="AJ1682" s="42"/>
      <c r="AK1682" s="42"/>
      <c r="AO1682" s="86"/>
      <c r="AP1682" s="87"/>
      <c r="AQ1682" s="87"/>
      <c r="AR1682" s="88"/>
      <c r="AS1682" s="87"/>
      <c r="AT1682" s="87"/>
    </row>
    <row r="1683" spans="15:46" x14ac:dyDescent="0.25">
      <c r="O1683" s="49" t="e">
        <f t="shared" si="89"/>
        <v>#N/A</v>
      </c>
      <c r="AE1683" s="42"/>
      <c r="AF1683" s="42"/>
      <c r="AG1683" s="42"/>
      <c r="AH1683" s="42"/>
      <c r="AI1683" s="42"/>
      <c r="AJ1683" s="42"/>
      <c r="AK1683" s="42"/>
      <c r="AO1683" s="86"/>
      <c r="AP1683" s="87"/>
      <c r="AQ1683" s="87"/>
      <c r="AR1683" s="88"/>
      <c r="AS1683" s="87"/>
      <c r="AT1683" s="87"/>
    </row>
    <row r="1684" spans="15:46" x14ac:dyDescent="0.25">
      <c r="O1684" s="49" t="e">
        <f t="shared" si="89"/>
        <v>#N/A</v>
      </c>
      <c r="AE1684" s="42"/>
      <c r="AF1684" s="42"/>
      <c r="AG1684" s="42"/>
      <c r="AH1684" s="42"/>
      <c r="AI1684" s="42"/>
      <c r="AJ1684" s="42"/>
      <c r="AK1684" s="42"/>
      <c r="AO1684" s="86"/>
      <c r="AP1684" s="87"/>
      <c r="AQ1684" s="87"/>
      <c r="AR1684" s="88"/>
      <c r="AS1684" s="87"/>
      <c r="AT1684" s="87"/>
    </row>
    <row r="1685" spans="15:46" x14ac:dyDescent="0.25">
      <c r="O1685" s="49" t="e">
        <f t="shared" si="89"/>
        <v>#N/A</v>
      </c>
      <c r="AE1685" s="42"/>
      <c r="AF1685" s="42"/>
      <c r="AG1685" s="42"/>
      <c r="AH1685" s="42"/>
      <c r="AI1685" s="42"/>
      <c r="AJ1685" s="42"/>
      <c r="AK1685" s="42"/>
      <c r="AO1685" s="86"/>
      <c r="AP1685" s="87"/>
      <c r="AQ1685" s="87"/>
      <c r="AR1685" s="88"/>
      <c r="AS1685" s="87"/>
      <c r="AT1685" s="87"/>
    </row>
    <row r="1686" spans="15:46" x14ac:dyDescent="0.25">
      <c r="O1686" s="49" t="e">
        <f t="shared" si="89"/>
        <v>#N/A</v>
      </c>
      <c r="AE1686" s="42"/>
      <c r="AF1686" s="42"/>
      <c r="AG1686" s="42"/>
      <c r="AH1686" s="42"/>
      <c r="AI1686" s="42"/>
      <c r="AJ1686" s="42"/>
      <c r="AK1686" s="42"/>
      <c r="AO1686" s="86"/>
      <c r="AP1686" s="87"/>
      <c r="AQ1686" s="87"/>
      <c r="AR1686" s="88"/>
      <c r="AS1686" s="87"/>
      <c r="AT1686" s="87"/>
    </row>
    <row r="1687" spans="15:46" x14ac:dyDescent="0.25">
      <c r="O1687" s="49" t="e">
        <f t="shared" ref="O1687:O1750" si="90">IF(ISTEXT(N1687),IF(MID(N1687,11,2)="24",1+DATEVALUE(LEFT(N1687,10))+TIMEVALUE(CONCATENATE(MID(N1687,11,2),":",MID(N1687,13,2))),DATEVALUE(LEFT(N1687,10))+TIMEVALUE(CONCATENATE(MID(N1687,11,2),":",MID(N1687,13,2)))),#N/A)</f>
        <v>#N/A</v>
      </c>
      <c r="AE1687" s="42"/>
      <c r="AF1687" s="42"/>
      <c r="AG1687" s="42"/>
      <c r="AH1687" s="42"/>
      <c r="AI1687" s="42"/>
      <c r="AJ1687" s="42"/>
      <c r="AK1687" s="42"/>
      <c r="AO1687" s="86"/>
      <c r="AP1687" s="87"/>
      <c r="AQ1687" s="87"/>
      <c r="AR1687" s="88"/>
      <c r="AS1687" s="87"/>
      <c r="AT1687" s="87"/>
    </row>
    <row r="1688" spans="15:46" x14ac:dyDescent="0.25">
      <c r="O1688" s="49" t="e">
        <f t="shared" si="90"/>
        <v>#N/A</v>
      </c>
      <c r="AE1688" s="42"/>
      <c r="AF1688" s="42"/>
      <c r="AG1688" s="42"/>
      <c r="AH1688" s="42"/>
      <c r="AI1688" s="42"/>
      <c r="AJ1688" s="42"/>
      <c r="AK1688" s="42"/>
      <c r="AO1688" s="86"/>
      <c r="AP1688" s="87"/>
      <c r="AQ1688" s="87"/>
      <c r="AR1688" s="88"/>
      <c r="AS1688" s="87"/>
      <c r="AT1688" s="87"/>
    </row>
    <row r="1689" spans="15:46" x14ac:dyDescent="0.25">
      <c r="O1689" s="49" t="e">
        <f t="shared" si="90"/>
        <v>#N/A</v>
      </c>
      <c r="AE1689" s="42"/>
      <c r="AF1689" s="42"/>
      <c r="AG1689" s="42"/>
      <c r="AH1689" s="42"/>
      <c r="AI1689" s="42"/>
      <c r="AJ1689" s="42"/>
      <c r="AK1689" s="42"/>
      <c r="AO1689" s="86"/>
      <c r="AP1689" s="87"/>
      <c r="AQ1689" s="87"/>
      <c r="AR1689" s="88"/>
      <c r="AS1689" s="87"/>
      <c r="AT1689" s="87"/>
    </row>
    <row r="1690" spans="15:46" x14ac:dyDescent="0.25">
      <c r="O1690" s="49" t="e">
        <f t="shared" si="90"/>
        <v>#N/A</v>
      </c>
      <c r="AE1690" s="42"/>
      <c r="AF1690" s="42"/>
      <c r="AG1690" s="42"/>
      <c r="AH1690" s="42"/>
      <c r="AI1690" s="42"/>
      <c r="AJ1690" s="42"/>
      <c r="AK1690" s="42"/>
      <c r="AO1690" s="86"/>
      <c r="AP1690" s="87"/>
      <c r="AQ1690" s="87"/>
      <c r="AR1690" s="88"/>
      <c r="AS1690" s="87"/>
      <c r="AT1690" s="87"/>
    </row>
    <row r="1691" spans="15:46" x14ac:dyDescent="0.25">
      <c r="O1691" s="49" t="e">
        <f t="shared" si="90"/>
        <v>#N/A</v>
      </c>
      <c r="AE1691" s="42"/>
      <c r="AF1691" s="42"/>
      <c r="AG1691" s="42"/>
      <c r="AH1691" s="42"/>
      <c r="AI1691" s="42"/>
      <c r="AJ1691" s="42"/>
      <c r="AK1691" s="42"/>
      <c r="AO1691" s="86"/>
      <c r="AP1691" s="87"/>
      <c r="AQ1691" s="87"/>
      <c r="AR1691" s="88"/>
      <c r="AS1691" s="87"/>
      <c r="AT1691" s="87"/>
    </row>
    <row r="1692" spans="15:46" x14ac:dyDescent="0.25">
      <c r="O1692" s="49" t="e">
        <f t="shared" si="90"/>
        <v>#N/A</v>
      </c>
      <c r="AE1692" s="42"/>
      <c r="AF1692" s="42"/>
      <c r="AG1692" s="42"/>
      <c r="AH1692" s="42"/>
      <c r="AI1692" s="42"/>
      <c r="AJ1692" s="42"/>
      <c r="AK1692" s="42"/>
      <c r="AO1692" s="86"/>
      <c r="AP1692" s="87"/>
      <c r="AQ1692" s="87"/>
      <c r="AR1692" s="88"/>
      <c r="AS1692" s="87"/>
      <c r="AT1692" s="87"/>
    </row>
    <row r="1693" spans="15:46" x14ac:dyDescent="0.25">
      <c r="O1693" s="49" t="e">
        <f t="shared" si="90"/>
        <v>#N/A</v>
      </c>
      <c r="AE1693" s="42"/>
      <c r="AF1693" s="42"/>
      <c r="AG1693" s="42"/>
      <c r="AH1693" s="42"/>
      <c r="AI1693" s="42"/>
      <c r="AJ1693" s="42"/>
      <c r="AK1693" s="42"/>
      <c r="AO1693" s="86"/>
      <c r="AP1693" s="87"/>
      <c r="AQ1693" s="87"/>
      <c r="AR1693" s="88"/>
      <c r="AS1693" s="87"/>
      <c r="AT1693" s="87"/>
    </row>
    <row r="1694" spans="15:46" x14ac:dyDescent="0.25">
      <c r="O1694" s="49" t="e">
        <f t="shared" si="90"/>
        <v>#N/A</v>
      </c>
      <c r="AE1694" s="42"/>
      <c r="AF1694" s="42"/>
      <c r="AG1694" s="42"/>
      <c r="AH1694" s="42"/>
      <c r="AI1694" s="42"/>
      <c r="AJ1694" s="42"/>
      <c r="AK1694" s="42"/>
      <c r="AO1694" s="86"/>
      <c r="AP1694" s="87"/>
      <c r="AQ1694" s="87"/>
      <c r="AR1694" s="88"/>
      <c r="AS1694" s="87"/>
      <c r="AT1694" s="87"/>
    </row>
    <row r="1695" spans="15:46" x14ac:dyDescent="0.25">
      <c r="O1695" s="49" t="e">
        <f t="shared" si="90"/>
        <v>#N/A</v>
      </c>
      <c r="AE1695" s="42"/>
      <c r="AF1695" s="42"/>
      <c r="AG1695" s="42"/>
      <c r="AH1695" s="42"/>
      <c r="AI1695" s="42"/>
      <c r="AJ1695" s="42"/>
      <c r="AK1695" s="42"/>
      <c r="AO1695" s="86"/>
      <c r="AP1695" s="87"/>
      <c r="AQ1695" s="87"/>
      <c r="AR1695" s="88"/>
      <c r="AS1695" s="87"/>
      <c r="AT1695" s="87"/>
    </row>
    <row r="1696" spans="15:46" x14ac:dyDescent="0.25">
      <c r="O1696" s="49" t="e">
        <f t="shared" si="90"/>
        <v>#N/A</v>
      </c>
      <c r="AE1696" s="42"/>
      <c r="AF1696" s="42"/>
      <c r="AG1696" s="42"/>
      <c r="AH1696" s="42"/>
      <c r="AI1696" s="42"/>
      <c r="AJ1696" s="42"/>
      <c r="AK1696" s="42"/>
      <c r="AO1696" s="86"/>
      <c r="AP1696" s="87"/>
      <c r="AQ1696" s="87"/>
      <c r="AR1696" s="88"/>
      <c r="AS1696" s="87"/>
      <c r="AT1696" s="87"/>
    </row>
    <row r="1697" spans="15:46" x14ac:dyDescent="0.25">
      <c r="O1697" s="49" t="e">
        <f t="shared" si="90"/>
        <v>#N/A</v>
      </c>
      <c r="AE1697" s="42"/>
      <c r="AF1697" s="42"/>
      <c r="AG1697" s="42"/>
      <c r="AH1697" s="42"/>
      <c r="AI1697" s="42"/>
      <c r="AJ1697" s="42"/>
      <c r="AK1697" s="42"/>
      <c r="AO1697" s="86"/>
      <c r="AP1697" s="87"/>
      <c r="AQ1697" s="87"/>
      <c r="AR1697" s="88"/>
      <c r="AS1697" s="87"/>
      <c r="AT1697" s="87"/>
    </row>
    <row r="1698" spans="15:46" x14ac:dyDescent="0.25">
      <c r="O1698" s="49" t="e">
        <f t="shared" si="90"/>
        <v>#N/A</v>
      </c>
      <c r="AE1698" s="42"/>
      <c r="AF1698" s="42"/>
      <c r="AG1698" s="42"/>
      <c r="AH1698" s="42"/>
      <c r="AI1698" s="42"/>
      <c r="AJ1698" s="42"/>
      <c r="AK1698" s="42"/>
      <c r="AO1698" s="86"/>
      <c r="AP1698" s="87"/>
      <c r="AQ1698" s="87"/>
      <c r="AR1698" s="88"/>
      <c r="AS1698" s="87"/>
      <c r="AT1698" s="87"/>
    </row>
    <row r="1699" spans="15:46" x14ac:dyDescent="0.25">
      <c r="O1699" s="49" t="e">
        <f t="shared" si="90"/>
        <v>#N/A</v>
      </c>
      <c r="AE1699" s="42"/>
      <c r="AF1699" s="42"/>
      <c r="AG1699" s="42"/>
      <c r="AH1699" s="42"/>
      <c r="AI1699" s="42"/>
      <c r="AJ1699" s="42"/>
      <c r="AK1699" s="42"/>
      <c r="AO1699" s="86"/>
      <c r="AP1699" s="87"/>
      <c r="AQ1699" s="87"/>
      <c r="AR1699" s="88"/>
      <c r="AS1699" s="87"/>
      <c r="AT1699" s="87"/>
    </row>
    <row r="1700" spans="15:46" x14ac:dyDescent="0.25">
      <c r="O1700" s="49" t="e">
        <f t="shared" si="90"/>
        <v>#N/A</v>
      </c>
      <c r="AE1700" s="42"/>
      <c r="AF1700" s="42"/>
      <c r="AG1700" s="42"/>
      <c r="AH1700" s="42"/>
      <c r="AI1700" s="42"/>
      <c r="AJ1700" s="42"/>
      <c r="AK1700" s="42"/>
      <c r="AO1700" s="86"/>
      <c r="AP1700" s="87"/>
      <c r="AQ1700" s="87"/>
      <c r="AR1700" s="88"/>
      <c r="AS1700" s="87"/>
      <c r="AT1700" s="87"/>
    </row>
    <row r="1701" spans="15:46" x14ac:dyDescent="0.25">
      <c r="O1701" s="49" t="e">
        <f t="shared" si="90"/>
        <v>#N/A</v>
      </c>
      <c r="AE1701" s="42"/>
      <c r="AF1701" s="42"/>
      <c r="AG1701" s="42"/>
      <c r="AH1701" s="42"/>
      <c r="AI1701" s="42"/>
      <c r="AJ1701" s="42"/>
      <c r="AK1701" s="42"/>
      <c r="AO1701" s="86"/>
      <c r="AP1701" s="87"/>
      <c r="AQ1701" s="87"/>
      <c r="AR1701" s="88"/>
      <c r="AS1701" s="87"/>
      <c r="AT1701" s="87"/>
    </row>
    <row r="1702" spans="15:46" x14ac:dyDescent="0.25">
      <c r="O1702" s="49" t="e">
        <f t="shared" si="90"/>
        <v>#N/A</v>
      </c>
      <c r="AE1702" s="42"/>
      <c r="AF1702" s="42"/>
      <c r="AG1702" s="42"/>
      <c r="AH1702" s="42"/>
      <c r="AI1702" s="42"/>
      <c r="AJ1702" s="42"/>
      <c r="AK1702" s="42"/>
      <c r="AO1702" s="86"/>
      <c r="AP1702" s="87"/>
      <c r="AQ1702" s="87"/>
      <c r="AR1702" s="88"/>
      <c r="AS1702" s="87"/>
      <c r="AT1702" s="87"/>
    </row>
    <row r="1703" spans="15:46" x14ac:dyDescent="0.25">
      <c r="O1703" s="49" t="e">
        <f t="shared" si="90"/>
        <v>#N/A</v>
      </c>
      <c r="AE1703" s="42"/>
      <c r="AF1703" s="42"/>
      <c r="AG1703" s="42"/>
      <c r="AH1703" s="42"/>
      <c r="AI1703" s="42"/>
      <c r="AJ1703" s="42"/>
      <c r="AK1703" s="42"/>
      <c r="AO1703" s="86"/>
      <c r="AP1703" s="87"/>
      <c r="AQ1703" s="87"/>
      <c r="AR1703" s="88"/>
      <c r="AS1703" s="87"/>
      <c r="AT1703" s="87"/>
    </row>
    <row r="1704" spans="15:46" x14ac:dyDescent="0.25">
      <c r="O1704" s="49" t="e">
        <f t="shared" si="90"/>
        <v>#N/A</v>
      </c>
      <c r="AE1704" s="42"/>
      <c r="AF1704" s="42"/>
      <c r="AG1704" s="42"/>
      <c r="AH1704" s="42"/>
      <c r="AI1704" s="42"/>
      <c r="AJ1704" s="42"/>
      <c r="AK1704" s="42"/>
      <c r="AO1704" s="86"/>
      <c r="AP1704" s="87"/>
      <c r="AQ1704" s="87"/>
      <c r="AR1704" s="88"/>
      <c r="AS1704" s="87"/>
      <c r="AT1704" s="87"/>
    </row>
    <row r="1705" spans="15:46" x14ac:dyDescent="0.25">
      <c r="O1705" s="49" t="e">
        <f t="shared" si="90"/>
        <v>#N/A</v>
      </c>
      <c r="AE1705" s="42"/>
      <c r="AF1705" s="42"/>
      <c r="AG1705" s="42"/>
      <c r="AH1705" s="42"/>
      <c r="AI1705" s="42"/>
      <c r="AJ1705" s="42"/>
      <c r="AK1705" s="42"/>
      <c r="AO1705" s="86"/>
      <c r="AP1705" s="87"/>
      <c r="AQ1705" s="87"/>
      <c r="AR1705" s="88"/>
      <c r="AS1705" s="87"/>
      <c r="AT1705" s="87"/>
    </row>
    <row r="1706" spans="15:46" x14ac:dyDescent="0.25">
      <c r="O1706" s="49" t="e">
        <f t="shared" si="90"/>
        <v>#N/A</v>
      </c>
      <c r="AE1706" s="42"/>
      <c r="AF1706" s="42"/>
      <c r="AG1706" s="42"/>
      <c r="AH1706" s="42"/>
      <c r="AI1706" s="42"/>
      <c r="AJ1706" s="42"/>
      <c r="AK1706" s="42"/>
      <c r="AO1706" s="86"/>
      <c r="AP1706" s="87"/>
      <c r="AQ1706" s="87"/>
      <c r="AR1706" s="88"/>
      <c r="AS1706" s="87"/>
      <c r="AT1706" s="87"/>
    </row>
    <row r="1707" spans="15:46" x14ac:dyDescent="0.25">
      <c r="O1707" s="49" t="e">
        <f t="shared" si="90"/>
        <v>#N/A</v>
      </c>
      <c r="AE1707" s="42"/>
      <c r="AF1707" s="42"/>
      <c r="AG1707" s="42"/>
      <c r="AH1707" s="42"/>
      <c r="AI1707" s="42"/>
      <c r="AJ1707" s="42"/>
      <c r="AK1707" s="42"/>
      <c r="AO1707" s="86"/>
      <c r="AP1707" s="87"/>
      <c r="AQ1707" s="87"/>
      <c r="AR1707" s="88"/>
      <c r="AS1707" s="87"/>
      <c r="AT1707" s="87"/>
    </row>
    <row r="1708" spans="15:46" x14ac:dyDescent="0.25">
      <c r="O1708" s="49" t="e">
        <f t="shared" si="90"/>
        <v>#N/A</v>
      </c>
      <c r="AE1708" s="42"/>
      <c r="AF1708" s="42"/>
      <c r="AG1708" s="42"/>
      <c r="AH1708" s="42"/>
      <c r="AI1708" s="42"/>
      <c r="AJ1708" s="42"/>
      <c r="AK1708" s="42"/>
      <c r="AO1708" s="86"/>
      <c r="AP1708" s="87"/>
      <c r="AQ1708" s="87"/>
      <c r="AR1708" s="88"/>
      <c r="AS1708" s="87"/>
      <c r="AT1708" s="87"/>
    </row>
    <row r="1709" spans="15:46" x14ac:dyDescent="0.25">
      <c r="O1709" s="49" t="e">
        <f t="shared" si="90"/>
        <v>#N/A</v>
      </c>
      <c r="AE1709" s="42"/>
      <c r="AF1709" s="42"/>
      <c r="AG1709" s="42"/>
      <c r="AH1709" s="42"/>
      <c r="AI1709" s="42"/>
      <c r="AJ1709" s="42"/>
      <c r="AK1709" s="42"/>
      <c r="AO1709" s="86"/>
      <c r="AP1709" s="87"/>
      <c r="AQ1709" s="87"/>
      <c r="AR1709" s="88"/>
      <c r="AS1709" s="87"/>
      <c r="AT1709" s="87"/>
    </row>
    <row r="1710" spans="15:46" x14ac:dyDescent="0.25">
      <c r="O1710" s="49" t="e">
        <f t="shared" si="90"/>
        <v>#N/A</v>
      </c>
      <c r="AE1710" s="42"/>
      <c r="AF1710" s="42"/>
      <c r="AG1710" s="42"/>
      <c r="AH1710" s="42"/>
      <c r="AI1710" s="42"/>
      <c r="AJ1710" s="42"/>
      <c r="AK1710" s="42"/>
      <c r="AO1710" s="86"/>
      <c r="AP1710" s="87"/>
      <c r="AQ1710" s="87"/>
      <c r="AR1710" s="88"/>
      <c r="AS1710" s="87"/>
      <c r="AT1710" s="87"/>
    </row>
    <row r="1711" spans="15:46" x14ac:dyDescent="0.25">
      <c r="O1711" s="49" t="e">
        <f t="shared" si="90"/>
        <v>#N/A</v>
      </c>
      <c r="AE1711" s="42"/>
      <c r="AF1711" s="42"/>
      <c r="AG1711" s="42"/>
      <c r="AH1711" s="42"/>
      <c r="AI1711" s="42"/>
      <c r="AJ1711" s="42"/>
      <c r="AK1711" s="42"/>
      <c r="AO1711" s="86"/>
      <c r="AP1711" s="87"/>
      <c r="AQ1711" s="87"/>
      <c r="AR1711" s="88"/>
      <c r="AS1711" s="87"/>
      <c r="AT1711" s="87"/>
    </row>
    <row r="1712" spans="15:46" x14ac:dyDescent="0.25">
      <c r="O1712" s="49" t="e">
        <f t="shared" si="90"/>
        <v>#N/A</v>
      </c>
      <c r="AE1712" s="42"/>
      <c r="AF1712" s="42"/>
      <c r="AG1712" s="42"/>
      <c r="AH1712" s="42"/>
      <c r="AI1712" s="42"/>
      <c r="AJ1712" s="42"/>
      <c r="AK1712" s="42"/>
      <c r="AO1712" s="86"/>
      <c r="AP1712" s="87"/>
      <c r="AQ1712" s="87"/>
      <c r="AR1712" s="88"/>
      <c r="AS1712" s="87"/>
      <c r="AT1712" s="87"/>
    </row>
    <row r="1713" spans="15:46" x14ac:dyDescent="0.25">
      <c r="O1713" s="49" t="e">
        <f t="shared" si="90"/>
        <v>#N/A</v>
      </c>
      <c r="AE1713" s="42"/>
      <c r="AF1713" s="42"/>
      <c r="AG1713" s="42"/>
      <c r="AH1713" s="42"/>
      <c r="AI1713" s="42"/>
      <c r="AJ1713" s="42"/>
      <c r="AK1713" s="42"/>
      <c r="AO1713" s="86"/>
      <c r="AP1713" s="87"/>
      <c r="AQ1713" s="87"/>
      <c r="AR1713" s="88"/>
      <c r="AS1713" s="87"/>
      <c r="AT1713" s="87"/>
    </row>
    <row r="1714" spans="15:46" x14ac:dyDescent="0.25">
      <c r="O1714" s="49" t="e">
        <f t="shared" si="90"/>
        <v>#N/A</v>
      </c>
      <c r="AE1714" s="42"/>
      <c r="AF1714" s="42"/>
      <c r="AG1714" s="42"/>
      <c r="AH1714" s="42"/>
      <c r="AI1714" s="42"/>
      <c r="AJ1714" s="42"/>
      <c r="AK1714" s="42"/>
      <c r="AO1714" s="86"/>
      <c r="AP1714" s="87"/>
      <c r="AQ1714" s="87"/>
      <c r="AR1714" s="88"/>
      <c r="AS1714" s="87"/>
      <c r="AT1714" s="87"/>
    </row>
    <row r="1715" spans="15:46" x14ac:dyDescent="0.25">
      <c r="O1715" s="49" t="e">
        <f t="shared" si="90"/>
        <v>#N/A</v>
      </c>
      <c r="AE1715" s="42"/>
      <c r="AF1715" s="42"/>
      <c r="AG1715" s="42"/>
      <c r="AH1715" s="42"/>
      <c r="AI1715" s="42"/>
      <c r="AJ1715" s="42"/>
      <c r="AK1715" s="42"/>
      <c r="AO1715" s="86"/>
      <c r="AP1715" s="87"/>
      <c r="AQ1715" s="87"/>
      <c r="AR1715" s="88"/>
      <c r="AS1715" s="87"/>
      <c r="AT1715" s="87"/>
    </row>
    <row r="1716" spans="15:46" x14ac:dyDescent="0.25">
      <c r="O1716" s="49" t="e">
        <f t="shared" si="90"/>
        <v>#N/A</v>
      </c>
      <c r="AE1716" s="42"/>
      <c r="AF1716" s="42"/>
      <c r="AG1716" s="42"/>
      <c r="AH1716" s="42"/>
      <c r="AI1716" s="42"/>
      <c r="AJ1716" s="42"/>
      <c r="AK1716" s="42"/>
      <c r="AO1716" s="86"/>
      <c r="AP1716" s="87"/>
      <c r="AQ1716" s="87"/>
      <c r="AR1716" s="88"/>
      <c r="AS1716" s="87"/>
      <c r="AT1716" s="87"/>
    </row>
    <row r="1717" spans="15:46" x14ac:dyDescent="0.25">
      <c r="O1717" s="49" t="e">
        <f t="shared" si="90"/>
        <v>#N/A</v>
      </c>
      <c r="AE1717" s="42"/>
      <c r="AF1717" s="42"/>
      <c r="AG1717" s="42"/>
      <c r="AH1717" s="42"/>
      <c r="AI1717" s="42"/>
      <c r="AJ1717" s="42"/>
      <c r="AK1717" s="42"/>
      <c r="AO1717" s="86"/>
      <c r="AP1717" s="87"/>
      <c r="AQ1717" s="87"/>
      <c r="AR1717" s="88"/>
      <c r="AS1717" s="87"/>
      <c r="AT1717" s="87"/>
    </row>
    <row r="1718" spans="15:46" x14ac:dyDescent="0.25">
      <c r="O1718" s="49" t="e">
        <f t="shared" si="90"/>
        <v>#N/A</v>
      </c>
      <c r="AE1718" s="42"/>
      <c r="AF1718" s="42"/>
      <c r="AG1718" s="42"/>
      <c r="AH1718" s="42"/>
      <c r="AI1718" s="42"/>
      <c r="AJ1718" s="42"/>
      <c r="AK1718" s="42"/>
      <c r="AO1718" s="86"/>
      <c r="AP1718" s="87"/>
      <c r="AQ1718" s="87"/>
      <c r="AR1718" s="88"/>
      <c r="AS1718" s="87"/>
      <c r="AT1718" s="87"/>
    </row>
    <row r="1719" spans="15:46" x14ac:dyDescent="0.25">
      <c r="O1719" s="49" t="e">
        <f t="shared" si="90"/>
        <v>#N/A</v>
      </c>
      <c r="AE1719" s="42"/>
      <c r="AF1719" s="42"/>
      <c r="AG1719" s="42"/>
      <c r="AH1719" s="42"/>
      <c r="AI1719" s="42"/>
      <c r="AJ1719" s="42"/>
      <c r="AK1719" s="42"/>
      <c r="AO1719" s="86"/>
      <c r="AP1719" s="87"/>
      <c r="AQ1719" s="87"/>
      <c r="AR1719" s="88"/>
      <c r="AS1719" s="87"/>
      <c r="AT1719" s="87"/>
    </row>
    <row r="1720" spans="15:46" x14ac:dyDescent="0.25">
      <c r="O1720" s="49" t="e">
        <f t="shared" si="90"/>
        <v>#N/A</v>
      </c>
      <c r="AE1720" s="42"/>
      <c r="AF1720" s="42"/>
      <c r="AG1720" s="42"/>
      <c r="AH1720" s="42"/>
      <c r="AI1720" s="42"/>
      <c r="AJ1720" s="42"/>
      <c r="AK1720" s="42"/>
      <c r="AO1720" s="86"/>
      <c r="AP1720" s="87"/>
      <c r="AQ1720" s="87"/>
      <c r="AR1720" s="88"/>
      <c r="AS1720" s="87"/>
      <c r="AT1720" s="87"/>
    </row>
    <row r="1721" spans="15:46" x14ac:dyDescent="0.25">
      <c r="O1721" s="49" t="e">
        <f t="shared" si="90"/>
        <v>#N/A</v>
      </c>
      <c r="AE1721" s="42"/>
      <c r="AF1721" s="42"/>
      <c r="AG1721" s="42"/>
      <c r="AH1721" s="42"/>
      <c r="AI1721" s="42"/>
      <c r="AJ1721" s="42"/>
      <c r="AK1721" s="42"/>
      <c r="AO1721" s="86"/>
      <c r="AP1721" s="87"/>
      <c r="AQ1721" s="87"/>
      <c r="AR1721" s="88"/>
      <c r="AS1721" s="87"/>
      <c r="AT1721" s="87"/>
    </row>
    <row r="1722" spans="15:46" x14ac:dyDescent="0.25">
      <c r="O1722" s="49" t="e">
        <f t="shared" si="90"/>
        <v>#N/A</v>
      </c>
      <c r="AE1722" s="42"/>
      <c r="AF1722" s="42"/>
      <c r="AG1722" s="42"/>
      <c r="AH1722" s="42"/>
      <c r="AI1722" s="42"/>
      <c r="AJ1722" s="42"/>
      <c r="AK1722" s="42"/>
      <c r="AO1722" s="86"/>
      <c r="AP1722" s="87"/>
      <c r="AQ1722" s="87"/>
      <c r="AR1722" s="88"/>
      <c r="AS1722" s="87"/>
      <c r="AT1722" s="87"/>
    </row>
    <row r="1723" spans="15:46" x14ac:dyDescent="0.25">
      <c r="O1723" s="49" t="e">
        <f t="shared" si="90"/>
        <v>#N/A</v>
      </c>
      <c r="AE1723" s="42"/>
      <c r="AF1723" s="42"/>
      <c r="AG1723" s="42"/>
      <c r="AH1723" s="42"/>
      <c r="AI1723" s="42"/>
      <c r="AJ1723" s="42"/>
      <c r="AK1723" s="42"/>
      <c r="AO1723" s="86"/>
      <c r="AP1723" s="87"/>
      <c r="AQ1723" s="87"/>
      <c r="AR1723" s="88"/>
      <c r="AS1723" s="87"/>
      <c r="AT1723" s="87"/>
    </row>
    <row r="1724" spans="15:46" x14ac:dyDescent="0.25">
      <c r="O1724" s="49" t="e">
        <f t="shared" si="90"/>
        <v>#N/A</v>
      </c>
      <c r="AE1724" s="42"/>
      <c r="AF1724" s="42"/>
      <c r="AG1724" s="42"/>
      <c r="AH1724" s="42"/>
      <c r="AI1724" s="42"/>
      <c r="AJ1724" s="42"/>
      <c r="AK1724" s="42"/>
      <c r="AO1724" s="86"/>
      <c r="AP1724" s="87"/>
      <c r="AQ1724" s="87"/>
      <c r="AR1724" s="88"/>
      <c r="AS1724" s="87"/>
      <c r="AT1724" s="87"/>
    </row>
    <row r="1725" spans="15:46" x14ac:dyDescent="0.25">
      <c r="O1725" s="49" t="e">
        <f t="shared" si="90"/>
        <v>#N/A</v>
      </c>
      <c r="AE1725" s="42"/>
      <c r="AF1725" s="42"/>
      <c r="AG1725" s="42"/>
      <c r="AH1725" s="42"/>
      <c r="AI1725" s="42"/>
      <c r="AJ1725" s="42"/>
      <c r="AK1725" s="42"/>
      <c r="AO1725" s="86"/>
      <c r="AP1725" s="87"/>
      <c r="AQ1725" s="87"/>
      <c r="AR1725" s="88"/>
      <c r="AS1725" s="87"/>
      <c r="AT1725" s="87"/>
    </row>
    <row r="1726" spans="15:46" x14ac:dyDescent="0.25">
      <c r="O1726" s="49" t="e">
        <f t="shared" si="90"/>
        <v>#N/A</v>
      </c>
      <c r="AE1726" s="42"/>
      <c r="AF1726" s="42"/>
      <c r="AG1726" s="42"/>
      <c r="AH1726" s="42"/>
      <c r="AI1726" s="42"/>
      <c r="AJ1726" s="42"/>
      <c r="AK1726" s="42"/>
      <c r="AO1726" s="86"/>
      <c r="AP1726" s="87"/>
      <c r="AQ1726" s="87"/>
      <c r="AR1726" s="88"/>
      <c r="AS1726" s="87"/>
      <c r="AT1726" s="87"/>
    </row>
    <row r="1727" spans="15:46" x14ac:dyDescent="0.25">
      <c r="O1727" s="49" t="e">
        <f t="shared" si="90"/>
        <v>#N/A</v>
      </c>
      <c r="AE1727" s="42"/>
      <c r="AF1727" s="42"/>
      <c r="AG1727" s="42"/>
      <c r="AH1727" s="42"/>
      <c r="AI1727" s="42"/>
      <c r="AJ1727" s="42"/>
      <c r="AK1727" s="42"/>
      <c r="AO1727" s="86"/>
      <c r="AP1727" s="87"/>
      <c r="AQ1727" s="87"/>
      <c r="AR1727" s="88"/>
      <c r="AS1727" s="87"/>
      <c r="AT1727" s="87"/>
    </row>
    <row r="1728" spans="15:46" x14ac:dyDescent="0.25">
      <c r="O1728" s="49" t="e">
        <f t="shared" si="90"/>
        <v>#N/A</v>
      </c>
      <c r="AE1728" s="42"/>
      <c r="AF1728" s="42"/>
      <c r="AG1728" s="42"/>
      <c r="AH1728" s="42"/>
      <c r="AI1728" s="42"/>
      <c r="AJ1728" s="42"/>
      <c r="AK1728" s="42"/>
      <c r="AO1728" s="86"/>
      <c r="AP1728" s="87"/>
      <c r="AQ1728" s="87"/>
      <c r="AR1728" s="88"/>
      <c r="AS1728" s="87"/>
      <c r="AT1728" s="87"/>
    </row>
    <row r="1729" spans="15:46" x14ac:dyDescent="0.25">
      <c r="O1729" s="49" t="e">
        <f t="shared" si="90"/>
        <v>#N/A</v>
      </c>
      <c r="AE1729" s="42"/>
      <c r="AF1729" s="42"/>
      <c r="AG1729" s="42"/>
      <c r="AH1729" s="42"/>
      <c r="AI1729" s="42"/>
      <c r="AJ1729" s="42"/>
      <c r="AK1729" s="42"/>
      <c r="AO1729" s="86"/>
      <c r="AP1729" s="87"/>
      <c r="AQ1729" s="87"/>
      <c r="AR1729" s="88"/>
      <c r="AS1729" s="87"/>
      <c r="AT1729" s="87"/>
    </row>
    <row r="1730" spans="15:46" x14ac:dyDescent="0.25">
      <c r="O1730" s="49" t="e">
        <f t="shared" si="90"/>
        <v>#N/A</v>
      </c>
      <c r="AE1730" s="42"/>
      <c r="AF1730" s="42"/>
      <c r="AG1730" s="42"/>
      <c r="AH1730" s="42"/>
      <c r="AI1730" s="42"/>
      <c r="AJ1730" s="42"/>
      <c r="AK1730" s="42"/>
      <c r="AO1730" s="86"/>
      <c r="AP1730" s="87"/>
      <c r="AQ1730" s="87"/>
      <c r="AR1730" s="88"/>
      <c r="AS1730" s="87"/>
      <c r="AT1730" s="87"/>
    </row>
    <row r="1731" spans="15:46" x14ac:dyDescent="0.25">
      <c r="O1731" s="49" t="e">
        <f t="shared" si="90"/>
        <v>#N/A</v>
      </c>
      <c r="AE1731" s="42"/>
      <c r="AF1731" s="42"/>
      <c r="AG1731" s="42"/>
      <c r="AH1731" s="42"/>
      <c r="AI1731" s="42"/>
      <c r="AJ1731" s="42"/>
      <c r="AK1731" s="42"/>
      <c r="AO1731" s="86"/>
      <c r="AP1731" s="87"/>
      <c r="AQ1731" s="87"/>
      <c r="AR1731" s="88"/>
      <c r="AS1731" s="87"/>
      <c r="AT1731" s="87"/>
    </row>
    <row r="1732" spans="15:46" x14ac:dyDescent="0.25">
      <c r="O1732" s="49" t="e">
        <f t="shared" si="90"/>
        <v>#N/A</v>
      </c>
      <c r="AE1732" s="42"/>
      <c r="AF1732" s="42"/>
      <c r="AG1732" s="42"/>
      <c r="AH1732" s="42"/>
      <c r="AI1732" s="42"/>
      <c r="AJ1732" s="42"/>
      <c r="AK1732" s="42"/>
      <c r="AO1732" s="86"/>
      <c r="AP1732" s="87"/>
      <c r="AQ1732" s="87"/>
      <c r="AR1732" s="88"/>
      <c r="AS1732" s="87"/>
      <c r="AT1732" s="87"/>
    </row>
    <row r="1733" spans="15:46" x14ac:dyDescent="0.25">
      <c r="O1733" s="49" t="e">
        <f t="shared" si="90"/>
        <v>#N/A</v>
      </c>
      <c r="AE1733" s="42"/>
      <c r="AF1733" s="42"/>
      <c r="AG1733" s="42"/>
      <c r="AH1733" s="42"/>
      <c r="AI1733" s="42"/>
      <c r="AJ1733" s="42"/>
      <c r="AK1733" s="42"/>
      <c r="AO1733" s="86"/>
      <c r="AP1733" s="87"/>
      <c r="AQ1733" s="87"/>
      <c r="AR1733" s="88"/>
      <c r="AS1733" s="87"/>
      <c r="AT1733" s="87"/>
    </row>
    <row r="1734" spans="15:46" x14ac:dyDescent="0.25">
      <c r="O1734" s="49" t="e">
        <f t="shared" si="90"/>
        <v>#N/A</v>
      </c>
      <c r="AE1734" s="42"/>
      <c r="AF1734" s="42"/>
      <c r="AG1734" s="42"/>
      <c r="AH1734" s="42"/>
      <c r="AI1734" s="42"/>
      <c r="AJ1734" s="42"/>
      <c r="AK1734" s="42"/>
      <c r="AO1734" s="86"/>
      <c r="AP1734" s="87"/>
      <c r="AQ1734" s="87"/>
      <c r="AR1734" s="88"/>
      <c r="AS1734" s="87"/>
      <c r="AT1734" s="87"/>
    </row>
    <row r="1735" spans="15:46" x14ac:dyDescent="0.25">
      <c r="O1735" s="49" t="e">
        <f t="shared" si="90"/>
        <v>#N/A</v>
      </c>
      <c r="AE1735" s="42"/>
      <c r="AF1735" s="42"/>
      <c r="AG1735" s="42"/>
      <c r="AH1735" s="42"/>
      <c r="AI1735" s="42"/>
      <c r="AJ1735" s="42"/>
      <c r="AK1735" s="42"/>
      <c r="AO1735" s="86"/>
      <c r="AP1735" s="87"/>
      <c r="AQ1735" s="87"/>
      <c r="AR1735" s="88"/>
      <c r="AS1735" s="87"/>
      <c r="AT1735" s="87"/>
    </row>
    <row r="1736" spans="15:46" x14ac:dyDescent="0.25">
      <c r="O1736" s="49" t="e">
        <f t="shared" si="90"/>
        <v>#N/A</v>
      </c>
      <c r="AE1736" s="42"/>
      <c r="AF1736" s="42"/>
      <c r="AG1736" s="42"/>
      <c r="AH1736" s="42"/>
      <c r="AI1736" s="42"/>
      <c r="AJ1736" s="42"/>
      <c r="AK1736" s="42"/>
      <c r="AO1736" s="86"/>
      <c r="AP1736" s="87"/>
      <c r="AQ1736" s="87"/>
      <c r="AR1736" s="88"/>
      <c r="AS1736" s="87"/>
      <c r="AT1736" s="87"/>
    </row>
    <row r="1737" spans="15:46" x14ac:dyDescent="0.25">
      <c r="O1737" s="49" t="e">
        <f t="shared" si="90"/>
        <v>#N/A</v>
      </c>
      <c r="AE1737" s="42"/>
      <c r="AF1737" s="42"/>
      <c r="AG1737" s="42"/>
      <c r="AH1737" s="42"/>
      <c r="AI1737" s="42"/>
      <c r="AJ1737" s="42"/>
      <c r="AK1737" s="42"/>
      <c r="AO1737" s="86"/>
      <c r="AP1737" s="87"/>
      <c r="AQ1737" s="87"/>
      <c r="AR1737" s="88"/>
      <c r="AS1737" s="87"/>
      <c r="AT1737" s="87"/>
    </row>
    <row r="1738" spans="15:46" x14ac:dyDescent="0.25">
      <c r="O1738" s="49" t="e">
        <f t="shared" si="90"/>
        <v>#N/A</v>
      </c>
      <c r="AE1738" s="42"/>
      <c r="AF1738" s="42"/>
      <c r="AG1738" s="42"/>
      <c r="AH1738" s="42"/>
      <c r="AI1738" s="42"/>
      <c r="AJ1738" s="42"/>
      <c r="AK1738" s="42"/>
      <c r="AO1738" s="86"/>
      <c r="AP1738" s="87"/>
      <c r="AQ1738" s="87"/>
      <c r="AR1738" s="88"/>
      <c r="AS1738" s="87"/>
      <c r="AT1738" s="87"/>
    </row>
    <row r="1739" spans="15:46" x14ac:dyDescent="0.25">
      <c r="O1739" s="49" t="e">
        <f t="shared" si="90"/>
        <v>#N/A</v>
      </c>
      <c r="AE1739" s="42"/>
      <c r="AF1739" s="42"/>
      <c r="AG1739" s="42"/>
      <c r="AH1739" s="42"/>
      <c r="AI1739" s="42"/>
      <c r="AJ1739" s="42"/>
      <c r="AK1739" s="42"/>
      <c r="AO1739" s="86"/>
      <c r="AP1739" s="87"/>
      <c r="AQ1739" s="87"/>
      <c r="AR1739" s="88"/>
      <c r="AS1739" s="87"/>
      <c r="AT1739" s="87"/>
    </row>
    <row r="1740" spans="15:46" x14ac:dyDescent="0.25">
      <c r="O1740" s="49" t="e">
        <f t="shared" si="90"/>
        <v>#N/A</v>
      </c>
      <c r="AE1740" s="42"/>
      <c r="AF1740" s="42"/>
      <c r="AG1740" s="42"/>
      <c r="AH1740" s="42"/>
      <c r="AI1740" s="42"/>
      <c r="AJ1740" s="42"/>
      <c r="AK1740" s="42"/>
      <c r="AO1740" s="86"/>
      <c r="AP1740" s="87"/>
      <c r="AQ1740" s="87"/>
      <c r="AR1740" s="88"/>
      <c r="AS1740" s="87"/>
      <c r="AT1740" s="87"/>
    </row>
    <row r="1741" spans="15:46" x14ac:dyDescent="0.25">
      <c r="O1741" s="49" t="e">
        <f t="shared" si="90"/>
        <v>#N/A</v>
      </c>
      <c r="AE1741" s="42"/>
      <c r="AF1741" s="42"/>
      <c r="AG1741" s="42"/>
      <c r="AH1741" s="42"/>
      <c r="AI1741" s="42"/>
      <c r="AJ1741" s="42"/>
      <c r="AK1741" s="42"/>
      <c r="AO1741" s="86"/>
      <c r="AP1741" s="87"/>
      <c r="AQ1741" s="87"/>
      <c r="AR1741" s="88"/>
      <c r="AS1741" s="87"/>
      <c r="AT1741" s="87"/>
    </row>
    <row r="1742" spans="15:46" x14ac:dyDescent="0.25">
      <c r="O1742" s="49" t="e">
        <f t="shared" si="90"/>
        <v>#N/A</v>
      </c>
      <c r="AE1742" s="42"/>
      <c r="AF1742" s="42"/>
      <c r="AG1742" s="42"/>
      <c r="AH1742" s="42"/>
      <c r="AI1742" s="42"/>
      <c r="AJ1742" s="42"/>
      <c r="AK1742" s="42"/>
      <c r="AO1742" s="86"/>
      <c r="AP1742" s="87"/>
      <c r="AQ1742" s="87"/>
      <c r="AR1742" s="88"/>
      <c r="AS1742" s="87"/>
      <c r="AT1742" s="87"/>
    </row>
    <row r="1743" spans="15:46" x14ac:dyDescent="0.25">
      <c r="O1743" s="49" t="e">
        <f t="shared" si="90"/>
        <v>#N/A</v>
      </c>
      <c r="AE1743" s="42"/>
      <c r="AF1743" s="42"/>
      <c r="AG1743" s="42"/>
      <c r="AH1743" s="42"/>
      <c r="AI1743" s="42"/>
      <c r="AJ1743" s="42"/>
      <c r="AK1743" s="42"/>
      <c r="AO1743" s="86"/>
      <c r="AP1743" s="87"/>
      <c r="AQ1743" s="87"/>
      <c r="AR1743" s="88"/>
      <c r="AS1743" s="87"/>
      <c r="AT1743" s="87"/>
    </row>
    <row r="1744" spans="15:46" x14ac:dyDescent="0.25">
      <c r="O1744" s="49" t="e">
        <f t="shared" si="90"/>
        <v>#N/A</v>
      </c>
      <c r="AE1744" s="42"/>
      <c r="AF1744" s="42"/>
      <c r="AG1744" s="42"/>
      <c r="AH1744" s="42"/>
      <c r="AI1744" s="42"/>
      <c r="AJ1744" s="42"/>
      <c r="AK1744" s="42"/>
      <c r="AO1744" s="86"/>
      <c r="AP1744" s="87"/>
      <c r="AQ1744" s="87"/>
      <c r="AR1744" s="88"/>
      <c r="AS1744" s="87"/>
      <c r="AT1744" s="87"/>
    </row>
    <row r="1745" spans="15:46" x14ac:dyDescent="0.25">
      <c r="O1745" s="49" t="e">
        <f t="shared" si="90"/>
        <v>#N/A</v>
      </c>
      <c r="AE1745" s="42"/>
      <c r="AF1745" s="42"/>
      <c r="AG1745" s="42"/>
      <c r="AH1745" s="42"/>
      <c r="AI1745" s="42"/>
      <c r="AJ1745" s="42"/>
      <c r="AK1745" s="42"/>
      <c r="AO1745" s="86"/>
      <c r="AP1745" s="87"/>
      <c r="AQ1745" s="87"/>
      <c r="AR1745" s="88"/>
      <c r="AS1745" s="87"/>
      <c r="AT1745" s="87"/>
    </row>
    <row r="1746" spans="15:46" x14ac:dyDescent="0.25">
      <c r="O1746" s="49" t="e">
        <f t="shared" si="90"/>
        <v>#N/A</v>
      </c>
      <c r="AE1746" s="42"/>
      <c r="AF1746" s="42"/>
      <c r="AG1746" s="42"/>
      <c r="AH1746" s="42"/>
      <c r="AI1746" s="42"/>
      <c r="AJ1746" s="42"/>
      <c r="AK1746" s="42"/>
      <c r="AO1746" s="86"/>
      <c r="AP1746" s="87"/>
      <c r="AQ1746" s="87"/>
      <c r="AR1746" s="88"/>
      <c r="AS1746" s="87"/>
      <c r="AT1746" s="87"/>
    </row>
    <row r="1747" spans="15:46" x14ac:dyDescent="0.25">
      <c r="O1747" s="49" t="e">
        <f t="shared" si="90"/>
        <v>#N/A</v>
      </c>
      <c r="AE1747" s="42"/>
      <c r="AF1747" s="42"/>
      <c r="AG1747" s="42"/>
      <c r="AH1747" s="42"/>
      <c r="AI1747" s="42"/>
      <c r="AJ1747" s="42"/>
      <c r="AK1747" s="42"/>
      <c r="AO1747" s="86"/>
      <c r="AP1747" s="87"/>
      <c r="AQ1747" s="87"/>
      <c r="AR1747" s="88"/>
      <c r="AS1747" s="87"/>
      <c r="AT1747" s="87"/>
    </row>
    <row r="1748" spans="15:46" x14ac:dyDescent="0.25">
      <c r="O1748" s="49" t="e">
        <f t="shared" si="90"/>
        <v>#N/A</v>
      </c>
      <c r="AE1748" s="42"/>
      <c r="AF1748" s="42"/>
      <c r="AG1748" s="42"/>
      <c r="AH1748" s="42"/>
      <c r="AI1748" s="42"/>
      <c r="AJ1748" s="42"/>
      <c r="AK1748" s="42"/>
      <c r="AO1748" s="86"/>
      <c r="AP1748" s="87"/>
      <c r="AQ1748" s="87"/>
      <c r="AR1748" s="88"/>
      <c r="AS1748" s="87"/>
      <c r="AT1748" s="87"/>
    </row>
    <row r="1749" spans="15:46" x14ac:dyDescent="0.25">
      <c r="O1749" s="49" t="e">
        <f t="shared" si="90"/>
        <v>#N/A</v>
      </c>
      <c r="AE1749" s="42"/>
      <c r="AF1749" s="42"/>
      <c r="AG1749" s="42"/>
      <c r="AH1749" s="42"/>
      <c r="AI1749" s="42"/>
      <c r="AJ1749" s="42"/>
      <c r="AK1749" s="42"/>
      <c r="AO1749" s="86"/>
      <c r="AP1749" s="87"/>
      <c r="AQ1749" s="87"/>
      <c r="AR1749" s="88"/>
      <c r="AS1749" s="87"/>
      <c r="AT1749" s="87"/>
    </row>
    <row r="1750" spans="15:46" x14ac:dyDescent="0.25">
      <c r="O1750" s="49" t="e">
        <f t="shared" si="90"/>
        <v>#N/A</v>
      </c>
      <c r="AE1750" s="42"/>
      <c r="AF1750" s="42"/>
      <c r="AG1750" s="42"/>
      <c r="AH1750" s="42"/>
      <c r="AI1750" s="42"/>
      <c r="AJ1750" s="42"/>
      <c r="AK1750" s="42"/>
      <c r="AO1750" s="86"/>
      <c r="AP1750" s="87"/>
      <c r="AQ1750" s="87"/>
      <c r="AR1750" s="88"/>
      <c r="AS1750" s="87"/>
      <c r="AT1750" s="87"/>
    </row>
    <row r="1751" spans="15:46" x14ac:dyDescent="0.25">
      <c r="O1751" s="49" t="e">
        <f t="shared" ref="O1751:O1814" si="91">IF(ISTEXT(N1751),IF(MID(N1751,11,2)="24",1+DATEVALUE(LEFT(N1751,10))+TIMEVALUE(CONCATENATE(MID(N1751,11,2),":",MID(N1751,13,2))),DATEVALUE(LEFT(N1751,10))+TIMEVALUE(CONCATENATE(MID(N1751,11,2),":",MID(N1751,13,2)))),#N/A)</f>
        <v>#N/A</v>
      </c>
      <c r="AE1751" s="42"/>
      <c r="AF1751" s="42"/>
      <c r="AG1751" s="42"/>
      <c r="AH1751" s="42"/>
      <c r="AI1751" s="42"/>
      <c r="AJ1751" s="42"/>
      <c r="AK1751" s="42"/>
      <c r="AO1751" s="86"/>
      <c r="AP1751" s="87"/>
      <c r="AQ1751" s="87"/>
      <c r="AR1751" s="88"/>
      <c r="AS1751" s="87"/>
      <c r="AT1751" s="87"/>
    </row>
    <row r="1752" spans="15:46" x14ac:dyDescent="0.25">
      <c r="O1752" s="49" t="e">
        <f t="shared" si="91"/>
        <v>#N/A</v>
      </c>
      <c r="AE1752" s="42"/>
      <c r="AF1752" s="42"/>
      <c r="AG1752" s="42"/>
      <c r="AH1752" s="42"/>
      <c r="AI1752" s="42"/>
      <c r="AJ1752" s="42"/>
      <c r="AK1752" s="42"/>
      <c r="AO1752" s="86"/>
      <c r="AP1752" s="87"/>
      <c r="AQ1752" s="87"/>
      <c r="AR1752" s="88"/>
      <c r="AS1752" s="87"/>
      <c r="AT1752" s="87"/>
    </row>
    <row r="1753" spans="15:46" x14ac:dyDescent="0.25">
      <c r="O1753" s="49" t="e">
        <f t="shared" si="91"/>
        <v>#N/A</v>
      </c>
      <c r="AE1753" s="42"/>
      <c r="AF1753" s="42"/>
      <c r="AG1753" s="42"/>
      <c r="AH1753" s="42"/>
      <c r="AI1753" s="42"/>
      <c r="AJ1753" s="42"/>
      <c r="AK1753" s="42"/>
      <c r="AO1753" s="86"/>
      <c r="AP1753" s="87"/>
      <c r="AQ1753" s="87"/>
      <c r="AR1753" s="88"/>
      <c r="AS1753" s="87"/>
      <c r="AT1753" s="87"/>
    </row>
    <row r="1754" spans="15:46" x14ac:dyDescent="0.25">
      <c r="O1754" s="49" t="e">
        <f t="shared" si="91"/>
        <v>#N/A</v>
      </c>
      <c r="AE1754" s="42"/>
      <c r="AF1754" s="42"/>
      <c r="AG1754" s="42"/>
      <c r="AH1754" s="42"/>
      <c r="AI1754" s="42"/>
      <c r="AJ1754" s="42"/>
      <c r="AK1754" s="42"/>
      <c r="AO1754" s="86"/>
      <c r="AP1754" s="87"/>
      <c r="AQ1754" s="87"/>
      <c r="AR1754" s="88"/>
      <c r="AS1754" s="87"/>
      <c r="AT1754" s="87"/>
    </row>
    <row r="1755" spans="15:46" x14ac:dyDescent="0.25">
      <c r="O1755" s="49" t="e">
        <f t="shared" si="91"/>
        <v>#N/A</v>
      </c>
      <c r="AE1755" s="42"/>
      <c r="AF1755" s="42"/>
      <c r="AG1755" s="42"/>
      <c r="AH1755" s="42"/>
      <c r="AI1755" s="42"/>
      <c r="AJ1755" s="42"/>
      <c r="AK1755" s="42"/>
      <c r="AO1755" s="86"/>
      <c r="AP1755" s="87"/>
      <c r="AQ1755" s="87"/>
      <c r="AR1755" s="88"/>
      <c r="AS1755" s="87"/>
      <c r="AT1755" s="87"/>
    </row>
    <row r="1756" spans="15:46" x14ac:dyDescent="0.25">
      <c r="O1756" s="49" t="e">
        <f t="shared" si="91"/>
        <v>#N/A</v>
      </c>
      <c r="AE1756" s="42"/>
      <c r="AF1756" s="42"/>
      <c r="AG1756" s="42"/>
      <c r="AH1756" s="42"/>
      <c r="AI1756" s="42"/>
      <c r="AJ1756" s="42"/>
      <c r="AK1756" s="42"/>
      <c r="AO1756" s="86"/>
      <c r="AP1756" s="87"/>
      <c r="AQ1756" s="87"/>
      <c r="AR1756" s="88"/>
      <c r="AS1756" s="87"/>
      <c r="AT1756" s="87"/>
    </row>
    <row r="1757" spans="15:46" x14ac:dyDescent="0.25">
      <c r="O1757" s="49" t="e">
        <f t="shared" si="91"/>
        <v>#N/A</v>
      </c>
      <c r="AE1757" s="42"/>
      <c r="AF1757" s="42"/>
      <c r="AG1757" s="42"/>
      <c r="AH1757" s="42"/>
      <c r="AI1757" s="42"/>
      <c r="AJ1757" s="42"/>
      <c r="AK1757" s="42"/>
      <c r="AO1757" s="86"/>
      <c r="AP1757" s="87"/>
      <c r="AQ1757" s="87"/>
      <c r="AR1757" s="88"/>
      <c r="AS1757" s="87"/>
      <c r="AT1757" s="87"/>
    </row>
    <row r="1758" spans="15:46" x14ac:dyDescent="0.25">
      <c r="O1758" s="49" t="e">
        <f t="shared" si="91"/>
        <v>#N/A</v>
      </c>
      <c r="AE1758" s="42"/>
      <c r="AF1758" s="42"/>
      <c r="AG1758" s="42"/>
      <c r="AH1758" s="42"/>
      <c r="AI1758" s="42"/>
      <c r="AJ1758" s="42"/>
      <c r="AK1758" s="42"/>
      <c r="AO1758" s="86"/>
      <c r="AP1758" s="87"/>
      <c r="AQ1758" s="87"/>
      <c r="AR1758" s="88"/>
      <c r="AS1758" s="87"/>
      <c r="AT1758" s="87"/>
    </row>
    <row r="1759" spans="15:46" x14ac:dyDescent="0.25">
      <c r="O1759" s="49" t="e">
        <f t="shared" si="91"/>
        <v>#N/A</v>
      </c>
      <c r="AE1759" s="42"/>
      <c r="AF1759" s="42"/>
      <c r="AG1759" s="42"/>
      <c r="AH1759" s="42"/>
      <c r="AI1759" s="42"/>
      <c r="AJ1759" s="42"/>
      <c r="AK1759" s="42"/>
      <c r="AO1759" s="86"/>
      <c r="AP1759" s="87"/>
      <c r="AQ1759" s="87"/>
      <c r="AR1759" s="88"/>
      <c r="AS1759" s="87"/>
      <c r="AT1759" s="87"/>
    </row>
    <row r="1760" spans="15:46" x14ac:dyDescent="0.25">
      <c r="O1760" s="49" t="e">
        <f t="shared" si="91"/>
        <v>#N/A</v>
      </c>
      <c r="AE1760" s="42"/>
      <c r="AF1760" s="42"/>
      <c r="AG1760" s="42"/>
      <c r="AH1760" s="42"/>
      <c r="AI1760" s="42"/>
      <c r="AJ1760" s="42"/>
      <c r="AK1760" s="42"/>
      <c r="AO1760" s="86"/>
      <c r="AP1760" s="87"/>
      <c r="AQ1760" s="87"/>
      <c r="AR1760" s="88"/>
      <c r="AS1760" s="87"/>
      <c r="AT1760" s="87"/>
    </row>
    <row r="1761" spans="15:46" x14ac:dyDescent="0.25">
      <c r="O1761" s="49" t="e">
        <f t="shared" si="91"/>
        <v>#N/A</v>
      </c>
      <c r="AE1761" s="42"/>
      <c r="AF1761" s="42"/>
      <c r="AG1761" s="42"/>
      <c r="AH1761" s="42"/>
      <c r="AI1761" s="42"/>
      <c r="AJ1761" s="42"/>
      <c r="AK1761" s="42"/>
      <c r="AO1761" s="86"/>
      <c r="AP1761" s="87"/>
      <c r="AQ1761" s="87"/>
      <c r="AR1761" s="88"/>
      <c r="AS1761" s="87"/>
      <c r="AT1761" s="87"/>
    </row>
    <row r="1762" spans="15:46" x14ac:dyDescent="0.25">
      <c r="O1762" s="49" t="e">
        <f t="shared" si="91"/>
        <v>#N/A</v>
      </c>
      <c r="AE1762" s="42"/>
      <c r="AF1762" s="42"/>
      <c r="AG1762" s="42"/>
      <c r="AH1762" s="42"/>
      <c r="AI1762" s="42"/>
      <c r="AJ1762" s="42"/>
      <c r="AK1762" s="42"/>
      <c r="AO1762" s="86"/>
      <c r="AP1762" s="87"/>
      <c r="AQ1762" s="87"/>
      <c r="AR1762" s="88"/>
      <c r="AS1762" s="87"/>
      <c r="AT1762" s="87"/>
    </row>
    <row r="1763" spans="15:46" x14ac:dyDescent="0.25">
      <c r="O1763" s="49" t="e">
        <f t="shared" si="91"/>
        <v>#N/A</v>
      </c>
      <c r="AE1763" s="42"/>
      <c r="AF1763" s="42"/>
      <c r="AG1763" s="42"/>
      <c r="AH1763" s="42"/>
      <c r="AI1763" s="42"/>
      <c r="AJ1763" s="42"/>
      <c r="AK1763" s="42"/>
      <c r="AO1763" s="86"/>
      <c r="AP1763" s="87"/>
      <c r="AQ1763" s="87"/>
      <c r="AR1763" s="88"/>
      <c r="AS1763" s="87"/>
      <c r="AT1763" s="87"/>
    </row>
    <row r="1764" spans="15:46" x14ac:dyDescent="0.25">
      <c r="O1764" s="49" t="e">
        <f t="shared" si="91"/>
        <v>#N/A</v>
      </c>
      <c r="AE1764" s="42"/>
      <c r="AF1764" s="42"/>
      <c r="AG1764" s="42"/>
      <c r="AH1764" s="42"/>
      <c r="AI1764" s="42"/>
      <c r="AJ1764" s="42"/>
      <c r="AK1764" s="42"/>
      <c r="AO1764" s="86"/>
      <c r="AP1764" s="87"/>
      <c r="AQ1764" s="87"/>
      <c r="AR1764" s="88"/>
      <c r="AS1764" s="87"/>
      <c r="AT1764" s="87"/>
    </row>
    <row r="1765" spans="15:46" x14ac:dyDescent="0.25">
      <c r="O1765" s="49" t="e">
        <f t="shared" si="91"/>
        <v>#N/A</v>
      </c>
      <c r="AE1765" s="42"/>
      <c r="AF1765" s="42"/>
      <c r="AG1765" s="42"/>
      <c r="AH1765" s="42"/>
      <c r="AI1765" s="42"/>
      <c r="AJ1765" s="42"/>
      <c r="AK1765" s="42"/>
      <c r="AO1765" s="86"/>
      <c r="AP1765" s="87"/>
      <c r="AQ1765" s="87"/>
      <c r="AR1765" s="88"/>
      <c r="AS1765" s="87"/>
      <c r="AT1765" s="87"/>
    </row>
    <row r="1766" spans="15:46" x14ac:dyDescent="0.25">
      <c r="O1766" s="49" t="e">
        <f t="shared" si="91"/>
        <v>#N/A</v>
      </c>
      <c r="AE1766" s="42"/>
      <c r="AF1766" s="42"/>
      <c r="AG1766" s="42"/>
      <c r="AH1766" s="42"/>
      <c r="AI1766" s="42"/>
      <c r="AJ1766" s="42"/>
      <c r="AK1766" s="42"/>
      <c r="AO1766" s="86"/>
      <c r="AP1766" s="87"/>
      <c r="AQ1766" s="87"/>
      <c r="AR1766" s="88"/>
      <c r="AS1766" s="87"/>
      <c r="AT1766" s="87"/>
    </row>
    <row r="1767" spans="15:46" x14ac:dyDescent="0.25">
      <c r="O1767" s="49" t="e">
        <f t="shared" si="91"/>
        <v>#N/A</v>
      </c>
      <c r="AE1767" s="42"/>
      <c r="AF1767" s="42"/>
      <c r="AG1767" s="42"/>
      <c r="AH1767" s="42"/>
      <c r="AI1767" s="42"/>
      <c r="AJ1767" s="42"/>
      <c r="AK1767" s="42"/>
      <c r="AO1767" s="86"/>
      <c r="AP1767" s="87"/>
      <c r="AQ1767" s="87"/>
      <c r="AR1767" s="88"/>
      <c r="AS1767" s="87"/>
      <c r="AT1767" s="87"/>
    </row>
    <row r="1768" spans="15:46" x14ac:dyDescent="0.25">
      <c r="O1768" s="49" t="e">
        <f t="shared" si="91"/>
        <v>#N/A</v>
      </c>
      <c r="AE1768" s="42"/>
      <c r="AF1768" s="42"/>
      <c r="AG1768" s="42"/>
      <c r="AH1768" s="42"/>
      <c r="AI1768" s="42"/>
      <c r="AJ1768" s="42"/>
      <c r="AK1768" s="42"/>
      <c r="AO1768" s="86"/>
      <c r="AP1768" s="87"/>
      <c r="AQ1768" s="87"/>
      <c r="AR1768" s="88"/>
      <c r="AS1768" s="87"/>
      <c r="AT1768" s="87"/>
    </row>
    <row r="1769" spans="15:46" x14ac:dyDescent="0.25">
      <c r="O1769" s="49" t="e">
        <f t="shared" si="91"/>
        <v>#N/A</v>
      </c>
      <c r="AE1769" s="42"/>
      <c r="AF1769" s="42"/>
      <c r="AG1769" s="42"/>
      <c r="AH1769" s="42"/>
      <c r="AI1769" s="42"/>
      <c r="AJ1769" s="42"/>
      <c r="AK1769" s="42"/>
      <c r="AO1769" s="86"/>
      <c r="AP1769" s="87"/>
      <c r="AQ1769" s="87"/>
      <c r="AR1769" s="88"/>
      <c r="AS1769" s="87"/>
      <c r="AT1769" s="87"/>
    </row>
    <row r="1770" spans="15:46" x14ac:dyDescent="0.25">
      <c r="O1770" s="49" t="e">
        <f t="shared" si="91"/>
        <v>#N/A</v>
      </c>
      <c r="AE1770" s="42"/>
      <c r="AF1770" s="42"/>
      <c r="AG1770" s="42"/>
      <c r="AH1770" s="42"/>
      <c r="AI1770" s="42"/>
      <c r="AJ1770" s="42"/>
      <c r="AK1770" s="42"/>
      <c r="AO1770" s="86"/>
      <c r="AP1770" s="87"/>
      <c r="AQ1770" s="87"/>
      <c r="AR1770" s="88"/>
      <c r="AS1770" s="87"/>
      <c r="AT1770" s="87"/>
    </row>
    <row r="1771" spans="15:46" x14ac:dyDescent="0.25">
      <c r="O1771" s="49" t="e">
        <f t="shared" si="91"/>
        <v>#N/A</v>
      </c>
      <c r="AE1771" s="42"/>
      <c r="AF1771" s="42"/>
      <c r="AG1771" s="42"/>
      <c r="AH1771" s="42"/>
      <c r="AI1771" s="42"/>
      <c r="AJ1771" s="42"/>
      <c r="AK1771" s="42"/>
      <c r="AO1771" s="86"/>
      <c r="AP1771" s="87"/>
      <c r="AQ1771" s="87"/>
      <c r="AR1771" s="88"/>
      <c r="AS1771" s="87"/>
      <c r="AT1771" s="87"/>
    </row>
    <row r="1772" spans="15:46" x14ac:dyDescent="0.25">
      <c r="O1772" s="49" t="e">
        <f t="shared" si="91"/>
        <v>#N/A</v>
      </c>
      <c r="AE1772" s="42"/>
      <c r="AF1772" s="42"/>
      <c r="AG1772" s="42"/>
      <c r="AH1772" s="42"/>
      <c r="AI1772" s="42"/>
      <c r="AJ1772" s="42"/>
      <c r="AK1772" s="42"/>
      <c r="AO1772" s="86"/>
      <c r="AP1772" s="87"/>
      <c r="AQ1772" s="87"/>
      <c r="AR1772" s="88"/>
      <c r="AS1772" s="87"/>
      <c r="AT1772" s="87"/>
    </row>
    <row r="1773" spans="15:46" x14ac:dyDescent="0.25">
      <c r="O1773" s="49" t="e">
        <f t="shared" si="91"/>
        <v>#N/A</v>
      </c>
      <c r="AE1773" s="42"/>
      <c r="AF1773" s="42"/>
      <c r="AG1773" s="42"/>
      <c r="AH1773" s="42"/>
      <c r="AI1773" s="42"/>
      <c r="AJ1773" s="42"/>
      <c r="AK1773" s="42"/>
      <c r="AO1773" s="86"/>
      <c r="AP1773" s="87"/>
      <c r="AQ1773" s="87"/>
      <c r="AR1773" s="88"/>
      <c r="AS1773" s="87"/>
      <c r="AT1773" s="87"/>
    </row>
    <row r="1774" spans="15:46" x14ac:dyDescent="0.25">
      <c r="O1774" s="49" t="e">
        <f t="shared" si="91"/>
        <v>#N/A</v>
      </c>
      <c r="AE1774" s="42"/>
      <c r="AF1774" s="42"/>
      <c r="AG1774" s="42"/>
      <c r="AH1774" s="42"/>
      <c r="AI1774" s="42"/>
      <c r="AJ1774" s="42"/>
      <c r="AK1774" s="42"/>
      <c r="AO1774" s="86"/>
      <c r="AP1774" s="87"/>
      <c r="AQ1774" s="87"/>
      <c r="AR1774" s="88"/>
      <c r="AS1774" s="87"/>
      <c r="AT1774" s="87"/>
    </row>
    <row r="1775" spans="15:46" x14ac:dyDescent="0.25">
      <c r="O1775" s="49" t="e">
        <f t="shared" si="91"/>
        <v>#N/A</v>
      </c>
      <c r="AE1775" s="42"/>
      <c r="AF1775" s="42"/>
      <c r="AG1775" s="42"/>
      <c r="AH1775" s="42"/>
      <c r="AI1775" s="42"/>
      <c r="AJ1775" s="42"/>
      <c r="AK1775" s="42"/>
      <c r="AO1775" s="86"/>
      <c r="AP1775" s="87"/>
      <c r="AQ1775" s="87"/>
      <c r="AR1775" s="88"/>
      <c r="AS1775" s="87"/>
      <c r="AT1775" s="87"/>
    </row>
    <row r="1776" spans="15:46" x14ac:dyDescent="0.25">
      <c r="O1776" s="49" t="e">
        <f t="shared" si="91"/>
        <v>#N/A</v>
      </c>
      <c r="AE1776" s="42"/>
      <c r="AF1776" s="42"/>
      <c r="AG1776" s="42"/>
      <c r="AH1776" s="42"/>
      <c r="AI1776" s="42"/>
      <c r="AJ1776" s="42"/>
      <c r="AK1776" s="42"/>
      <c r="AO1776" s="86"/>
      <c r="AP1776" s="87"/>
      <c r="AQ1776" s="87"/>
      <c r="AR1776" s="88"/>
      <c r="AS1776" s="87"/>
      <c r="AT1776" s="87"/>
    </row>
    <row r="1777" spans="15:46" x14ac:dyDescent="0.25">
      <c r="O1777" s="49" t="e">
        <f t="shared" si="91"/>
        <v>#N/A</v>
      </c>
      <c r="AE1777" s="42"/>
      <c r="AF1777" s="42"/>
      <c r="AG1777" s="42"/>
      <c r="AH1777" s="42"/>
      <c r="AI1777" s="42"/>
      <c r="AJ1777" s="42"/>
      <c r="AK1777" s="42"/>
      <c r="AO1777" s="86"/>
      <c r="AP1777" s="87"/>
      <c r="AQ1777" s="87"/>
      <c r="AR1777" s="88"/>
      <c r="AS1777" s="87"/>
      <c r="AT1777" s="87"/>
    </row>
    <row r="1778" spans="15:46" x14ac:dyDescent="0.25">
      <c r="O1778" s="49" t="e">
        <f t="shared" si="91"/>
        <v>#N/A</v>
      </c>
      <c r="AE1778" s="42"/>
      <c r="AF1778" s="42"/>
      <c r="AG1778" s="42"/>
      <c r="AH1778" s="42"/>
      <c r="AI1778" s="42"/>
      <c r="AJ1778" s="42"/>
      <c r="AK1778" s="42"/>
      <c r="AO1778" s="86"/>
      <c r="AP1778" s="87"/>
      <c r="AQ1778" s="87"/>
      <c r="AR1778" s="88"/>
      <c r="AS1778" s="87"/>
      <c r="AT1778" s="87"/>
    </row>
    <row r="1779" spans="15:46" x14ac:dyDescent="0.25">
      <c r="O1779" s="49" t="e">
        <f t="shared" si="91"/>
        <v>#N/A</v>
      </c>
      <c r="AE1779" s="42"/>
      <c r="AF1779" s="42"/>
      <c r="AG1779" s="42"/>
      <c r="AH1779" s="42"/>
      <c r="AI1779" s="42"/>
      <c r="AJ1779" s="42"/>
      <c r="AK1779" s="42"/>
      <c r="AO1779" s="86"/>
      <c r="AP1779" s="87"/>
      <c r="AQ1779" s="87"/>
      <c r="AR1779" s="88"/>
      <c r="AS1779" s="87"/>
      <c r="AT1779" s="87"/>
    </row>
    <row r="1780" spans="15:46" x14ac:dyDescent="0.25">
      <c r="O1780" s="49" t="e">
        <f t="shared" si="91"/>
        <v>#N/A</v>
      </c>
      <c r="AE1780" s="42"/>
      <c r="AF1780" s="42"/>
      <c r="AG1780" s="42"/>
      <c r="AH1780" s="42"/>
      <c r="AI1780" s="42"/>
      <c r="AJ1780" s="42"/>
      <c r="AK1780" s="42"/>
      <c r="AO1780" s="86"/>
      <c r="AP1780" s="87"/>
      <c r="AQ1780" s="87"/>
      <c r="AR1780" s="88"/>
      <c r="AS1780" s="87"/>
      <c r="AT1780" s="87"/>
    </row>
    <row r="1781" spans="15:46" x14ac:dyDescent="0.25">
      <c r="O1781" s="49" t="e">
        <f t="shared" si="91"/>
        <v>#N/A</v>
      </c>
      <c r="AE1781" s="42"/>
      <c r="AF1781" s="42"/>
      <c r="AG1781" s="42"/>
      <c r="AH1781" s="42"/>
      <c r="AI1781" s="42"/>
      <c r="AJ1781" s="42"/>
      <c r="AK1781" s="42"/>
      <c r="AO1781" s="86"/>
      <c r="AP1781" s="87"/>
      <c r="AQ1781" s="87"/>
      <c r="AR1781" s="88"/>
      <c r="AS1781" s="87"/>
      <c r="AT1781" s="87"/>
    </row>
    <row r="1782" spans="15:46" x14ac:dyDescent="0.25">
      <c r="O1782" s="49" t="e">
        <f t="shared" si="91"/>
        <v>#N/A</v>
      </c>
      <c r="AE1782" s="42"/>
      <c r="AF1782" s="42"/>
      <c r="AG1782" s="42"/>
      <c r="AH1782" s="42"/>
      <c r="AI1782" s="42"/>
      <c r="AJ1782" s="42"/>
      <c r="AK1782" s="42"/>
      <c r="AO1782" s="86"/>
      <c r="AP1782" s="87"/>
      <c r="AQ1782" s="87"/>
      <c r="AR1782" s="88"/>
      <c r="AS1782" s="87"/>
      <c r="AT1782" s="87"/>
    </row>
    <row r="1783" spans="15:46" x14ac:dyDescent="0.25">
      <c r="O1783" s="49" t="e">
        <f t="shared" si="91"/>
        <v>#N/A</v>
      </c>
      <c r="AE1783" s="42"/>
      <c r="AF1783" s="42"/>
      <c r="AG1783" s="42"/>
      <c r="AH1783" s="42"/>
      <c r="AI1783" s="42"/>
      <c r="AJ1783" s="42"/>
      <c r="AK1783" s="42"/>
      <c r="AO1783" s="86"/>
      <c r="AP1783" s="87"/>
      <c r="AQ1783" s="87"/>
      <c r="AR1783" s="88"/>
      <c r="AS1783" s="87"/>
      <c r="AT1783" s="87"/>
    </row>
    <row r="1784" spans="15:46" x14ac:dyDescent="0.25">
      <c r="O1784" s="49" t="e">
        <f t="shared" si="91"/>
        <v>#N/A</v>
      </c>
      <c r="AE1784" s="42"/>
      <c r="AF1784" s="42"/>
      <c r="AG1784" s="42"/>
      <c r="AH1784" s="42"/>
      <c r="AI1784" s="42"/>
      <c r="AJ1784" s="42"/>
      <c r="AK1784" s="42"/>
      <c r="AO1784" s="86"/>
      <c r="AP1784" s="87"/>
      <c r="AQ1784" s="87"/>
      <c r="AR1784" s="88"/>
      <c r="AS1784" s="87"/>
      <c r="AT1784" s="87"/>
    </row>
    <row r="1785" spans="15:46" x14ac:dyDescent="0.25">
      <c r="O1785" s="49" t="e">
        <f t="shared" si="91"/>
        <v>#N/A</v>
      </c>
      <c r="AE1785" s="42"/>
      <c r="AF1785" s="42"/>
      <c r="AG1785" s="42"/>
      <c r="AH1785" s="42"/>
      <c r="AI1785" s="42"/>
      <c r="AJ1785" s="42"/>
      <c r="AK1785" s="42"/>
      <c r="AO1785" s="86"/>
      <c r="AP1785" s="87"/>
      <c r="AQ1785" s="87"/>
      <c r="AR1785" s="88"/>
      <c r="AS1785" s="87"/>
      <c r="AT1785" s="87"/>
    </row>
    <row r="1786" spans="15:46" x14ac:dyDescent="0.25">
      <c r="O1786" s="49" t="e">
        <f t="shared" si="91"/>
        <v>#N/A</v>
      </c>
      <c r="AE1786" s="42"/>
      <c r="AF1786" s="42"/>
      <c r="AG1786" s="42"/>
      <c r="AH1786" s="42"/>
      <c r="AI1786" s="42"/>
      <c r="AJ1786" s="42"/>
      <c r="AK1786" s="42"/>
      <c r="AO1786" s="86"/>
      <c r="AP1786" s="87"/>
      <c r="AQ1786" s="87"/>
      <c r="AR1786" s="88"/>
      <c r="AS1786" s="87"/>
      <c r="AT1786" s="87"/>
    </row>
    <row r="1787" spans="15:46" x14ac:dyDescent="0.25">
      <c r="O1787" s="49" t="e">
        <f t="shared" si="91"/>
        <v>#N/A</v>
      </c>
      <c r="AE1787" s="42"/>
      <c r="AF1787" s="42"/>
      <c r="AG1787" s="42"/>
      <c r="AH1787" s="42"/>
      <c r="AI1787" s="42"/>
      <c r="AJ1787" s="42"/>
      <c r="AK1787" s="42"/>
      <c r="AO1787" s="86"/>
      <c r="AP1787" s="87"/>
      <c r="AQ1787" s="87"/>
      <c r="AR1787" s="88"/>
      <c r="AS1787" s="87"/>
      <c r="AT1787" s="87"/>
    </row>
    <row r="1788" spans="15:46" x14ac:dyDescent="0.25">
      <c r="O1788" s="49" t="e">
        <f t="shared" si="91"/>
        <v>#N/A</v>
      </c>
      <c r="AE1788" s="42"/>
      <c r="AF1788" s="42"/>
      <c r="AG1788" s="42"/>
      <c r="AH1788" s="42"/>
      <c r="AI1788" s="42"/>
      <c r="AJ1788" s="42"/>
      <c r="AK1788" s="42"/>
      <c r="AO1788" s="86"/>
      <c r="AP1788" s="87"/>
      <c r="AQ1788" s="87"/>
      <c r="AR1788" s="88"/>
      <c r="AS1788" s="87"/>
      <c r="AT1788" s="87"/>
    </row>
    <row r="1789" spans="15:46" x14ac:dyDescent="0.25">
      <c r="O1789" s="49" t="e">
        <f t="shared" si="91"/>
        <v>#N/A</v>
      </c>
      <c r="AE1789" s="42"/>
      <c r="AF1789" s="42"/>
      <c r="AG1789" s="42"/>
      <c r="AH1789" s="42"/>
      <c r="AI1789" s="42"/>
      <c r="AJ1789" s="42"/>
      <c r="AK1789" s="42"/>
      <c r="AO1789" s="86"/>
      <c r="AP1789" s="87"/>
      <c r="AQ1789" s="87"/>
      <c r="AR1789" s="88"/>
      <c r="AS1789" s="87"/>
      <c r="AT1789" s="87"/>
    </row>
    <row r="1790" spans="15:46" x14ac:dyDescent="0.25">
      <c r="O1790" s="49" t="e">
        <f t="shared" si="91"/>
        <v>#N/A</v>
      </c>
      <c r="AE1790" s="42"/>
      <c r="AF1790" s="42"/>
      <c r="AG1790" s="42"/>
      <c r="AH1790" s="42"/>
      <c r="AI1790" s="42"/>
      <c r="AJ1790" s="42"/>
      <c r="AK1790" s="42"/>
      <c r="AO1790" s="86"/>
      <c r="AP1790" s="87"/>
      <c r="AQ1790" s="87"/>
      <c r="AR1790" s="88"/>
      <c r="AS1790" s="87"/>
      <c r="AT1790" s="87"/>
    </row>
    <row r="1791" spans="15:46" x14ac:dyDescent="0.25">
      <c r="O1791" s="49" t="e">
        <f t="shared" si="91"/>
        <v>#N/A</v>
      </c>
      <c r="AE1791" s="42"/>
      <c r="AF1791" s="42"/>
      <c r="AG1791" s="42"/>
      <c r="AH1791" s="42"/>
      <c r="AI1791" s="42"/>
      <c r="AJ1791" s="42"/>
      <c r="AK1791" s="42"/>
      <c r="AO1791" s="86"/>
      <c r="AP1791" s="87"/>
      <c r="AQ1791" s="87"/>
      <c r="AR1791" s="88"/>
      <c r="AS1791" s="87"/>
      <c r="AT1791" s="87"/>
    </row>
    <row r="1792" spans="15:46" x14ac:dyDescent="0.25">
      <c r="O1792" s="49" t="e">
        <f t="shared" si="91"/>
        <v>#N/A</v>
      </c>
      <c r="AE1792" s="42"/>
      <c r="AF1792" s="42"/>
      <c r="AG1792" s="42"/>
      <c r="AH1792" s="42"/>
      <c r="AI1792" s="42"/>
      <c r="AJ1792" s="42"/>
      <c r="AK1792" s="42"/>
      <c r="AO1792" s="86"/>
      <c r="AP1792" s="87"/>
      <c r="AQ1792" s="87"/>
      <c r="AR1792" s="88"/>
      <c r="AS1792" s="87"/>
      <c r="AT1792" s="87"/>
    </row>
    <row r="1793" spans="15:46" x14ac:dyDescent="0.25">
      <c r="O1793" s="49" t="e">
        <f t="shared" si="91"/>
        <v>#N/A</v>
      </c>
      <c r="AE1793" s="42"/>
      <c r="AF1793" s="42"/>
      <c r="AG1793" s="42"/>
      <c r="AH1793" s="42"/>
      <c r="AI1793" s="42"/>
      <c r="AJ1793" s="42"/>
      <c r="AK1793" s="42"/>
      <c r="AO1793" s="86"/>
      <c r="AP1793" s="87"/>
      <c r="AQ1793" s="87"/>
      <c r="AR1793" s="88"/>
      <c r="AS1793" s="87"/>
      <c r="AT1793" s="87"/>
    </row>
    <row r="1794" spans="15:46" x14ac:dyDescent="0.25">
      <c r="O1794" s="49" t="e">
        <f t="shared" si="91"/>
        <v>#N/A</v>
      </c>
      <c r="AE1794" s="42"/>
      <c r="AF1794" s="42"/>
      <c r="AG1794" s="42"/>
      <c r="AH1794" s="42"/>
      <c r="AI1794" s="42"/>
      <c r="AJ1794" s="42"/>
      <c r="AK1794" s="42"/>
      <c r="AO1794" s="86"/>
      <c r="AP1794" s="87"/>
      <c r="AQ1794" s="87"/>
      <c r="AR1794" s="88"/>
      <c r="AS1794" s="87"/>
      <c r="AT1794" s="87"/>
    </row>
    <row r="1795" spans="15:46" x14ac:dyDescent="0.25">
      <c r="O1795" s="49" t="e">
        <f t="shared" si="91"/>
        <v>#N/A</v>
      </c>
      <c r="AE1795" s="42"/>
      <c r="AF1795" s="42"/>
      <c r="AG1795" s="42"/>
      <c r="AH1795" s="42"/>
      <c r="AI1795" s="42"/>
      <c r="AJ1795" s="42"/>
      <c r="AK1795" s="42"/>
      <c r="AO1795" s="86"/>
      <c r="AP1795" s="87"/>
      <c r="AQ1795" s="87"/>
      <c r="AR1795" s="88"/>
      <c r="AS1795" s="87"/>
      <c r="AT1795" s="87"/>
    </row>
    <row r="1796" spans="15:46" x14ac:dyDescent="0.25">
      <c r="O1796" s="49" t="e">
        <f t="shared" si="91"/>
        <v>#N/A</v>
      </c>
      <c r="AE1796" s="42"/>
      <c r="AF1796" s="42"/>
      <c r="AG1796" s="42"/>
      <c r="AH1796" s="42"/>
      <c r="AI1796" s="42"/>
      <c r="AJ1796" s="42"/>
      <c r="AK1796" s="42"/>
      <c r="AO1796" s="86"/>
      <c r="AP1796" s="87"/>
      <c r="AQ1796" s="87"/>
      <c r="AR1796" s="88"/>
      <c r="AS1796" s="87"/>
      <c r="AT1796" s="87"/>
    </row>
    <row r="1797" spans="15:46" x14ac:dyDescent="0.25">
      <c r="O1797" s="49" t="e">
        <f t="shared" si="91"/>
        <v>#N/A</v>
      </c>
      <c r="AE1797" s="42"/>
      <c r="AF1797" s="42"/>
      <c r="AG1797" s="42"/>
      <c r="AH1797" s="42"/>
      <c r="AI1797" s="42"/>
      <c r="AJ1797" s="42"/>
      <c r="AK1797" s="42"/>
      <c r="AO1797" s="86"/>
      <c r="AP1797" s="87"/>
      <c r="AQ1797" s="87"/>
      <c r="AR1797" s="88"/>
      <c r="AS1797" s="87"/>
      <c r="AT1797" s="87"/>
    </row>
    <row r="1798" spans="15:46" x14ac:dyDescent="0.25">
      <c r="O1798" s="49" t="e">
        <f t="shared" si="91"/>
        <v>#N/A</v>
      </c>
      <c r="AE1798" s="42"/>
      <c r="AF1798" s="42"/>
      <c r="AG1798" s="42"/>
      <c r="AH1798" s="42"/>
      <c r="AI1798" s="42"/>
      <c r="AJ1798" s="42"/>
      <c r="AK1798" s="42"/>
      <c r="AO1798" s="86"/>
      <c r="AP1798" s="87"/>
      <c r="AQ1798" s="87"/>
      <c r="AR1798" s="88"/>
      <c r="AS1798" s="87"/>
      <c r="AT1798" s="87"/>
    </row>
    <row r="1799" spans="15:46" x14ac:dyDescent="0.25">
      <c r="O1799" s="49" t="e">
        <f t="shared" si="91"/>
        <v>#N/A</v>
      </c>
      <c r="AE1799" s="42"/>
      <c r="AF1799" s="42"/>
      <c r="AG1799" s="42"/>
      <c r="AH1799" s="42"/>
      <c r="AI1799" s="42"/>
      <c r="AJ1799" s="42"/>
      <c r="AK1799" s="42"/>
      <c r="AO1799" s="86"/>
      <c r="AP1799" s="87"/>
      <c r="AQ1799" s="87"/>
      <c r="AR1799" s="88"/>
      <c r="AS1799" s="87"/>
      <c r="AT1799" s="87"/>
    </row>
    <row r="1800" spans="15:46" x14ac:dyDescent="0.25">
      <c r="O1800" s="49" t="e">
        <f t="shared" si="91"/>
        <v>#N/A</v>
      </c>
      <c r="AE1800" s="42"/>
      <c r="AF1800" s="42"/>
      <c r="AG1800" s="42"/>
      <c r="AH1800" s="42"/>
      <c r="AI1800" s="42"/>
      <c r="AJ1800" s="42"/>
      <c r="AK1800" s="42"/>
      <c r="AO1800" s="86"/>
      <c r="AP1800" s="87"/>
      <c r="AQ1800" s="87"/>
      <c r="AR1800" s="88"/>
      <c r="AS1800" s="87"/>
      <c r="AT1800" s="87"/>
    </row>
    <row r="1801" spans="15:46" x14ac:dyDescent="0.25">
      <c r="O1801" s="49" t="e">
        <f t="shared" si="91"/>
        <v>#N/A</v>
      </c>
      <c r="AE1801" s="42"/>
      <c r="AF1801" s="42"/>
      <c r="AG1801" s="42"/>
      <c r="AH1801" s="42"/>
      <c r="AI1801" s="42"/>
      <c r="AJ1801" s="42"/>
      <c r="AK1801" s="42"/>
      <c r="AO1801" s="86"/>
      <c r="AP1801" s="87"/>
      <c r="AQ1801" s="87"/>
      <c r="AR1801" s="88"/>
      <c r="AS1801" s="87"/>
      <c r="AT1801" s="87"/>
    </row>
    <row r="1802" spans="15:46" x14ac:dyDescent="0.25">
      <c r="O1802" s="49" t="e">
        <f t="shared" si="91"/>
        <v>#N/A</v>
      </c>
      <c r="AE1802" s="42"/>
      <c r="AF1802" s="42"/>
      <c r="AG1802" s="42"/>
      <c r="AH1802" s="42"/>
      <c r="AI1802" s="42"/>
      <c r="AJ1802" s="42"/>
      <c r="AK1802" s="42"/>
      <c r="AO1802" s="86"/>
      <c r="AP1802" s="87"/>
      <c r="AQ1802" s="87"/>
      <c r="AR1802" s="88"/>
      <c r="AS1802" s="87"/>
      <c r="AT1802" s="87"/>
    </row>
    <row r="1803" spans="15:46" x14ac:dyDescent="0.25">
      <c r="O1803" s="49" t="e">
        <f t="shared" si="91"/>
        <v>#N/A</v>
      </c>
      <c r="AE1803" s="42"/>
      <c r="AF1803" s="42"/>
      <c r="AG1803" s="42"/>
      <c r="AH1803" s="42"/>
      <c r="AI1803" s="42"/>
      <c r="AJ1803" s="42"/>
      <c r="AK1803" s="42"/>
      <c r="AO1803" s="86"/>
      <c r="AP1803" s="87"/>
      <c r="AQ1803" s="87"/>
      <c r="AR1803" s="88"/>
      <c r="AS1803" s="87"/>
      <c r="AT1803" s="87"/>
    </row>
    <row r="1804" spans="15:46" x14ac:dyDescent="0.25">
      <c r="O1804" s="49" t="e">
        <f t="shared" si="91"/>
        <v>#N/A</v>
      </c>
      <c r="AE1804" s="42"/>
      <c r="AF1804" s="42"/>
      <c r="AG1804" s="42"/>
      <c r="AH1804" s="42"/>
      <c r="AI1804" s="42"/>
      <c r="AJ1804" s="42"/>
      <c r="AK1804" s="42"/>
      <c r="AO1804" s="86"/>
      <c r="AP1804" s="87"/>
      <c r="AQ1804" s="87"/>
      <c r="AR1804" s="88"/>
      <c r="AS1804" s="87"/>
      <c r="AT1804" s="87"/>
    </row>
    <row r="1805" spans="15:46" x14ac:dyDescent="0.25">
      <c r="O1805" s="49" t="e">
        <f t="shared" si="91"/>
        <v>#N/A</v>
      </c>
      <c r="AE1805" s="42"/>
      <c r="AF1805" s="42"/>
      <c r="AG1805" s="42"/>
      <c r="AH1805" s="42"/>
      <c r="AI1805" s="42"/>
      <c r="AJ1805" s="42"/>
      <c r="AK1805" s="42"/>
      <c r="AO1805" s="86"/>
      <c r="AP1805" s="87"/>
      <c r="AQ1805" s="87"/>
      <c r="AR1805" s="88"/>
      <c r="AS1805" s="87"/>
      <c r="AT1805" s="87"/>
    </row>
    <row r="1806" spans="15:46" x14ac:dyDescent="0.25">
      <c r="O1806" s="49" t="e">
        <f t="shared" si="91"/>
        <v>#N/A</v>
      </c>
      <c r="AE1806" s="42"/>
      <c r="AF1806" s="42"/>
      <c r="AG1806" s="42"/>
      <c r="AH1806" s="42"/>
      <c r="AI1806" s="42"/>
      <c r="AJ1806" s="42"/>
      <c r="AK1806" s="42"/>
      <c r="AO1806" s="86"/>
      <c r="AP1806" s="87"/>
      <c r="AQ1806" s="87"/>
      <c r="AR1806" s="88"/>
      <c r="AS1806" s="87"/>
      <c r="AT1806" s="87"/>
    </row>
    <row r="1807" spans="15:46" x14ac:dyDescent="0.25">
      <c r="O1807" s="49" t="e">
        <f t="shared" si="91"/>
        <v>#N/A</v>
      </c>
      <c r="AE1807" s="42"/>
      <c r="AF1807" s="42"/>
      <c r="AG1807" s="42"/>
      <c r="AH1807" s="42"/>
      <c r="AI1807" s="42"/>
      <c r="AJ1807" s="42"/>
      <c r="AK1807" s="42"/>
      <c r="AO1807" s="86"/>
      <c r="AP1807" s="87"/>
      <c r="AQ1807" s="87"/>
      <c r="AR1807" s="88"/>
      <c r="AS1807" s="87"/>
      <c r="AT1807" s="87"/>
    </row>
    <row r="1808" spans="15:46" x14ac:dyDescent="0.25">
      <c r="O1808" s="49" t="e">
        <f t="shared" si="91"/>
        <v>#N/A</v>
      </c>
      <c r="AE1808" s="42"/>
      <c r="AF1808" s="42"/>
      <c r="AG1808" s="42"/>
      <c r="AH1808" s="42"/>
      <c r="AI1808" s="42"/>
      <c r="AJ1808" s="42"/>
      <c r="AK1808" s="42"/>
      <c r="AO1808" s="86"/>
      <c r="AP1808" s="87"/>
      <c r="AQ1808" s="87"/>
      <c r="AR1808" s="88"/>
      <c r="AS1808" s="87"/>
      <c r="AT1808" s="87"/>
    </row>
    <row r="1809" spans="15:46" x14ac:dyDescent="0.25">
      <c r="O1809" s="49" t="e">
        <f t="shared" si="91"/>
        <v>#N/A</v>
      </c>
      <c r="AE1809" s="42"/>
      <c r="AF1809" s="42"/>
      <c r="AG1809" s="42"/>
      <c r="AH1809" s="42"/>
      <c r="AI1809" s="42"/>
      <c r="AJ1809" s="42"/>
      <c r="AK1809" s="42"/>
      <c r="AO1809" s="86"/>
      <c r="AP1809" s="87"/>
      <c r="AQ1809" s="87"/>
      <c r="AR1809" s="88"/>
      <c r="AS1809" s="87"/>
      <c r="AT1809" s="87"/>
    </row>
    <row r="1810" spans="15:46" x14ac:dyDescent="0.25">
      <c r="O1810" s="49" t="e">
        <f t="shared" si="91"/>
        <v>#N/A</v>
      </c>
      <c r="AE1810" s="42"/>
      <c r="AF1810" s="42"/>
      <c r="AG1810" s="42"/>
      <c r="AH1810" s="42"/>
      <c r="AI1810" s="42"/>
      <c r="AJ1810" s="42"/>
      <c r="AK1810" s="42"/>
      <c r="AO1810" s="86"/>
      <c r="AP1810" s="87"/>
      <c r="AQ1810" s="87"/>
      <c r="AR1810" s="88"/>
      <c r="AS1810" s="87"/>
      <c r="AT1810" s="87"/>
    </row>
    <row r="1811" spans="15:46" x14ac:dyDescent="0.25">
      <c r="O1811" s="49" t="e">
        <f t="shared" si="91"/>
        <v>#N/A</v>
      </c>
      <c r="AE1811" s="42"/>
      <c r="AF1811" s="42"/>
      <c r="AG1811" s="42"/>
      <c r="AH1811" s="42"/>
      <c r="AI1811" s="42"/>
      <c r="AJ1811" s="42"/>
      <c r="AK1811" s="42"/>
      <c r="AO1811" s="86"/>
      <c r="AP1811" s="87"/>
      <c r="AQ1811" s="87"/>
      <c r="AR1811" s="88"/>
      <c r="AS1811" s="87"/>
      <c r="AT1811" s="87"/>
    </row>
    <row r="1812" spans="15:46" x14ac:dyDescent="0.25">
      <c r="O1812" s="49" t="e">
        <f t="shared" si="91"/>
        <v>#N/A</v>
      </c>
      <c r="AE1812" s="42"/>
      <c r="AF1812" s="42"/>
      <c r="AG1812" s="42"/>
      <c r="AH1812" s="42"/>
      <c r="AI1812" s="42"/>
      <c r="AJ1812" s="42"/>
      <c r="AK1812" s="42"/>
      <c r="AO1812" s="86"/>
      <c r="AP1812" s="87"/>
      <c r="AQ1812" s="87"/>
      <c r="AR1812" s="88"/>
      <c r="AS1812" s="87"/>
      <c r="AT1812" s="87"/>
    </row>
    <row r="1813" spans="15:46" x14ac:dyDescent="0.25">
      <c r="O1813" s="49" t="e">
        <f t="shared" si="91"/>
        <v>#N/A</v>
      </c>
      <c r="AE1813" s="42"/>
      <c r="AF1813" s="42"/>
      <c r="AG1813" s="42"/>
      <c r="AH1813" s="42"/>
      <c r="AI1813" s="42"/>
      <c r="AJ1813" s="42"/>
      <c r="AK1813" s="42"/>
      <c r="AO1813" s="86"/>
      <c r="AP1813" s="87"/>
      <c r="AQ1813" s="87"/>
      <c r="AR1813" s="88"/>
      <c r="AS1813" s="87"/>
      <c r="AT1813" s="87"/>
    </row>
    <row r="1814" spans="15:46" x14ac:dyDescent="0.25">
      <c r="O1814" s="49" t="e">
        <f t="shared" si="91"/>
        <v>#N/A</v>
      </c>
      <c r="AE1814" s="42"/>
      <c r="AF1814" s="42"/>
      <c r="AG1814" s="42"/>
      <c r="AH1814" s="42"/>
      <c r="AI1814" s="42"/>
      <c r="AJ1814" s="42"/>
      <c r="AK1814" s="42"/>
      <c r="AO1814" s="86"/>
      <c r="AP1814" s="87"/>
      <c r="AQ1814" s="87"/>
      <c r="AR1814" s="88"/>
      <c r="AS1814" s="87"/>
      <c r="AT1814" s="87"/>
    </row>
    <row r="1815" spans="15:46" x14ac:dyDescent="0.25">
      <c r="O1815" s="49" t="e">
        <f t="shared" ref="O1815:O1878" si="92">IF(ISTEXT(N1815),IF(MID(N1815,11,2)="24",1+DATEVALUE(LEFT(N1815,10))+TIMEVALUE(CONCATENATE(MID(N1815,11,2),":",MID(N1815,13,2))),DATEVALUE(LEFT(N1815,10))+TIMEVALUE(CONCATENATE(MID(N1815,11,2),":",MID(N1815,13,2)))),#N/A)</f>
        <v>#N/A</v>
      </c>
      <c r="AE1815" s="42"/>
      <c r="AF1815" s="42"/>
      <c r="AG1815" s="42"/>
      <c r="AH1815" s="42"/>
      <c r="AI1815" s="42"/>
      <c r="AJ1815" s="42"/>
      <c r="AK1815" s="42"/>
      <c r="AO1815" s="86"/>
      <c r="AP1815" s="87"/>
      <c r="AQ1815" s="87"/>
      <c r="AR1815" s="88"/>
      <c r="AS1815" s="87"/>
      <c r="AT1815" s="87"/>
    </row>
    <row r="1816" spans="15:46" x14ac:dyDescent="0.25">
      <c r="O1816" s="49" t="e">
        <f t="shared" si="92"/>
        <v>#N/A</v>
      </c>
      <c r="AE1816" s="42"/>
      <c r="AF1816" s="42"/>
      <c r="AG1816" s="42"/>
      <c r="AH1816" s="42"/>
      <c r="AI1816" s="42"/>
      <c r="AJ1816" s="42"/>
      <c r="AK1816" s="42"/>
      <c r="AO1816" s="86"/>
      <c r="AP1816" s="87"/>
      <c r="AQ1816" s="87"/>
      <c r="AR1816" s="88"/>
      <c r="AS1816" s="87"/>
      <c r="AT1816" s="87"/>
    </row>
    <row r="1817" spans="15:46" x14ac:dyDescent="0.25">
      <c r="O1817" s="49" t="e">
        <f t="shared" si="92"/>
        <v>#N/A</v>
      </c>
      <c r="AE1817" s="42"/>
      <c r="AF1817" s="42"/>
      <c r="AG1817" s="42"/>
      <c r="AH1817" s="42"/>
      <c r="AI1817" s="42"/>
      <c r="AJ1817" s="42"/>
      <c r="AK1817" s="42"/>
      <c r="AO1817" s="86"/>
      <c r="AP1817" s="87"/>
      <c r="AQ1817" s="87"/>
      <c r="AR1817" s="88"/>
      <c r="AS1817" s="87"/>
      <c r="AT1817" s="87"/>
    </row>
    <row r="1818" spans="15:46" x14ac:dyDescent="0.25">
      <c r="O1818" s="49" t="e">
        <f t="shared" si="92"/>
        <v>#N/A</v>
      </c>
      <c r="AE1818" s="42"/>
      <c r="AF1818" s="42"/>
      <c r="AG1818" s="42"/>
      <c r="AH1818" s="42"/>
      <c r="AI1818" s="42"/>
      <c r="AJ1818" s="42"/>
      <c r="AK1818" s="42"/>
      <c r="AO1818" s="86"/>
      <c r="AP1818" s="87"/>
      <c r="AQ1818" s="87"/>
      <c r="AR1818" s="88"/>
      <c r="AS1818" s="87"/>
      <c r="AT1818" s="87"/>
    </row>
    <row r="1819" spans="15:46" x14ac:dyDescent="0.25">
      <c r="O1819" s="49" t="e">
        <f t="shared" si="92"/>
        <v>#N/A</v>
      </c>
      <c r="AE1819" s="42"/>
      <c r="AF1819" s="42"/>
      <c r="AG1819" s="42"/>
      <c r="AH1819" s="42"/>
      <c r="AI1819" s="42"/>
      <c r="AJ1819" s="42"/>
      <c r="AK1819" s="42"/>
      <c r="AO1819" s="86"/>
      <c r="AP1819" s="87"/>
      <c r="AQ1819" s="87"/>
      <c r="AR1819" s="88"/>
      <c r="AS1819" s="87"/>
      <c r="AT1819" s="87"/>
    </row>
    <row r="1820" spans="15:46" x14ac:dyDescent="0.25">
      <c r="O1820" s="49" t="e">
        <f t="shared" si="92"/>
        <v>#N/A</v>
      </c>
      <c r="AE1820" s="42"/>
      <c r="AF1820" s="42"/>
      <c r="AG1820" s="42"/>
      <c r="AH1820" s="42"/>
      <c r="AI1820" s="42"/>
      <c r="AJ1820" s="42"/>
      <c r="AK1820" s="42"/>
      <c r="AO1820" s="86"/>
      <c r="AP1820" s="87"/>
      <c r="AQ1820" s="87"/>
      <c r="AR1820" s="88"/>
      <c r="AS1820" s="87"/>
      <c r="AT1820" s="87"/>
    </row>
    <row r="1821" spans="15:46" x14ac:dyDescent="0.25">
      <c r="O1821" s="49" t="e">
        <f t="shared" si="92"/>
        <v>#N/A</v>
      </c>
      <c r="AE1821" s="42"/>
      <c r="AF1821" s="42"/>
      <c r="AG1821" s="42"/>
      <c r="AH1821" s="42"/>
      <c r="AI1821" s="42"/>
      <c r="AJ1821" s="42"/>
      <c r="AK1821" s="42"/>
      <c r="AO1821" s="86"/>
      <c r="AP1821" s="87"/>
      <c r="AQ1821" s="87"/>
      <c r="AR1821" s="88"/>
      <c r="AS1821" s="87"/>
      <c r="AT1821" s="87"/>
    </row>
    <row r="1822" spans="15:46" x14ac:dyDescent="0.25">
      <c r="O1822" s="49" t="e">
        <f t="shared" si="92"/>
        <v>#N/A</v>
      </c>
      <c r="AE1822" s="42"/>
      <c r="AF1822" s="42"/>
      <c r="AG1822" s="42"/>
      <c r="AH1822" s="42"/>
      <c r="AI1822" s="42"/>
      <c r="AJ1822" s="42"/>
      <c r="AK1822" s="42"/>
      <c r="AO1822" s="86"/>
      <c r="AP1822" s="87"/>
      <c r="AQ1822" s="87"/>
      <c r="AR1822" s="88"/>
      <c r="AS1822" s="87"/>
      <c r="AT1822" s="87"/>
    </row>
    <row r="1823" spans="15:46" x14ac:dyDescent="0.25">
      <c r="O1823" s="49" t="e">
        <f t="shared" si="92"/>
        <v>#N/A</v>
      </c>
      <c r="AE1823" s="42"/>
      <c r="AF1823" s="42"/>
      <c r="AG1823" s="42"/>
      <c r="AH1823" s="42"/>
      <c r="AI1823" s="42"/>
      <c r="AJ1823" s="42"/>
      <c r="AK1823" s="42"/>
      <c r="AO1823" s="86"/>
      <c r="AP1823" s="87"/>
      <c r="AQ1823" s="87"/>
      <c r="AR1823" s="88"/>
      <c r="AS1823" s="87"/>
      <c r="AT1823" s="87"/>
    </row>
    <row r="1824" spans="15:46" x14ac:dyDescent="0.25">
      <c r="O1824" s="49" t="e">
        <f t="shared" si="92"/>
        <v>#N/A</v>
      </c>
      <c r="AE1824" s="42"/>
      <c r="AF1824" s="42"/>
      <c r="AG1824" s="42"/>
      <c r="AH1824" s="42"/>
      <c r="AI1824" s="42"/>
      <c r="AJ1824" s="42"/>
      <c r="AK1824" s="42"/>
      <c r="AO1824" s="86"/>
      <c r="AP1824" s="87"/>
      <c r="AQ1824" s="87"/>
      <c r="AR1824" s="88"/>
      <c r="AS1824" s="87"/>
      <c r="AT1824" s="87"/>
    </row>
    <row r="1825" spans="15:46" x14ac:dyDescent="0.25">
      <c r="O1825" s="49" t="e">
        <f t="shared" si="92"/>
        <v>#N/A</v>
      </c>
      <c r="AE1825" s="42"/>
      <c r="AF1825" s="42"/>
      <c r="AG1825" s="42"/>
      <c r="AH1825" s="42"/>
      <c r="AI1825" s="42"/>
      <c r="AJ1825" s="42"/>
      <c r="AK1825" s="42"/>
      <c r="AO1825" s="86"/>
      <c r="AP1825" s="87"/>
      <c r="AQ1825" s="87"/>
      <c r="AR1825" s="88"/>
      <c r="AS1825" s="87"/>
      <c r="AT1825" s="87"/>
    </row>
    <row r="1826" spans="15:46" x14ac:dyDescent="0.25">
      <c r="O1826" s="49" t="e">
        <f t="shared" si="92"/>
        <v>#N/A</v>
      </c>
      <c r="AE1826" s="42"/>
      <c r="AF1826" s="42"/>
      <c r="AG1826" s="42"/>
      <c r="AH1826" s="42"/>
      <c r="AI1826" s="42"/>
      <c r="AJ1826" s="42"/>
      <c r="AK1826" s="42"/>
      <c r="AO1826" s="86"/>
      <c r="AP1826" s="87"/>
      <c r="AQ1826" s="87"/>
      <c r="AR1826" s="88"/>
      <c r="AS1826" s="87"/>
      <c r="AT1826" s="87"/>
    </row>
    <row r="1827" spans="15:46" x14ac:dyDescent="0.25">
      <c r="O1827" s="49" t="e">
        <f t="shared" si="92"/>
        <v>#N/A</v>
      </c>
      <c r="AE1827" s="42"/>
      <c r="AF1827" s="42"/>
      <c r="AG1827" s="42"/>
      <c r="AH1827" s="42"/>
      <c r="AI1827" s="42"/>
      <c r="AJ1827" s="42"/>
      <c r="AK1827" s="42"/>
      <c r="AO1827" s="86"/>
      <c r="AP1827" s="87"/>
      <c r="AQ1827" s="87"/>
      <c r="AR1827" s="88"/>
      <c r="AS1827" s="87"/>
      <c r="AT1827" s="87"/>
    </row>
    <row r="1828" spans="15:46" x14ac:dyDescent="0.25">
      <c r="O1828" s="49" t="e">
        <f t="shared" si="92"/>
        <v>#N/A</v>
      </c>
      <c r="AE1828" s="42"/>
      <c r="AF1828" s="42"/>
      <c r="AG1828" s="42"/>
      <c r="AH1828" s="42"/>
      <c r="AI1828" s="42"/>
      <c r="AJ1828" s="42"/>
      <c r="AK1828" s="42"/>
      <c r="AO1828" s="86"/>
      <c r="AP1828" s="87"/>
      <c r="AQ1828" s="87"/>
      <c r="AR1828" s="88"/>
      <c r="AS1828" s="87"/>
      <c r="AT1828" s="87"/>
    </row>
    <row r="1829" spans="15:46" x14ac:dyDescent="0.25">
      <c r="O1829" s="49" t="e">
        <f t="shared" si="92"/>
        <v>#N/A</v>
      </c>
      <c r="AE1829" s="42"/>
      <c r="AF1829" s="42"/>
      <c r="AG1829" s="42"/>
      <c r="AH1829" s="42"/>
      <c r="AI1829" s="42"/>
      <c r="AJ1829" s="42"/>
      <c r="AK1829" s="42"/>
      <c r="AO1829" s="86"/>
      <c r="AP1829" s="87"/>
      <c r="AQ1829" s="87"/>
      <c r="AR1829" s="88"/>
      <c r="AS1829" s="87"/>
      <c r="AT1829" s="87"/>
    </row>
    <row r="1830" spans="15:46" x14ac:dyDescent="0.25">
      <c r="O1830" s="49" t="e">
        <f t="shared" si="92"/>
        <v>#N/A</v>
      </c>
      <c r="AE1830" s="42"/>
      <c r="AF1830" s="42"/>
      <c r="AG1830" s="42"/>
      <c r="AH1830" s="42"/>
      <c r="AI1830" s="42"/>
      <c r="AJ1830" s="42"/>
      <c r="AK1830" s="42"/>
      <c r="AO1830" s="86"/>
      <c r="AP1830" s="87"/>
      <c r="AQ1830" s="87"/>
      <c r="AR1830" s="88"/>
      <c r="AS1830" s="87"/>
      <c r="AT1830" s="87"/>
    </row>
    <row r="1831" spans="15:46" x14ac:dyDescent="0.25">
      <c r="O1831" s="49" t="e">
        <f t="shared" si="92"/>
        <v>#N/A</v>
      </c>
      <c r="AE1831" s="42"/>
      <c r="AF1831" s="42"/>
      <c r="AG1831" s="42"/>
      <c r="AH1831" s="42"/>
      <c r="AI1831" s="42"/>
      <c r="AJ1831" s="42"/>
      <c r="AK1831" s="42"/>
      <c r="AO1831" s="86"/>
      <c r="AP1831" s="87"/>
      <c r="AQ1831" s="87"/>
      <c r="AR1831" s="88"/>
      <c r="AS1831" s="87"/>
      <c r="AT1831" s="87"/>
    </row>
    <row r="1832" spans="15:46" x14ac:dyDescent="0.25">
      <c r="O1832" s="49" t="e">
        <f t="shared" si="92"/>
        <v>#N/A</v>
      </c>
      <c r="AE1832" s="42"/>
      <c r="AF1832" s="42"/>
      <c r="AG1832" s="42"/>
      <c r="AH1832" s="42"/>
      <c r="AI1832" s="42"/>
      <c r="AJ1832" s="42"/>
      <c r="AK1832" s="42"/>
      <c r="AO1832" s="86"/>
      <c r="AP1832" s="87"/>
      <c r="AQ1832" s="87"/>
      <c r="AR1832" s="88"/>
      <c r="AS1832" s="87"/>
      <c r="AT1832" s="87"/>
    </row>
    <row r="1833" spans="15:46" x14ac:dyDescent="0.25">
      <c r="O1833" s="49" t="e">
        <f t="shared" si="92"/>
        <v>#N/A</v>
      </c>
      <c r="AE1833" s="42"/>
      <c r="AF1833" s="42"/>
      <c r="AG1833" s="42"/>
      <c r="AH1833" s="42"/>
      <c r="AI1833" s="42"/>
      <c r="AJ1833" s="42"/>
      <c r="AK1833" s="42"/>
      <c r="AO1833" s="86"/>
      <c r="AP1833" s="87"/>
      <c r="AQ1833" s="87"/>
      <c r="AR1833" s="88"/>
      <c r="AS1833" s="87"/>
      <c r="AT1833" s="87"/>
    </row>
    <row r="1834" spans="15:46" x14ac:dyDescent="0.25">
      <c r="O1834" s="49" t="e">
        <f t="shared" si="92"/>
        <v>#N/A</v>
      </c>
      <c r="AE1834" s="42"/>
      <c r="AF1834" s="42"/>
      <c r="AG1834" s="42"/>
      <c r="AH1834" s="42"/>
      <c r="AI1834" s="42"/>
      <c r="AJ1834" s="42"/>
      <c r="AK1834" s="42"/>
      <c r="AO1834" s="86"/>
      <c r="AP1834" s="87"/>
      <c r="AQ1834" s="87"/>
      <c r="AR1834" s="88"/>
      <c r="AS1834" s="87"/>
      <c r="AT1834" s="87"/>
    </row>
    <row r="1835" spans="15:46" x14ac:dyDescent="0.25">
      <c r="O1835" s="49" t="e">
        <f t="shared" si="92"/>
        <v>#N/A</v>
      </c>
      <c r="AE1835" s="42"/>
      <c r="AF1835" s="42"/>
      <c r="AG1835" s="42"/>
      <c r="AH1835" s="42"/>
      <c r="AI1835" s="42"/>
      <c r="AJ1835" s="42"/>
      <c r="AK1835" s="42"/>
      <c r="AO1835" s="86"/>
      <c r="AP1835" s="87"/>
      <c r="AQ1835" s="87"/>
      <c r="AR1835" s="88"/>
      <c r="AS1835" s="87"/>
      <c r="AT1835" s="87"/>
    </row>
    <row r="1836" spans="15:46" x14ac:dyDescent="0.25">
      <c r="O1836" s="49" t="e">
        <f t="shared" si="92"/>
        <v>#N/A</v>
      </c>
      <c r="AE1836" s="42"/>
      <c r="AF1836" s="42"/>
      <c r="AG1836" s="42"/>
      <c r="AH1836" s="42"/>
      <c r="AI1836" s="42"/>
      <c r="AJ1836" s="42"/>
      <c r="AK1836" s="42"/>
      <c r="AO1836" s="86"/>
      <c r="AP1836" s="87"/>
      <c r="AQ1836" s="87"/>
      <c r="AR1836" s="88"/>
      <c r="AS1836" s="87"/>
      <c r="AT1836" s="87"/>
    </row>
    <row r="1837" spans="15:46" x14ac:dyDescent="0.25">
      <c r="O1837" s="49" t="e">
        <f t="shared" si="92"/>
        <v>#N/A</v>
      </c>
      <c r="AE1837" s="42"/>
      <c r="AF1837" s="42"/>
      <c r="AG1837" s="42"/>
      <c r="AH1837" s="42"/>
      <c r="AI1837" s="42"/>
      <c r="AJ1837" s="42"/>
      <c r="AK1837" s="42"/>
      <c r="AO1837" s="86"/>
      <c r="AP1837" s="87"/>
      <c r="AQ1837" s="87"/>
      <c r="AR1837" s="88"/>
      <c r="AS1837" s="87"/>
      <c r="AT1837" s="87"/>
    </row>
    <row r="1838" spans="15:46" x14ac:dyDescent="0.25">
      <c r="O1838" s="49" t="e">
        <f t="shared" si="92"/>
        <v>#N/A</v>
      </c>
      <c r="AE1838" s="42"/>
      <c r="AF1838" s="42"/>
      <c r="AG1838" s="42"/>
      <c r="AH1838" s="42"/>
      <c r="AI1838" s="42"/>
      <c r="AJ1838" s="42"/>
      <c r="AK1838" s="42"/>
      <c r="AO1838" s="86"/>
      <c r="AP1838" s="87"/>
      <c r="AQ1838" s="87"/>
      <c r="AR1838" s="88"/>
      <c r="AS1838" s="87"/>
      <c r="AT1838" s="87"/>
    </row>
    <row r="1839" spans="15:46" x14ac:dyDescent="0.25">
      <c r="O1839" s="49" t="e">
        <f t="shared" si="92"/>
        <v>#N/A</v>
      </c>
      <c r="AE1839" s="42"/>
      <c r="AF1839" s="42"/>
      <c r="AG1839" s="42"/>
      <c r="AH1839" s="42"/>
      <c r="AI1839" s="42"/>
      <c r="AJ1839" s="42"/>
      <c r="AK1839" s="42"/>
      <c r="AO1839" s="86"/>
      <c r="AP1839" s="87"/>
      <c r="AQ1839" s="87"/>
      <c r="AR1839" s="88"/>
      <c r="AS1839" s="87"/>
      <c r="AT1839" s="87"/>
    </row>
    <row r="1840" spans="15:46" x14ac:dyDescent="0.25">
      <c r="O1840" s="49" t="e">
        <f t="shared" si="92"/>
        <v>#N/A</v>
      </c>
      <c r="AE1840" s="42"/>
      <c r="AF1840" s="42"/>
      <c r="AG1840" s="42"/>
      <c r="AH1840" s="42"/>
      <c r="AI1840" s="42"/>
      <c r="AJ1840" s="42"/>
      <c r="AK1840" s="42"/>
      <c r="AO1840" s="86"/>
      <c r="AP1840" s="87"/>
      <c r="AQ1840" s="87"/>
      <c r="AR1840" s="88"/>
      <c r="AS1840" s="87"/>
      <c r="AT1840" s="87"/>
    </row>
    <row r="1841" spans="15:46" x14ac:dyDescent="0.25">
      <c r="O1841" s="49" t="e">
        <f t="shared" si="92"/>
        <v>#N/A</v>
      </c>
      <c r="AE1841" s="42"/>
      <c r="AF1841" s="42"/>
      <c r="AG1841" s="42"/>
      <c r="AH1841" s="42"/>
      <c r="AI1841" s="42"/>
      <c r="AJ1841" s="42"/>
      <c r="AK1841" s="42"/>
      <c r="AO1841" s="86"/>
      <c r="AP1841" s="87"/>
      <c r="AQ1841" s="87"/>
      <c r="AR1841" s="88"/>
      <c r="AS1841" s="87"/>
      <c r="AT1841" s="87"/>
    </row>
    <row r="1842" spans="15:46" x14ac:dyDescent="0.25">
      <c r="O1842" s="49" t="e">
        <f t="shared" si="92"/>
        <v>#N/A</v>
      </c>
      <c r="AE1842" s="42"/>
      <c r="AF1842" s="42"/>
      <c r="AG1842" s="42"/>
      <c r="AH1842" s="42"/>
      <c r="AI1842" s="42"/>
      <c r="AJ1842" s="42"/>
      <c r="AK1842" s="42"/>
      <c r="AO1842" s="86"/>
      <c r="AP1842" s="87"/>
      <c r="AQ1842" s="87"/>
      <c r="AR1842" s="88"/>
      <c r="AS1842" s="87"/>
      <c r="AT1842" s="87"/>
    </row>
    <row r="1843" spans="15:46" x14ac:dyDescent="0.25">
      <c r="O1843" s="49" t="e">
        <f t="shared" si="92"/>
        <v>#N/A</v>
      </c>
      <c r="AE1843" s="42"/>
      <c r="AF1843" s="42"/>
      <c r="AG1843" s="42"/>
      <c r="AH1843" s="42"/>
      <c r="AI1843" s="42"/>
      <c r="AJ1843" s="42"/>
      <c r="AK1843" s="42"/>
      <c r="AO1843" s="86"/>
      <c r="AP1843" s="87"/>
      <c r="AQ1843" s="87"/>
      <c r="AR1843" s="88"/>
      <c r="AS1843" s="87"/>
      <c r="AT1843" s="87"/>
    </row>
    <row r="1844" spans="15:46" x14ac:dyDescent="0.25">
      <c r="O1844" s="49" t="e">
        <f t="shared" si="92"/>
        <v>#N/A</v>
      </c>
      <c r="AE1844" s="42"/>
      <c r="AF1844" s="42"/>
      <c r="AG1844" s="42"/>
      <c r="AH1844" s="42"/>
      <c r="AI1844" s="42"/>
      <c r="AJ1844" s="42"/>
      <c r="AK1844" s="42"/>
      <c r="AO1844" s="86"/>
      <c r="AP1844" s="87"/>
      <c r="AQ1844" s="87"/>
      <c r="AR1844" s="88"/>
      <c r="AS1844" s="87"/>
      <c r="AT1844" s="87"/>
    </row>
    <row r="1845" spans="15:46" x14ac:dyDescent="0.25">
      <c r="O1845" s="49" t="e">
        <f t="shared" si="92"/>
        <v>#N/A</v>
      </c>
      <c r="AE1845" s="42"/>
      <c r="AF1845" s="42"/>
      <c r="AG1845" s="42"/>
      <c r="AH1845" s="42"/>
      <c r="AI1845" s="42"/>
      <c r="AJ1845" s="42"/>
      <c r="AK1845" s="42"/>
      <c r="AO1845" s="86"/>
      <c r="AP1845" s="87"/>
      <c r="AQ1845" s="87"/>
      <c r="AR1845" s="88"/>
      <c r="AS1845" s="87"/>
      <c r="AT1845" s="87"/>
    </row>
    <row r="1846" spans="15:46" x14ac:dyDescent="0.25">
      <c r="O1846" s="49" t="e">
        <f t="shared" si="92"/>
        <v>#N/A</v>
      </c>
      <c r="AE1846" s="42"/>
      <c r="AF1846" s="42"/>
      <c r="AG1846" s="42"/>
      <c r="AH1846" s="42"/>
      <c r="AI1846" s="42"/>
      <c r="AJ1846" s="42"/>
      <c r="AK1846" s="42"/>
      <c r="AO1846" s="86"/>
      <c r="AP1846" s="87"/>
      <c r="AQ1846" s="87"/>
      <c r="AR1846" s="88"/>
      <c r="AS1846" s="87"/>
      <c r="AT1846" s="87"/>
    </row>
    <row r="1847" spans="15:46" x14ac:dyDescent="0.25">
      <c r="O1847" s="49" t="e">
        <f t="shared" si="92"/>
        <v>#N/A</v>
      </c>
      <c r="AE1847" s="42"/>
      <c r="AF1847" s="42"/>
      <c r="AG1847" s="42"/>
      <c r="AH1847" s="42"/>
      <c r="AI1847" s="42"/>
      <c r="AJ1847" s="42"/>
      <c r="AK1847" s="42"/>
      <c r="AO1847" s="86"/>
      <c r="AP1847" s="87"/>
      <c r="AQ1847" s="87"/>
      <c r="AR1847" s="88"/>
      <c r="AS1847" s="87"/>
      <c r="AT1847" s="87"/>
    </row>
    <row r="1848" spans="15:46" x14ac:dyDescent="0.25">
      <c r="O1848" s="49" t="e">
        <f t="shared" si="92"/>
        <v>#N/A</v>
      </c>
      <c r="AE1848" s="42"/>
      <c r="AF1848" s="42"/>
      <c r="AG1848" s="42"/>
      <c r="AH1848" s="42"/>
      <c r="AI1848" s="42"/>
      <c r="AJ1848" s="42"/>
      <c r="AK1848" s="42"/>
      <c r="AO1848" s="86"/>
      <c r="AP1848" s="87"/>
      <c r="AQ1848" s="87"/>
      <c r="AR1848" s="88"/>
      <c r="AS1848" s="87"/>
      <c r="AT1848" s="87"/>
    </row>
    <row r="1849" spans="15:46" x14ac:dyDescent="0.25">
      <c r="O1849" s="49" t="e">
        <f t="shared" si="92"/>
        <v>#N/A</v>
      </c>
      <c r="AE1849" s="42"/>
      <c r="AF1849" s="42"/>
      <c r="AG1849" s="42"/>
      <c r="AH1849" s="42"/>
      <c r="AI1849" s="42"/>
      <c r="AJ1849" s="42"/>
      <c r="AK1849" s="42"/>
      <c r="AO1849" s="86"/>
      <c r="AP1849" s="87"/>
      <c r="AQ1849" s="87"/>
      <c r="AR1849" s="88"/>
      <c r="AS1849" s="87"/>
      <c r="AT1849" s="87"/>
    </row>
    <row r="1850" spans="15:46" x14ac:dyDescent="0.25">
      <c r="O1850" s="49" t="e">
        <f t="shared" si="92"/>
        <v>#N/A</v>
      </c>
      <c r="AE1850" s="42"/>
      <c r="AF1850" s="42"/>
      <c r="AG1850" s="42"/>
      <c r="AH1850" s="42"/>
      <c r="AI1850" s="42"/>
      <c r="AJ1850" s="42"/>
      <c r="AK1850" s="42"/>
      <c r="AO1850" s="86"/>
      <c r="AP1850" s="87"/>
      <c r="AQ1850" s="87"/>
      <c r="AR1850" s="88"/>
      <c r="AS1850" s="87"/>
      <c r="AT1850" s="87"/>
    </row>
    <row r="1851" spans="15:46" x14ac:dyDescent="0.25">
      <c r="O1851" s="49" t="e">
        <f t="shared" si="92"/>
        <v>#N/A</v>
      </c>
      <c r="AE1851" s="42"/>
      <c r="AF1851" s="42"/>
      <c r="AG1851" s="42"/>
      <c r="AH1851" s="42"/>
      <c r="AI1851" s="42"/>
      <c r="AJ1851" s="42"/>
      <c r="AK1851" s="42"/>
      <c r="AO1851" s="86"/>
      <c r="AP1851" s="87"/>
      <c r="AQ1851" s="87"/>
      <c r="AR1851" s="88"/>
      <c r="AS1851" s="87"/>
      <c r="AT1851" s="87"/>
    </row>
    <row r="1852" spans="15:46" x14ac:dyDescent="0.25">
      <c r="O1852" s="49" t="e">
        <f t="shared" si="92"/>
        <v>#N/A</v>
      </c>
      <c r="AE1852" s="42"/>
      <c r="AF1852" s="42"/>
      <c r="AG1852" s="42"/>
      <c r="AH1852" s="42"/>
      <c r="AI1852" s="42"/>
      <c r="AJ1852" s="42"/>
      <c r="AK1852" s="42"/>
      <c r="AO1852" s="86"/>
      <c r="AP1852" s="87"/>
      <c r="AQ1852" s="87"/>
      <c r="AR1852" s="88"/>
      <c r="AS1852" s="87"/>
      <c r="AT1852" s="87"/>
    </row>
    <row r="1853" spans="15:46" x14ac:dyDescent="0.25">
      <c r="O1853" s="49" t="e">
        <f t="shared" si="92"/>
        <v>#N/A</v>
      </c>
      <c r="AE1853" s="42"/>
      <c r="AF1853" s="42"/>
      <c r="AG1853" s="42"/>
      <c r="AH1853" s="42"/>
      <c r="AI1853" s="42"/>
      <c r="AJ1853" s="42"/>
      <c r="AK1853" s="42"/>
      <c r="AO1853" s="86"/>
      <c r="AP1853" s="87"/>
      <c r="AQ1853" s="87"/>
      <c r="AR1853" s="88"/>
      <c r="AS1853" s="87"/>
      <c r="AT1853" s="87"/>
    </row>
    <row r="1854" spans="15:46" x14ac:dyDescent="0.25">
      <c r="O1854" s="49" t="e">
        <f t="shared" si="92"/>
        <v>#N/A</v>
      </c>
      <c r="AE1854" s="42"/>
      <c r="AF1854" s="42"/>
      <c r="AG1854" s="42"/>
      <c r="AH1854" s="42"/>
      <c r="AI1854" s="42"/>
      <c r="AJ1854" s="42"/>
      <c r="AK1854" s="42"/>
      <c r="AO1854" s="86"/>
      <c r="AP1854" s="87"/>
      <c r="AQ1854" s="87"/>
      <c r="AR1854" s="88"/>
      <c r="AS1854" s="87"/>
      <c r="AT1854" s="87"/>
    </row>
    <row r="1855" spans="15:46" x14ac:dyDescent="0.25">
      <c r="O1855" s="49" t="e">
        <f t="shared" si="92"/>
        <v>#N/A</v>
      </c>
      <c r="AE1855" s="42"/>
      <c r="AF1855" s="42"/>
      <c r="AG1855" s="42"/>
      <c r="AH1855" s="42"/>
      <c r="AI1855" s="42"/>
      <c r="AJ1855" s="42"/>
      <c r="AK1855" s="42"/>
      <c r="AO1855" s="86"/>
      <c r="AP1855" s="87"/>
      <c r="AQ1855" s="87"/>
      <c r="AR1855" s="88"/>
      <c r="AS1855" s="87"/>
      <c r="AT1855" s="87"/>
    </row>
    <row r="1856" spans="15:46" x14ac:dyDescent="0.25">
      <c r="O1856" s="49" t="e">
        <f t="shared" si="92"/>
        <v>#N/A</v>
      </c>
      <c r="AE1856" s="42"/>
      <c r="AF1856" s="42"/>
      <c r="AG1856" s="42"/>
      <c r="AH1856" s="42"/>
      <c r="AI1856" s="42"/>
      <c r="AJ1856" s="42"/>
      <c r="AK1856" s="42"/>
      <c r="AO1856" s="86"/>
      <c r="AP1856" s="87"/>
      <c r="AQ1856" s="87"/>
      <c r="AR1856" s="88"/>
      <c r="AS1856" s="87"/>
      <c r="AT1856" s="87"/>
    </row>
    <row r="1857" spans="15:46" x14ac:dyDescent="0.25">
      <c r="O1857" s="49" t="e">
        <f t="shared" si="92"/>
        <v>#N/A</v>
      </c>
      <c r="AE1857" s="42"/>
      <c r="AF1857" s="42"/>
      <c r="AG1857" s="42"/>
      <c r="AH1857" s="42"/>
      <c r="AI1857" s="42"/>
      <c r="AJ1857" s="42"/>
      <c r="AK1857" s="42"/>
      <c r="AO1857" s="86"/>
      <c r="AP1857" s="87"/>
      <c r="AQ1857" s="87"/>
      <c r="AR1857" s="88"/>
      <c r="AS1857" s="87"/>
      <c r="AT1857" s="87"/>
    </row>
    <row r="1858" spans="15:46" x14ac:dyDescent="0.25">
      <c r="O1858" s="49" t="e">
        <f t="shared" si="92"/>
        <v>#N/A</v>
      </c>
      <c r="AE1858" s="42"/>
      <c r="AF1858" s="42"/>
      <c r="AG1858" s="42"/>
      <c r="AH1858" s="42"/>
      <c r="AI1858" s="42"/>
      <c r="AJ1858" s="42"/>
      <c r="AK1858" s="42"/>
      <c r="AO1858" s="86"/>
      <c r="AP1858" s="87"/>
      <c r="AQ1858" s="87"/>
      <c r="AR1858" s="88"/>
      <c r="AS1858" s="87"/>
      <c r="AT1858" s="87"/>
    </row>
    <row r="1859" spans="15:46" x14ac:dyDescent="0.25">
      <c r="O1859" s="49" t="e">
        <f t="shared" si="92"/>
        <v>#N/A</v>
      </c>
      <c r="AE1859" s="42"/>
      <c r="AF1859" s="42"/>
      <c r="AG1859" s="42"/>
      <c r="AH1859" s="42"/>
      <c r="AI1859" s="42"/>
      <c r="AJ1859" s="42"/>
      <c r="AK1859" s="42"/>
      <c r="AO1859" s="86"/>
      <c r="AP1859" s="87"/>
      <c r="AQ1859" s="87"/>
      <c r="AR1859" s="88"/>
      <c r="AS1859" s="87"/>
      <c r="AT1859" s="87"/>
    </row>
    <row r="1860" spans="15:46" x14ac:dyDescent="0.25">
      <c r="O1860" s="49" t="e">
        <f t="shared" si="92"/>
        <v>#N/A</v>
      </c>
      <c r="AE1860" s="42"/>
      <c r="AF1860" s="42"/>
      <c r="AG1860" s="42"/>
      <c r="AH1860" s="42"/>
      <c r="AI1860" s="42"/>
      <c r="AJ1860" s="42"/>
      <c r="AK1860" s="42"/>
      <c r="AO1860" s="86"/>
      <c r="AP1860" s="87"/>
      <c r="AQ1860" s="87"/>
      <c r="AR1860" s="88"/>
      <c r="AS1860" s="87"/>
      <c r="AT1860" s="87"/>
    </row>
    <row r="1861" spans="15:46" x14ac:dyDescent="0.25">
      <c r="O1861" s="49" t="e">
        <f t="shared" si="92"/>
        <v>#N/A</v>
      </c>
      <c r="AE1861" s="42"/>
      <c r="AF1861" s="42"/>
      <c r="AG1861" s="42"/>
      <c r="AH1861" s="42"/>
      <c r="AI1861" s="42"/>
      <c r="AJ1861" s="42"/>
      <c r="AK1861" s="42"/>
      <c r="AO1861" s="86"/>
      <c r="AP1861" s="87"/>
      <c r="AQ1861" s="87"/>
      <c r="AR1861" s="88"/>
      <c r="AS1861" s="87"/>
      <c r="AT1861" s="87"/>
    </row>
    <row r="1862" spans="15:46" x14ac:dyDescent="0.25">
      <c r="O1862" s="49" t="e">
        <f t="shared" si="92"/>
        <v>#N/A</v>
      </c>
      <c r="AE1862" s="42"/>
      <c r="AF1862" s="42"/>
      <c r="AG1862" s="42"/>
      <c r="AH1862" s="42"/>
      <c r="AI1862" s="42"/>
      <c r="AJ1862" s="42"/>
      <c r="AK1862" s="42"/>
      <c r="AO1862" s="86"/>
      <c r="AP1862" s="87"/>
      <c r="AQ1862" s="87"/>
      <c r="AR1862" s="88"/>
      <c r="AS1862" s="87"/>
      <c r="AT1862" s="87"/>
    </row>
    <row r="1863" spans="15:46" x14ac:dyDescent="0.25">
      <c r="O1863" s="49" t="e">
        <f t="shared" si="92"/>
        <v>#N/A</v>
      </c>
      <c r="AE1863" s="42"/>
      <c r="AF1863" s="42"/>
      <c r="AG1863" s="42"/>
      <c r="AH1863" s="42"/>
      <c r="AI1863" s="42"/>
      <c r="AJ1863" s="42"/>
      <c r="AK1863" s="42"/>
      <c r="AO1863" s="86"/>
      <c r="AP1863" s="87"/>
      <c r="AQ1863" s="87"/>
      <c r="AR1863" s="88"/>
      <c r="AS1863" s="87"/>
      <c r="AT1863" s="87"/>
    </row>
    <row r="1864" spans="15:46" x14ac:dyDescent="0.25">
      <c r="O1864" s="49" t="e">
        <f t="shared" si="92"/>
        <v>#N/A</v>
      </c>
      <c r="AE1864" s="42"/>
      <c r="AF1864" s="42"/>
      <c r="AG1864" s="42"/>
      <c r="AH1864" s="42"/>
      <c r="AI1864" s="42"/>
      <c r="AJ1864" s="42"/>
      <c r="AK1864" s="42"/>
      <c r="AO1864" s="86"/>
      <c r="AP1864" s="87"/>
      <c r="AQ1864" s="87"/>
      <c r="AR1864" s="88"/>
      <c r="AS1864" s="87"/>
      <c r="AT1864" s="87"/>
    </row>
    <row r="1865" spans="15:46" x14ac:dyDescent="0.25">
      <c r="O1865" s="49" t="e">
        <f t="shared" si="92"/>
        <v>#N/A</v>
      </c>
      <c r="AE1865" s="42"/>
      <c r="AF1865" s="42"/>
      <c r="AG1865" s="42"/>
      <c r="AH1865" s="42"/>
      <c r="AI1865" s="42"/>
      <c r="AJ1865" s="42"/>
      <c r="AK1865" s="42"/>
      <c r="AO1865" s="86"/>
      <c r="AP1865" s="87"/>
      <c r="AQ1865" s="87"/>
      <c r="AR1865" s="88"/>
      <c r="AS1865" s="87"/>
      <c r="AT1865" s="87"/>
    </row>
    <row r="1866" spans="15:46" x14ac:dyDescent="0.25">
      <c r="O1866" s="49" t="e">
        <f t="shared" si="92"/>
        <v>#N/A</v>
      </c>
      <c r="AE1866" s="42"/>
      <c r="AF1866" s="42"/>
      <c r="AG1866" s="42"/>
      <c r="AH1866" s="42"/>
      <c r="AI1866" s="42"/>
      <c r="AJ1866" s="42"/>
      <c r="AK1866" s="42"/>
      <c r="AO1866" s="86"/>
      <c r="AP1866" s="87"/>
      <c r="AQ1866" s="87"/>
      <c r="AR1866" s="88"/>
      <c r="AS1866" s="87"/>
      <c r="AT1866" s="87"/>
    </row>
    <row r="1867" spans="15:46" x14ac:dyDescent="0.25">
      <c r="O1867" s="49" t="e">
        <f t="shared" si="92"/>
        <v>#N/A</v>
      </c>
      <c r="AE1867" s="42"/>
      <c r="AF1867" s="42"/>
      <c r="AG1867" s="42"/>
      <c r="AH1867" s="42"/>
      <c r="AI1867" s="42"/>
      <c r="AJ1867" s="42"/>
      <c r="AK1867" s="42"/>
      <c r="AO1867" s="86"/>
      <c r="AP1867" s="87"/>
      <c r="AQ1867" s="87"/>
      <c r="AR1867" s="88"/>
      <c r="AS1867" s="87"/>
      <c r="AT1867" s="87"/>
    </row>
    <row r="1868" spans="15:46" x14ac:dyDescent="0.25">
      <c r="O1868" s="49" t="e">
        <f t="shared" si="92"/>
        <v>#N/A</v>
      </c>
      <c r="AE1868" s="42"/>
      <c r="AF1868" s="42"/>
      <c r="AG1868" s="42"/>
      <c r="AH1868" s="42"/>
      <c r="AI1868" s="42"/>
      <c r="AJ1868" s="42"/>
      <c r="AK1868" s="42"/>
      <c r="AO1868" s="86"/>
      <c r="AP1868" s="87"/>
      <c r="AQ1868" s="87"/>
      <c r="AR1868" s="88"/>
      <c r="AS1868" s="87"/>
      <c r="AT1868" s="87"/>
    </row>
    <row r="1869" spans="15:46" x14ac:dyDescent="0.25">
      <c r="O1869" s="49" t="e">
        <f t="shared" si="92"/>
        <v>#N/A</v>
      </c>
      <c r="AE1869" s="42"/>
      <c r="AF1869" s="42"/>
      <c r="AG1869" s="42"/>
      <c r="AH1869" s="42"/>
      <c r="AI1869" s="42"/>
      <c r="AJ1869" s="42"/>
      <c r="AK1869" s="42"/>
      <c r="AO1869" s="86"/>
      <c r="AP1869" s="87"/>
      <c r="AQ1869" s="87"/>
      <c r="AR1869" s="88"/>
      <c r="AS1869" s="87"/>
      <c r="AT1869" s="87"/>
    </row>
    <row r="1870" spans="15:46" x14ac:dyDescent="0.25">
      <c r="O1870" s="49" t="e">
        <f t="shared" si="92"/>
        <v>#N/A</v>
      </c>
      <c r="AE1870" s="42"/>
      <c r="AF1870" s="42"/>
      <c r="AG1870" s="42"/>
      <c r="AH1870" s="42"/>
      <c r="AI1870" s="42"/>
      <c r="AJ1870" s="42"/>
      <c r="AK1870" s="42"/>
      <c r="AO1870" s="86"/>
      <c r="AP1870" s="87"/>
      <c r="AQ1870" s="87"/>
      <c r="AR1870" s="88"/>
      <c r="AS1870" s="87"/>
      <c r="AT1870" s="87"/>
    </row>
    <row r="1871" spans="15:46" x14ac:dyDescent="0.25">
      <c r="O1871" s="49" t="e">
        <f t="shared" si="92"/>
        <v>#N/A</v>
      </c>
      <c r="AE1871" s="42"/>
      <c r="AF1871" s="42"/>
      <c r="AG1871" s="42"/>
      <c r="AH1871" s="42"/>
      <c r="AI1871" s="42"/>
      <c r="AJ1871" s="42"/>
      <c r="AK1871" s="42"/>
      <c r="AO1871" s="86"/>
      <c r="AP1871" s="87"/>
      <c r="AQ1871" s="87"/>
      <c r="AR1871" s="88"/>
      <c r="AS1871" s="87"/>
      <c r="AT1871" s="87"/>
    </row>
    <row r="1872" spans="15:46" x14ac:dyDescent="0.25">
      <c r="O1872" s="49" t="e">
        <f t="shared" si="92"/>
        <v>#N/A</v>
      </c>
      <c r="AE1872" s="42"/>
      <c r="AF1872" s="42"/>
      <c r="AG1872" s="42"/>
      <c r="AH1872" s="42"/>
      <c r="AI1872" s="42"/>
      <c r="AJ1872" s="42"/>
      <c r="AK1872" s="42"/>
      <c r="AO1872" s="86"/>
      <c r="AP1872" s="87"/>
      <c r="AQ1872" s="87"/>
      <c r="AR1872" s="88"/>
      <c r="AS1872" s="87"/>
      <c r="AT1872" s="87"/>
    </row>
    <row r="1873" spans="15:46" x14ac:dyDescent="0.25">
      <c r="O1873" s="49" t="e">
        <f t="shared" si="92"/>
        <v>#N/A</v>
      </c>
      <c r="AE1873" s="42"/>
      <c r="AF1873" s="42"/>
      <c r="AG1873" s="42"/>
      <c r="AH1873" s="42"/>
      <c r="AI1873" s="42"/>
      <c r="AJ1873" s="42"/>
      <c r="AK1873" s="42"/>
      <c r="AO1873" s="86"/>
      <c r="AP1873" s="87"/>
      <c r="AQ1873" s="87"/>
      <c r="AR1873" s="88"/>
      <c r="AS1873" s="87"/>
      <c r="AT1873" s="87"/>
    </row>
    <row r="1874" spans="15:46" x14ac:dyDescent="0.25">
      <c r="O1874" s="49" t="e">
        <f t="shared" si="92"/>
        <v>#N/A</v>
      </c>
      <c r="AE1874" s="42"/>
      <c r="AF1874" s="42"/>
      <c r="AG1874" s="42"/>
      <c r="AH1874" s="42"/>
      <c r="AI1874" s="42"/>
      <c r="AJ1874" s="42"/>
      <c r="AK1874" s="42"/>
      <c r="AO1874" s="86"/>
      <c r="AP1874" s="87"/>
      <c r="AQ1874" s="87"/>
      <c r="AR1874" s="88"/>
      <c r="AS1874" s="87"/>
      <c r="AT1874" s="87"/>
    </row>
    <row r="1875" spans="15:46" x14ac:dyDescent="0.25">
      <c r="O1875" s="49" t="e">
        <f t="shared" si="92"/>
        <v>#N/A</v>
      </c>
      <c r="AE1875" s="42"/>
      <c r="AF1875" s="42"/>
      <c r="AG1875" s="42"/>
      <c r="AH1875" s="42"/>
      <c r="AI1875" s="42"/>
      <c r="AJ1875" s="42"/>
      <c r="AK1875" s="42"/>
      <c r="AO1875" s="86"/>
      <c r="AP1875" s="87"/>
      <c r="AQ1875" s="87"/>
      <c r="AR1875" s="88"/>
      <c r="AS1875" s="87"/>
      <c r="AT1875" s="87"/>
    </row>
    <row r="1876" spans="15:46" x14ac:dyDescent="0.25">
      <c r="O1876" s="49" t="e">
        <f t="shared" si="92"/>
        <v>#N/A</v>
      </c>
      <c r="AE1876" s="42"/>
      <c r="AF1876" s="42"/>
      <c r="AG1876" s="42"/>
      <c r="AH1876" s="42"/>
      <c r="AI1876" s="42"/>
      <c r="AJ1876" s="42"/>
      <c r="AK1876" s="42"/>
      <c r="AO1876" s="86"/>
      <c r="AP1876" s="87"/>
      <c r="AQ1876" s="87"/>
      <c r="AR1876" s="88"/>
      <c r="AS1876" s="87"/>
      <c r="AT1876" s="87"/>
    </row>
    <row r="1877" spans="15:46" x14ac:dyDescent="0.25">
      <c r="O1877" s="49" t="e">
        <f t="shared" si="92"/>
        <v>#N/A</v>
      </c>
      <c r="AE1877" s="42"/>
      <c r="AF1877" s="42"/>
      <c r="AG1877" s="42"/>
      <c r="AH1877" s="42"/>
      <c r="AI1877" s="42"/>
      <c r="AJ1877" s="42"/>
      <c r="AK1877" s="42"/>
      <c r="AO1877" s="86"/>
      <c r="AP1877" s="87"/>
      <c r="AQ1877" s="87"/>
      <c r="AR1877" s="88"/>
      <c r="AS1877" s="87"/>
      <c r="AT1877" s="87"/>
    </row>
    <row r="1878" spans="15:46" x14ac:dyDescent="0.25">
      <c r="O1878" s="49" t="e">
        <f t="shared" si="92"/>
        <v>#N/A</v>
      </c>
      <c r="AE1878" s="42"/>
      <c r="AF1878" s="42"/>
      <c r="AG1878" s="42"/>
      <c r="AH1878" s="42"/>
      <c r="AI1878" s="42"/>
      <c r="AJ1878" s="42"/>
      <c r="AK1878" s="42"/>
      <c r="AO1878" s="86"/>
      <c r="AP1878" s="87"/>
      <c r="AQ1878" s="87"/>
      <c r="AR1878" s="88"/>
      <c r="AS1878" s="87"/>
      <c r="AT1878" s="87"/>
    </row>
    <row r="1879" spans="15:46" x14ac:dyDescent="0.25">
      <c r="O1879" s="49" t="e">
        <f t="shared" ref="O1879:O1942" si="93">IF(ISTEXT(N1879),IF(MID(N1879,11,2)="24",1+DATEVALUE(LEFT(N1879,10))+TIMEVALUE(CONCATENATE(MID(N1879,11,2),":",MID(N1879,13,2))),DATEVALUE(LEFT(N1879,10))+TIMEVALUE(CONCATENATE(MID(N1879,11,2),":",MID(N1879,13,2)))),#N/A)</f>
        <v>#N/A</v>
      </c>
      <c r="AE1879" s="42"/>
      <c r="AF1879" s="42"/>
      <c r="AG1879" s="42"/>
      <c r="AH1879" s="42"/>
      <c r="AI1879" s="42"/>
      <c r="AJ1879" s="42"/>
      <c r="AK1879" s="42"/>
      <c r="AO1879" s="86"/>
      <c r="AP1879" s="87"/>
      <c r="AQ1879" s="87"/>
      <c r="AR1879" s="88"/>
      <c r="AS1879" s="87"/>
      <c r="AT1879" s="87"/>
    </row>
    <row r="1880" spans="15:46" x14ac:dyDescent="0.25">
      <c r="O1880" s="49" t="e">
        <f t="shared" si="93"/>
        <v>#N/A</v>
      </c>
      <c r="AE1880" s="42"/>
      <c r="AF1880" s="42"/>
      <c r="AG1880" s="42"/>
      <c r="AH1880" s="42"/>
      <c r="AI1880" s="42"/>
      <c r="AJ1880" s="42"/>
      <c r="AK1880" s="42"/>
      <c r="AO1880" s="86"/>
      <c r="AP1880" s="87"/>
      <c r="AQ1880" s="87"/>
      <c r="AR1880" s="88"/>
      <c r="AS1880" s="87"/>
      <c r="AT1880" s="87"/>
    </row>
    <row r="1881" spans="15:46" x14ac:dyDescent="0.25">
      <c r="O1881" s="49" t="e">
        <f t="shared" si="93"/>
        <v>#N/A</v>
      </c>
      <c r="AE1881" s="42"/>
      <c r="AF1881" s="42"/>
      <c r="AG1881" s="42"/>
      <c r="AH1881" s="42"/>
      <c r="AI1881" s="42"/>
      <c r="AJ1881" s="42"/>
      <c r="AK1881" s="42"/>
      <c r="AO1881" s="86"/>
      <c r="AP1881" s="87"/>
      <c r="AQ1881" s="87"/>
      <c r="AR1881" s="88"/>
      <c r="AS1881" s="87"/>
      <c r="AT1881" s="87"/>
    </row>
    <row r="1882" spans="15:46" x14ac:dyDescent="0.25">
      <c r="O1882" s="49" t="e">
        <f t="shared" si="93"/>
        <v>#N/A</v>
      </c>
      <c r="AE1882" s="42"/>
      <c r="AF1882" s="42"/>
      <c r="AG1882" s="42"/>
      <c r="AH1882" s="42"/>
      <c r="AI1882" s="42"/>
      <c r="AJ1882" s="42"/>
      <c r="AK1882" s="42"/>
      <c r="AO1882" s="86"/>
      <c r="AP1882" s="87"/>
      <c r="AQ1882" s="87"/>
      <c r="AR1882" s="88"/>
      <c r="AS1882" s="87"/>
      <c r="AT1882" s="87"/>
    </row>
    <row r="1883" spans="15:46" x14ac:dyDescent="0.25">
      <c r="O1883" s="49" t="e">
        <f t="shared" si="93"/>
        <v>#N/A</v>
      </c>
      <c r="AE1883" s="42"/>
      <c r="AF1883" s="42"/>
      <c r="AG1883" s="42"/>
      <c r="AH1883" s="42"/>
      <c r="AI1883" s="42"/>
      <c r="AJ1883" s="42"/>
      <c r="AK1883" s="42"/>
      <c r="AO1883" s="86"/>
      <c r="AP1883" s="87"/>
      <c r="AQ1883" s="87"/>
      <c r="AR1883" s="88"/>
      <c r="AS1883" s="87"/>
      <c r="AT1883" s="87"/>
    </row>
    <row r="1884" spans="15:46" x14ac:dyDescent="0.25">
      <c r="O1884" s="49" t="e">
        <f t="shared" si="93"/>
        <v>#N/A</v>
      </c>
      <c r="AE1884" s="42"/>
      <c r="AF1884" s="42"/>
      <c r="AG1884" s="42"/>
      <c r="AH1884" s="42"/>
      <c r="AI1884" s="42"/>
      <c r="AJ1884" s="42"/>
      <c r="AK1884" s="42"/>
      <c r="AO1884" s="86"/>
      <c r="AP1884" s="87"/>
      <c r="AQ1884" s="87"/>
      <c r="AR1884" s="88"/>
      <c r="AS1884" s="87"/>
      <c r="AT1884" s="87"/>
    </row>
    <row r="1885" spans="15:46" x14ac:dyDescent="0.25">
      <c r="O1885" s="49" t="e">
        <f t="shared" si="93"/>
        <v>#N/A</v>
      </c>
      <c r="AE1885" s="42"/>
      <c r="AF1885" s="42"/>
      <c r="AG1885" s="42"/>
      <c r="AH1885" s="42"/>
      <c r="AI1885" s="42"/>
      <c r="AJ1885" s="42"/>
      <c r="AK1885" s="42"/>
      <c r="AO1885" s="86"/>
      <c r="AP1885" s="87"/>
      <c r="AQ1885" s="87"/>
      <c r="AR1885" s="88"/>
      <c r="AS1885" s="87"/>
      <c r="AT1885" s="87"/>
    </row>
    <row r="1886" spans="15:46" x14ac:dyDescent="0.25">
      <c r="O1886" s="49" t="e">
        <f t="shared" si="93"/>
        <v>#N/A</v>
      </c>
      <c r="AE1886" s="42"/>
      <c r="AF1886" s="42"/>
      <c r="AG1886" s="42"/>
      <c r="AH1886" s="42"/>
      <c r="AI1886" s="42"/>
      <c r="AJ1886" s="42"/>
      <c r="AK1886" s="42"/>
      <c r="AO1886" s="86"/>
      <c r="AP1886" s="87"/>
      <c r="AQ1886" s="87"/>
      <c r="AR1886" s="88"/>
      <c r="AS1886" s="87"/>
      <c r="AT1886" s="87"/>
    </row>
    <row r="1887" spans="15:46" x14ac:dyDescent="0.25">
      <c r="O1887" s="49" t="e">
        <f t="shared" si="93"/>
        <v>#N/A</v>
      </c>
      <c r="AE1887" s="42"/>
      <c r="AF1887" s="42"/>
      <c r="AG1887" s="42"/>
      <c r="AH1887" s="42"/>
      <c r="AI1887" s="42"/>
      <c r="AJ1887" s="42"/>
      <c r="AK1887" s="42"/>
      <c r="AO1887" s="86"/>
      <c r="AP1887" s="87"/>
      <c r="AQ1887" s="87"/>
      <c r="AR1887" s="88"/>
      <c r="AS1887" s="87"/>
      <c r="AT1887" s="87"/>
    </row>
    <row r="1888" spans="15:46" x14ac:dyDescent="0.25">
      <c r="O1888" s="49" t="e">
        <f t="shared" si="93"/>
        <v>#N/A</v>
      </c>
      <c r="AE1888" s="42"/>
      <c r="AF1888" s="42"/>
      <c r="AG1888" s="42"/>
      <c r="AH1888" s="42"/>
      <c r="AI1888" s="42"/>
      <c r="AJ1888" s="42"/>
      <c r="AK1888" s="42"/>
      <c r="AO1888" s="86"/>
      <c r="AP1888" s="87"/>
      <c r="AQ1888" s="87"/>
      <c r="AR1888" s="88"/>
      <c r="AS1888" s="87"/>
      <c r="AT1888" s="87"/>
    </row>
    <row r="1889" spans="15:46" x14ac:dyDescent="0.25">
      <c r="O1889" s="49" t="e">
        <f t="shared" si="93"/>
        <v>#N/A</v>
      </c>
      <c r="AE1889" s="42"/>
      <c r="AF1889" s="42"/>
      <c r="AG1889" s="42"/>
      <c r="AH1889" s="42"/>
      <c r="AI1889" s="42"/>
      <c r="AJ1889" s="42"/>
      <c r="AK1889" s="42"/>
      <c r="AO1889" s="86"/>
      <c r="AP1889" s="87"/>
      <c r="AQ1889" s="87"/>
      <c r="AR1889" s="88"/>
      <c r="AS1889" s="87"/>
      <c r="AT1889" s="87"/>
    </row>
    <row r="1890" spans="15:46" x14ac:dyDescent="0.25">
      <c r="O1890" s="49" t="e">
        <f t="shared" si="93"/>
        <v>#N/A</v>
      </c>
      <c r="AE1890" s="42"/>
      <c r="AF1890" s="42"/>
      <c r="AG1890" s="42"/>
      <c r="AH1890" s="42"/>
      <c r="AI1890" s="42"/>
      <c r="AJ1890" s="42"/>
      <c r="AK1890" s="42"/>
      <c r="AO1890" s="86"/>
      <c r="AP1890" s="87"/>
      <c r="AQ1890" s="87"/>
      <c r="AR1890" s="88"/>
      <c r="AS1890" s="87"/>
      <c r="AT1890" s="87"/>
    </row>
    <row r="1891" spans="15:46" x14ac:dyDescent="0.25">
      <c r="O1891" s="49" t="e">
        <f t="shared" si="93"/>
        <v>#N/A</v>
      </c>
      <c r="AE1891" s="42"/>
      <c r="AF1891" s="42"/>
      <c r="AG1891" s="42"/>
      <c r="AH1891" s="42"/>
      <c r="AI1891" s="42"/>
      <c r="AJ1891" s="42"/>
      <c r="AK1891" s="42"/>
      <c r="AO1891" s="86"/>
      <c r="AP1891" s="87"/>
      <c r="AQ1891" s="87"/>
      <c r="AR1891" s="88"/>
      <c r="AS1891" s="87"/>
      <c r="AT1891" s="87"/>
    </row>
    <row r="1892" spans="15:46" x14ac:dyDescent="0.25">
      <c r="O1892" s="49" t="e">
        <f t="shared" si="93"/>
        <v>#N/A</v>
      </c>
      <c r="AE1892" s="42"/>
      <c r="AF1892" s="42"/>
      <c r="AG1892" s="42"/>
      <c r="AH1892" s="42"/>
      <c r="AI1892" s="42"/>
      <c r="AJ1892" s="42"/>
      <c r="AK1892" s="42"/>
      <c r="AO1892" s="86"/>
      <c r="AP1892" s="87"/>
      <c r="AQ1892" s="87"/>
      <c r="AR1892" s="88"/>
      <c r="AS1892" s="87"/>
      <c r="AT1892" s="87"/>
    </row>
    <row r="1893" spans="15:46" x14ac:dyDescent="0.25">
      <c r="O1893" s="49" t="e">
        <f t="shared" si="93"/>
        <v>#N/A</v>
      </c>
      <c r="AE1893" s="42"/>
      <c r="AF1893" s="42"/>
      <c r="AG1893" s="42"/>
      <c r="AH1893" s="42"/>
      <c r="AI1893" s="42"/>
      <c r="AJ1893" s="42"/>
      <c r="AK1893" s="42"/>
      <c r="AO1893" s="86"/>
      <c r="AP1893" s="87"/>
      <c r="AQ1893" s="87"/>
      <c r="AR1893" s="88"/>
      <c r="AS1893" s="87"/>
      <c r="AT1893" s="87"/>
    </row>
    <row r="1894" spans="15:46" x14ac:dyDescent="0.25">
      <c r="O1894" s="49" t="e">
        <f t="shared" si="93"/>
        <v>#N/A</v>
      </c>
      <c r="AE1894" s="42"/>
      <c r="AF1894" s="42"/>
      <c r="AG1894" s="42"/>
      <c r="AH1894" s="42"/>
      <c r="AI1894" s="42"/>
      <c r="AJ1894" s="42"/>
      <c r="AK1894" s="42"/>
      <c r="AO1894" s="86"/>
      <c r="AP1894" s="87"/>
      <c r="AQ1894" s="87"/>
      <c r="AR1894" s="88"/>
      <c r="AS1894" s="87"/>
      <c r="AT1894" s="87"/>
    </row>
    <row r="1895" spans="15:46" x14ac:dyDescent="0.25">
      <c r="O1895" s="49" t="e">
        <f t="shared" si="93"/>
        <v>#N/A</v>
      </c>
      <c r="AE1895" s="42"/>
      <c r="AF1895" s="42"/>
      <c r="AG1895" s="42"/>
      <c r="AH1895" s="42"/>
      <c r="AI1895" s="42"/>
      <c r="AJ1895" s="42"/>
      <c r="AK1895" s="42"/>
      <c r="AO1895" s="86"/>
      <c r="AP1895" s="87"/>
      <c r="AQ1895" s="87"/>
      <c r="AR1895" s="88"/>
      <c r="AS1895" s="87"/>
      <c r="AT1895" s="87"/>
    </row>
    <row r="1896" spans="15:46" x14ac:dyDescent="0.25">
      <c r="O1896" s="49" t="e">
        <f t="shared" si="93"/>
        <v>#N/A</v>
      </c>
      <c r="AE1896" s="42"/>
      <c r="AF1896" s="42"/>
      <c r="AG1896" s="42"/>
      <c r="AH1896" s="42"/>
      <c r="AI1896" s="42"/>
      <c r="AJ1896" s="42"/>
      <c r="AK1896" s="42"/>
      <c r="AO1896" s="86"/>
      <c r="AP1896" s="87"/>
      <c r="AQ1896" s="87"/>
      <c r="AR1896" s="88"/>
      <c r="AS1896" s="87"/>
      <c r="AT1896" s="87"/>
    </row>
    <row r="1897" spans="15:46" x14ac:dyDescent="0.25">
      <c r="O1897" s="49" t="e">
        <f t="shared" si="93"/>
        <v>#N/A</v>
      </c>
      <c r="AE1897" s="42"/>
      <c r="AF1897" s="42"/>
      <c r="AG1897" s="42"/>
      <c r="AH1897" s="42"/>
      <c r="AI1897" s="42"/>
      <c r="AJ1897" s="42"/>
      <c r="AK1897" s="42"/>
      <c r="AO1897" s="86"/>
      <c r="AP1897" s="87"/>
      <c r="AQ1897" s="87"/>
      <c r="AR1897" s="88"/>
      <c r="AS1897" s="87"/>
      <c r="AT1897" s="87"/>
    </row>
    <row r="1898" spans="15:46" x14ac:dyDescent="0.25">
      <c r="O1898" s="49" t="e">
        <f t="shared" si="93"/>
        <v>#N/A</v>
      </c>
      <c r="AE1898" s="42"/>
      <c r="AF1898" s="42"/>
      <c r="AG1898" s="42"/>
      <c r="AH1898" s="42"/>
      <c r="AI1898" s="42"/>
      <c r="AJ1898" s="42"/>
      <c r="AK1898" s="42"/>
      <c r="AO1898" s="86"/>
      <c r="AP1898" s="87"/>
      <c r="AQ1898" s="87"/>
      <c r="AR1898" s="88"/>
      <c r="AS1898" s="87"/>
      <c r="AT1898" s="87"/>
    </row>
    <row r="1899" spans="15:46" x14ac:dyDescent="0.25">
      <c r="O1899" s="49" t="e">
        <f t="shared" si="93"/>
        <v>#N/A</v>
      </c>
      <c r="AE1899" s="42"/>
      <c r="AF1899" s="42"/>
      <c r="AG1899" s="42"/>
      <c r="AH1899" s="42"/>
      <c r="AI1899" s="42"/>
      <c r="AJ1899" s="42"/>
      <c r="AK1899" s="42"/>
      <c r="AO1899" s="86"/>
      <c r="AP1899" s="87"/>
      <c r="AQ1899" s="87"/>
      <c r="AR1899" s="88"/>
      <c r="AS1899" s="87"/>
      <c r="AT1899" s="87"/>
    </row>
    <row r="1900" spans="15:46" x14ac:dyDescent="0.25">
      <c r="O1900" s="49" t="e">
        <f t="shared" si="93"/>
        <v>#N/A</v>
      </c>
      <c r="AE1900" s="42"/>
      <c r="AF1900" s="42"/>
      <c r="AG1900" s="42"/>
      <c r="AH1900" s="42"/>
      <c r="AI1900" s="42"/>
      <c r="AJ1900" s="42"/>
      <c r="AK1900" s="42"/>
      <c r="AO1900" s="86"/>
      <c r="AP1900" s="87"/>
      <c r="AQ1900" s="87"/>
      <c r="AR1900" s="88"/>
      <c r="AS1900" s="87"/>
      <c r="AT1900" s="87"/>
    </row>
    <row r="1901" spans="15:46" x14ac:dyDescent="0.25">
      <c r="O1901" s="49" t="e">
        <f t="shared" si="93"/>
        <v>#N/A</v>
      </c>
      <c r="AE1901" s="42"/>
      <c r="AF1901" s="42"/>
      <c r="AG1901" s="42"/>
      <c r="AH1901" s="42"/>
      <c r="AI1901" s="42"/>
      <c r="AJ1901" s="42"/>
      <c r="AK1901" s="42"/>
      <c r="AO1901" s="86"/>
      <c r="AP1901" s="87"/>
      <c r="AQ1901" s="87"/>
      <c r="AR1901" s="88"/>
      <c r="AS1901" s="87"/>
      <c r="AT1901" s="87"/>
    </row>
    <row r="1902" spans="15:46" x14ac:dyDescent="0.25">
      <c r="O1902" s="49" t="e">
        <f t="shared" si="93"/>
        <v>#N/A</v>
      </c>
      <c r="AE1902" s="42"/>
      <c r="AF1902" s="42"/>
      <c r="AG1902" s="42"/>
      <c r="AH1902" s="42"/>
      <c r="AI1902" s="42"/>
      <c r="AJ1902" s="42"/>
      <c r="AK1902" s="42"/>
      <c r="AO1902" s="86"/>
      <c r="AP1902" s="87"/>
      <c r="AQ1902" s="87"/>
      <c r="AR1902" s="88"/>
      <c r="AS1902" s="87"/>
      <c r="AT1902" s="87"/>
    </row>
    <row r="1903" spans="15:46" x14ac:dyDescent="0.25">
      <c r="O1903" s="49" t="e">
        <f t="shared" si="93"/>
        <v>#N/A</v>
      </c>
      <c r="AE1903" s="42"/>
      <c r="AF1903" s="42"/>
      <c r="AG1903" s="42"/>
      <c r="AH1903" s="42"/>
      <c r="AI1903" s="42"/>
      <c r="AJ1903" s="42"/>
      <c r="AK1903" s="42"/>
      <c r="AO1903" s="86"/>
      <c r="AP1903" s="87"/>
      <c r="AQ1903" s="87"/>
      <c r="AR1903" s="88"/>
      <c r="AS1903" s="87"/>
      <c r="AT1903" s="87"/>
    </row>
    <row r="1904" spans="15:46" x14ac:dyDescent="0.25">
      <c r="O1904" s="49" t="e">
        <f t="shared" si="93"/>
        <v>#N/A</v>
      </c>
      <c r="AE1904" s="42"/>
      <c r="AF1904" s="42"/>
      <c r="AG1904" s="42"/>
      <c r="AH1904" s="42"/>
      <c r="AI1904" s="42"/>
      <c r="AJ1904" s="42"/>
      <c r="AK1904" s="42"/>
      <c r="AO1904" s="86"/>
      <c r="AP1904" s="87"/>
      <c r="AQ1904" s="87"/>
      <c r="AR1904" s="88"/>
      <c r="AS1904" s="87"/>
      <c r="AT1904" s="87"/>
    </row>
    <row r="1905" spans="15:46" x14ac:dyDescent="0.25">
      <c r="O1905" s="49" t="e">
        <f t="shared" si="93"/>
        <v>#N/A</v>
      </c>
      <c r="AE1905" s="42"/>
      <c r="AF1905" s="42"/>
      <c r="AG1905" s="42"/>
      <c r="AH1905" s="42"/>
      <c r="AI1905" s="42"/>
      <c r="AJ1905" s="42"/>
      <c r="AK1905" s="42"/>
      <c r="AO1905" s="86"/>
      <c r="AP1905" s="87"/>
      <c r="AQ1905" s="87"/>
      <c r="AR1905" s="88"/>
      <c r="AS1905" s="87"/>
      <c r="AT1905" s="87"/>
    </row>
    <row r="1906" spans="15:46" x14ac:dyDescent="0.25">
      <c r="O1906" s="49" t="e">
        <f t="shared" si="93"/>
        <v>#N/A</v>
      </c>
      <c r="AE1906" s="42"/>
      <c r="AF1906" s="42"/>
      <c r="AG1906" s="42"/>
      <c r="AH1906" s="42"/>
      <c r="AI1906" s="42"/>
      <c r="AJ1906" s="42"/>
      <c r="AK1906" s="42"/>
      <c r="AO1906" s="86"/>
      <c r="AP1906" s="87"/>
      <c r="AQ1906" s="87"/>
      <c r="AR1906" s="88"/>
      <c r="AS1906" s="87"/>
      <c r="AT1906" s="87"/>
    </row>
    <row r="1907" spans="15:46" x14ac:dyDescent="0.25">
      <c r="O1907" s="49" t="e">
        <f t="shared" si="93"/>
        <v>#N/A</v>
      </c>
      <c r="AE1907" s="42"/>
      <c r="AF1907" s="42"/>
      <c r="AG1907" s="42"/>
      <c r="AH1907" s="42"/>
      <c r="AI1907" s="42"/>
      <c r="AJ1907" s="42"/>
      <c r="AK1907" s="42"/>
      <c r="AO1907" s="86"/>
      <c r="AP1907" s="87"/>
      <c r="AQ1907" s="87"/>
      <c r="AR1907" s="88"/>
      <c r="AS1907" s="87"/>
      <c r="AT1907" s="87"/>
    </row>
    <row r="1908" spans="15:46" x14ac:dyDescent="0.25">
      <c r="O1908" s="49" t="e">
        <f t="shared" si="93"/>
        <v>#N/A</v>
      </c>
      <c r="AE1908" s="42"/>
      <c r="AF1908" s="42"/>
      <c r="AG1908" s="42"/>
      <c r="AH1908" s="42"/>
      <c r="AI1908" s="42"/>
      <c r="AJ1908" s="42"/>
      <c r="AK1908" s="42"/>
      <c r="AO1908" s="86"/>
      <c r="AP1908" s="87"/>
      <c r="AQ1908" s="87"/>
      <c r="AR1908" s="88"/>
      <c r="AS1908" s="87"/>
      <c r="AT1908" s="87"/>
    </row>
    <row r="1909" spans="15:46" x14ac:dyDescent="0.25">
      <c r="O1909" s="49" t="e">
        <f t="shared" si="93"/>
        <v>#N/A</v>
      </c>
      <c r="AE1909" s="42"/>
      <c r="AF1909" s="42"/>
      <c r="AG1909" s="42"/>
      <c r="AH1909" s="42"/>
      <c r="AI1909" s="42"/>
      <c r="AJ1909" s="42"/>
      <c r="AK1909" s="42"/>
      <c r="AO1909" s="86"/>
      <c r="AP1909" s="87"/>
      <c r="AQ1909" s="87"/>
      <c r="AR1909" s="88"/>
      <c r="AS1909" s="87"/>
      <c r="AT1909" s="87"/>
    </row>
    <row r="1910" spans="15:46" x14ac:dyDescent="0.25">
      <c r="O1910" s="49" t="e">
        <f t="shared" si="93"/>
        <v>#N/A</v>
      </c>
      <c r="AE1910" s="42"/>
      <c r="AF1910" s="42"/>
      <c r="AG1910" s="42"/>
      <c r="AH1910" s="42"/>
      <c r="AI1910" s="42"/>
      <c r="AJ1910" s="42"/>
      <c r="AK1910" s="42"/>
      <c r="AO1910" s="86"/>
      <c r="AP1910" s="87"/>
      <c r="AQ1910" s="87"/>
      <c r="AR1910" s="88"/>
      <c r="AS1910" s="87"/>
      <c r="AT1910" s="87"/>
    </row>
    <row r="1911" spans="15:46" x14ac:dyDescent="0.25">
      <c r="O1911" s="49" t="e">
        <f t="shared" si="93"/>
        <v>#N/A</v>
      </c>
      <c r="AE1911" s="42"/>
      <c r="AF1911" s="42"/>
      <c r="AG1911" s="42"/>
      <c r="AH1911" s="42"/>
      <c r="AI1911" s="42"/>
      <c r="AJ1911" s="42"/>
      <c r="AK1911" s="42"/>
      <c r="AO1911" s="86"/>
      <c r="AP1911" s="87"/>
      <c r="AQ1911" s="87"/>
      <c r="AR1911" s="88"/>
      <c r="AS1911" s="87"/>
      <c r="AT1911" s="87"/>
    </row>
    <row r="1912" spans="15:46" x14ac:dyDescent="0.25">
      <c r="O1912" s="49" t="e">
        <f t="shared" si="93"/>
        <v>#N/A</v>
      </c>
      <c r="AE1912" s="42"/>
      <c r="AF1912" s="42"/>
      <c r="AG1912" s="42"/>
      <c r="AH1912" s="42"/>
      <c r="AI1912" s="42"/>
      <c r="AJ1912" s="42"/>
      <c r="AK1912" s="42"/>
      <c r="AO1912" s="86"/>
      <c r="AP1912" s="87"/>
      <c r="AQ1912" s="87"/>
      <c r="AR1912" s="88"/>
      <c r="AS1912" s="87"/>
      <c r="AT1912" s="87"/>
    </row>
    <row r="1913" spans="15:46" x14ac:dyDescent="0.25">
      <c r="O1913" s="49" t="e">
        <f t="shared" si="93"/>
        <v>#N/A</v>
      </c>
      <c r="AE1913" s="42"/>
      <c r="AF1913" s="42"/>
      <c r="AG1913" s="42"/>
      <c r="AH1913" s="42"/>
      <c r="AI1913" s="42"/>
      <c r="AJ1913" s="42"/>
      <c r="AK1913" s="42"/>
      <c r="AO1913" s="86"/>
      <c r="AP1913" s="87"/>
      <c r="AQ1913" s="87"/>
      <c r="AR1913" s="88"/>
      <c r="AS1913" s="87"/>
      <c r="AT1913" s="87"/>
    </row>
    <row r="1914" spans="15:46" x14ac:dyDescent="0.25">
      <c r="O1914" s="49" t="e">
        <f t="shared" si="93"/>
        <v>#N/A</v>
      </c>
      <c r="AE1914" s="42"/>
      <c r="AF1914" s="42"/>
      <c r="AG1914" s="42"/>
      <c r="AH1914" s="42"/>
      <c r="AI1914" s="42"/>
      <c r="AJ1914" s="42"/>
      <c r="AK1914" s="42"/>
      <c r="AO1914" s="86"/>
      <c r="AP1914" s="87"/>
      <c r="AQ1914" s="87"/>
      <c r="AR1914" s="88"/>
      <c r="AS1914" s="87"/>
      <c r="AT1914" s="87"/>
    </row>
    <row r="1915" spans="15:46" x14ac:dyDescent="0.25">
      <c r="O1915" s="49" t="e">
        <f t="shared" si="93"/>
        <v>#N/A</v>
      </c>
      <c r="AE1915" s="42"/>
      <c r="AF1915" s="42"/>
      <c r="AG1915" s="42"/>
      <c r="AH1915" s="42"/>
      <c r="AI1915" s="42"/>
      <c r="AJ1915" s="42"/>
      <c r="AK1915" s="42"/>
      <c r="AO1915" s="86"/>
      <c r="AP1915" s="87"/>
      <c r="AQ1915" s="87"/>
      <c r="AR1915" s="88"/>
      <c r="AS1915" s="87"/>
      <c r="AT1915" s="87"/>
    </row>
    <row r="1916" spans="15:46" x14ac:dyDescent="0.25">
      <c r="O1916" s="49" t="e">
        <f t="shared" si="93"/>
        <v>#N/A</v>
      </c>
      <c r="AE1916" s="42"/>
      <c r="AF1916" s="42"/>
      <c r="AG1916" s="42"/>
      <c r="AH1916" s="42"/>
      <c r="AI1916" s="42"/>
      <c r="AJ1916" s="42"/>
      <c r="AK1916" s="42"/>
      <c r="AO1916" s="86"/>
      <c r="AP1916" s="87"/>
      <c r="AQ1916" s="87"/>
      <c r="AR1916" s="88"/>
      <c r="AS1916" s="87"/>
      <c r="AT1916" s="87"/>
    </row>
    <row r="1917" spans="15:46" x14ac:dyDescent="0.25">
      <c r="O1917" s="49" t="e">
        <f t="shared" si="93"/>
        <v>#N/A</v>
      </c>
      <c r="AE1917" s="42"/>
      <c r="AF1917" s="42"/>
      <c r="AG1917" s="42"/>
      <c r="AH1917" s="42"/>
      <c r="AI1917" s="42"/>
      <c r="AJ1917" s="42"/>
      <c r="AK1917" s="42"/>
      <c r="AO1917" s="86"/>
      <c r="AP1917" s="87"/>
      <c r="AQ1917" s="87"/>
      <c r="AR1917" s="88"/>
      <c r="AS1917" s="87"/>
      <c r="AT1917" s="87"/>
    </row>
    <row r="1918" spans="15:46" x14ac:dyDescent="0.25">
      <c r="O1918" s="49" t="e">
        <f t="shared" si="93"/>
        <v>#N/A</v>
      </c>
      <c r="AE1918" s="42"/>
      <c r="AF1918" s="42"/>
      <c r="AG1918" s="42"/>
      <c r="AH1918" s="42"/>
      <c r="AI1918" s="42"/>
      <c r="AJ1918" s="42"/>
      <c r="AK1918" s="42"/>
      <c r="AO1918" s="86"/>
      <c r="AP1918" s="87"/>
      <c r="AQ1918" s="87"/>
      <c r="AR1918" s="88"/>
      <c r="AS1918" s="87"/>
      <c r="AT1918" s="87"/>
    </row>
    <row r="1919" spans="15:46" x14ac:dyDescent="0.25">
      <c r="O1919" s="49" t="e">
        <f t="shared" si="93"/>
        <v>#N/A</v>
      </c>
      <c r="AE1919" s="42"/>
      <c r="AF1919" s="42"/>
      <c r="AG1919" s="42"/>
      <c r="AH1919" s="42"/>
      <c r="AI1919" s="42"/>
      <c r="AJ1919" s="42"/>
      <c r="AK1919" s="42"/>
      <c r="AO1919" s="86"/>
      <c r="AP1919" s="87"/>
      <c r="AQ1919" s="87"/>
      <c r="AR1919" s="88"/>
      <c r="AS1919" s="87"/>
      <c r="AT1919" s="87"/>
    </row>
    <row r="1920" spans="15:46" x14ac:dyDescent="0.25">
      <c r="O1920" s="49" t="e">
        <f t="shared" si="93"/>
        <v>#N/A</v>
      </c>
      <c r="AE1920" s="42"/>
      <c r="AF1920" s="42"/>
      <c r="AG1920" s="42"/>
      <c r="AH1920" s="42"/>
      <c r="AI1920" s="42"/>
      <c r="AJ1920" s="42"/>
      <c r="AK1920" s="42"/>
      <c r="AO1920" s="86"/>
      <c r="AP1920" s="87"/>
      <c r="AQ1920" s="87"/>
      <c r="AR1920" s="88"/>
      <c r="AS1920" s="87"/>
      <c r="AT1920" s="87"/>
    </row>
    <row r="1921" spans="15:46" x14ac:dyDescent="0.25">
      <c r="O1921" s="49" t="e">
        <f t="shared" si="93"/>
        <v>#N/A</v>
      </c>
      <c r="AE1921" s="42"/>
      <c r="AF1921" s="42"/>
      <c r="AG1921" s="42"/>
      <c r="AH1921" s="42"/>
      <c r="AI1921" s="42"/>
      <c r="AJ1921" s="42"/>
      <c r="AK1921" s="42"/>
      <c r="AO1921" s="86"/>
      <c r="AP1921" s="87"/>
      <c r="AQ1921" s="87"/>
      <c r="AR1921" s="88"/>
      <c r="AS1921" s="87"/>
      <c r="AT1921" s="87"/>
    </row>
    <row r="1922" spans="15:46" x14ac:dyDescent="0.25">
      <c r="O1922" s="49" t="e">
        <f t="shared" si="93"/>
        <v>#N/A</v>
      </c>
      <c r="AE1922" s="42"/>
      <c r="AF1922" s="42"/>
      <c r="AG1922" s="42"/>
      <c r="AH1922" s="42"/>
      <c r="AI1922" s="42"/>
      <c r="AJ1922" s="42"/>
      <c r="AK1922" s="42"/>
      <c r="AO1922" s="86"/>
      <c r="AP1922" s="87"/>
      <c r="AQ1922" s="87"/>
      <c r="AR1922" s="88"/>
      <c r="AS1922" s="87"/>
      <c r="AT1922" s="87"/>
    </row>
    <row r="1923" spans="15:46" x14ac:dyDescent="0.25">
      <c r="O1923" s="49" t="e">
        <f t="shared" si="93"/>
        <v>#N/A</v>
      </c>
      <c r="AE1923" s="42"/>
      <c r="AF1923" s="42"/>
      <c r="AG1923" s="42"/>
      <c r="AH1923" s="42"/>
      <c r="AI1923" s="42"/>
      <c r="AJ1923" s="42"/>
      <c r="AK1923" s="42"/>
      <c r="AO1923" s="86"/>
      <c r="AP1923" s="87"/>
      <c r="AQ1923" s="87"/>
      <c r="AR1923" s="88"/>
      <c r="AS1923" s="87"/>
      <c r="AT1923" s="87"/>
    </row>
    <row r="1924" spans="15:46" x14ac:dyDescent="0.25">
      <c r="O1924" s="49" t="e">
        <f t="shared" si="93"/>
        <v>#N/A</v>
      </c>
      <c r="AE1924" s="42"/>
      <c r="AF1924" s="42"/>
      <c r="AG1924" s="42"/>
      <c r="AH1924" s="42"/>
      <c r="AI1924" s="42"/>
      <c r="AJ1924" s="42"/>
      <c r="AK1924" s="42"/>
      <c r="AO1924" s="86"/>
      <c r="AP1924" s="87"/>
      <c r="AQ1924" s="87"/>
      <c r="AR1924" s="88"/>
      <c r="AS1924" s="87"/>
      <c r="AT1924" s="87"/>
    </row>
    <row r="1925" spans="15:46" x14ac:dyDescent="0.25">
      <c r="O1925" s="49" t="e">
        <f t="shared" si="93"/>
        <v>#N/A</v>
      </c>
      <c r="AE1925" s="42"/>
      <c r="AF1925" s="42"/>
      <c r="AG1925" s="42"/>
      <c r="AH1925" s="42"/>
      <c r="AI1925" s="42"/>
      <c r="AJ1925" s="42"/>
      <c r="AK1925" s="42"/>
      <c r="AO1925" s="86"/>
      <c r="AP1925" s="87"/>
      <c r="AQ1925" s="87"/>
      <c r="AR1925" s="88"/>
      <c r="AS1925" s="87"/>
      <c r="AT1925" s="87"/>
    </row>
    <row r="1926" spans="15:46" x14ac:dyDescent="0.25">
      <c r="O1926" s="49" t="e">
        <f t="shared" si="93"/>
        <v>#N/A</v>
      </c>
      <c r="AE1926" s="42"/>
      <c r="AF1926" s="42"/>
      <c r="AG1926" s="42"/>
      <c r="AH1926" s="42"/>
      <c r="AI1926" s="42"/>
      <c r="AJ1926" s="42"/>
      <c r="AK1926" s="42"/>
      <c r="AO1926" s="86"/>
      <c r="AP1926" s="87"/>
      <c r="AQ1926" s="87"/>
      <c r="AR1926" s="88"/>
      <c r="AS1926" s="87"/>
      <c r="AT1926" s="87"/>
    </row>
    <row r="1927" spans="15:46" x14ac:dyDescent="0.25">
      <c r="O1927" s="49" t="e">
        <f t="shared" si="93"/>
        <v>#N/A</v>
      </c>
      <c r="AE1927" s="42"/>
      <c r="AF1927" s="42"/>
      <c r="AG1927" s="42"/>
      <c r="AH1927" s="42"/>
      <c r="AI1927" s="42"/>
      <c r="AJ1927" s="42"/>
      <c r="AK1927" s="42"/>
      <c r="AO1927" s="86"/>
      <c r="AP1927" s="87"/>
      <c r="AQ1927" s="87"/>
      <c r="AR1927" s="88"/>
      <c r="AS1927" s="87"/>
      <c r="AT1927" s="87"/>
    </row>
    <row r="1928" spans="15:46" x14ac:dyDescent="0.25">
      <c r="O1928" s="49" t="e">
        <f t="shared" si="93"/>
        <v>#N/A</v>
      </c>
      <c r="AE1928" s="42"/>
      <c r="AF1928" s="42"/>
      <c r="AG1928" s="42"/>
      <c r="AH1928" s="42"/>
      <c r="AI1928" s="42"/>
      <c r="AJ1928" s="42"/>
      <c r="AK1928" s="42"/>
      <c r="AO1928" s="86"/>
      <c r="AP1928" s="87"/>
      <c r="AQ1928" s="87"/>
      <c r="AR1928" s="88"/>
      <c r="AS1928" s="87"/>
      <c r="AT1928" s="87"/>
    </row>
    <row r="1929" spans="15:46" x14ac:dyDescent="0.25">
      <c r="O1929" s="49" t="e">
        <f t="shared" si="93"/>
        <v>#N/A</v>
      </c>
      <c r="AE1929" s="42"/>
      <c r="AF1929" s="42"/>
      <c r="AG1929" s="42"/>
      <c r="AH1929" s="42"/>
      <c r="AI1929" s="42"/>
      <c r="AJ1929" s="42"/>
      <c r="AK1929" s="42"/>
      <c r="AO1929" s="86"/>
      <c r="AP1929" s="87"/>
      <c r="AQ1929" s="87"/>
      <c r="AR1929" s="88"/>
      <c r="AS1929" s="87"/>
      <c r="AT1929" s="87"/>
    </row>
    <row r="1930" spans="15:46" x14ac:dyDescent="0.25">
      <c r="O1930" s="49" t="e">
        <f t="shared" si="93"/>
        <v>#N/A</v>
      </c>
      <c r="AE1930" s="42"/>
      <c r="AF1930" s="42"/>
      <c r="AG1930" s="42"/>
      <c r="AH1930" s="42"/>
      <c r="AI1930" s="42"/>
      <c r="AJ1930" s="42"/>
      <c r="AK1930" s="42"/>
      <c r="AO1930" s="86"/>
      <c r="AP1930" s="87"/>
      <c r="AQ1930" s="87"/>
      <c r="AR1930" s="88"/>
      <c r="AS1930" s="87"/>
      <c r="AT1930" s="87"/>
    </row>
    <row r="1931" spans="15:46" x14ac:dyDescent="0.25">
      <c r="O1931" s="49" t="e">
        <f t="shared" si="93"/>
        <v>#N/A</v>
      </c>
      <c r="AE1931" s="42"/>
      <c r="AF1931" s="42"/>
      <c r="AG1931" s="42"/>
      <c r="AH1931" s="42"/>
      <c r="AI1931" s="42"/>
      <c r="AJ1931" s="42"/>
      <c r="AK1931" s="42"/>
      <c r="AO1931" s="86"/>
      <c r="AP1931" s="87"/>
      <c r="AQ1931" s="87"/>
      <c r="AR1931" s="88"/>
      <c r="AS1931" s="87"/>
      <c r="AT1931" s="87"/>
    </row>
    <row r="1932" spans="15:46" x14ac:dyDescent="0.25">
      <c r="O1932" s="49" t="e">
        <f t="shared" si="93"/>
        <v>#N/A</v>
      </c>
      <c r="AE1932" s="42"/>
      <c r="AF1932" s="42"/>
      <c r="AG1932" s="42"/>
      <c r="AH1932" s="42"/>
      <c r="AI1932" s="42"/>
      <c r="AJ1932" s="42"/>
      <c r="AK1932" s="42"/>
      <c r="AO1932" s="86"/>
      <c r="AP1932" s="87"/>
      <c r="AQ1932" s="87"/>
      <c r="AR1932" s="88"/>
      <c r="AS1932" s="87"/>
      <c r="AT1932" s="87"/>
    </row>
    <row r="1933" spans="15:46" x14ac:dyDescent="0.25">
      <c r="O1933" s="49" t="e">
        <f t="shared" si="93"/>
        <v>#N/A</v>
      </c>
      <c r="AE1933" s="42"/>
      <c r="AF1933" s="42"/>
      <c r="AG1933" s="42"/>
      <c r="AH1933" s="42"/>
      <c r="AI1933" s="42"/>
      <c r="AJ1933" s="42"/>
      <c r="AK1933" s="42"/>
      <c r="AO1933" s="86"/>
      <c r="AP1933" s="87"/>
      <c r="AQ1933" s="87"/>
      <c r="AR1933" s="88"/>
      <c r="AS1933" s="87"/>
      <c r="AT1933" s="87"/>
    </row>
    <row r="1934" spans="15:46" x14ac:dyDescent="0.25">
      <c r="O1934" s="49" t="e">
        <f t="shared" si="93"/>
        <v>#N/A</v>
      </c>
      <c r="AE1934" s="42"/>
      <c r="AF1934" s="42"/>
      <c r="AG1934" s="42"/>
      <c r="AH1934" s="42"/>
      <c r="AI1934" s="42"/>
      <c r="AJ1934" s="42"/>
      <c r="AK1934" s="42"/>
      <c r="AO1934" s="86"/>
      <c r="AP1934" s="87"/>
      <c r="AQ1934" s="87"/>
      <c r="AR1934" s="88"/>
      <c r="AS1934" s="87"/>
      <c r="AT1934" s="87"/>
    </row>
    <row r="1935" spans="15:46" x14ac:dyDescent="0.25">
      <c r="O1935" s="49" t="e">
        <f t="shared" si="93"/>
        <v>#N/A</v>
      </c>
      <c r="AE1935" s="42"/>
      <c r="AF1935" s="42"/>
      <c r="AG1935" s="42"/>
      <c r="AH1935" s="42"/>
      <c r="AI1935" s="42"/>
      <c r="AJ1935" s="42"/>
      <c r="AK1935" s="42"/>
      <c r="AO1935" s="86"/>
      <c r="AP1935" s="87"/>
      <c r="AQ1935" s="87"/>
      <c r="AR1935" s="88"/>
      <c r="AS1935" s="87"/>
      <c r="AT1935" s="87"/>
    </row>
    <row r="1936" spans="15:46" x14ac:dyDescent="0.25">
      <c r="O1936" s="49" t="e">
        <f t="shared" si="93"/>
        <v>#N/A</v>
      </c>
      <c r="AE1936" s="42"/>
      <c r="AF1936" s="42"/>
      <c r="AG1936" s="42"/>
      <c r="AH1936" s="42"/>
      <c r="AI1936" s="42"/>
      <c r="AJ1936" s="42"/>
      <c r="AK1936" s="42"/>
      <c r="AO1936" s="86"/>
      <c r="AP1936" s="87"/>
      <c r="AQ1936" s="87"/>
      <c r="AR1936" s="88"/>
      <c r="AS1936" s="87"/>
      <c r="AT1936" s="87"/>
    </row>
    <row r="1937" spans="15:46" x14ac:dyDescent="0.25">
      <c r="O1937" s="49" t="e">
        <f t="shared" si="93"/>
        <v>#N/A</v>
      </c>
      <c r="AE1937" s="42"/>
      <c r="AF1937" s="42"/>
      <c r="AG1937" s="42"/>
      <c r="AH1937" s="42"/>
      <c r="AI1937" s="42"/>
      <c r="AJ1937" s="42"/>
      <c r="AK1937" s="42"/>
      <c r="AO1937" s="86"/>
      <c r="AP1937" s="87"/>
      <c r="AQ1937" s="87"/>
      <c r="AR1937" s="88"/>
      <c r="AS1937" s="87"/>
      <c r="AT1937" s="87"/>
    </row>
    <row r="1938" spans="15:46" x14ac:dyDescent="0.25">
      <c r="O1938" s="49" t="e">
        <f t="shared" si="93"/>
        <v>#N/A</v>
      </c>
      <c r="AE1938" s="42"/>
      <c r="AF1938" s="42"/>
      <c r="AG1938" s="42"/>
      <c r="AH1938" s="42"/>
      <c r="AI1938" s="42"/>
      <c r="AJ1938" s="42"/>
      <c r="AK1938" s="42"/>
      <c r="AO1938" s="86"/>
      <c r="AP1938" s="87"/>
      <c r="AQ1938" s="87"/>
      <c r="AR1938" s="88"/>
      <c r="AS1938" s="87"/>
      <c r="AT1938" s="87"/>
    </row>
    <row r="1939" spans="15:46" x14ac:dyDescent="0.25">
      <c r="O1939" s="49" t="e">
        <f t="shared" si="93"/>
        <v>#N/A</v>
      </c>
      <c r="AE1939" s="42"/>
      <c r="AF1939" s="42"/>
      <c r="AG1939" s="42"/>
      <c r="AH1939" s="42"/>
      <c r="AI1939" s="42"/>
      <c r="AJ1939" s="42"/>
      <c r="AK1939" s="42"/>
      <c r="AO1939" s="86"/>
      <c r="AP1939" s="87"/>
      <c r="AQ1939" s="87"/>
      <c r="AR1939" s="88"/>
      <c r="AS1939" s="87"/>
      <c r="AT1939" s="87"/>
    </row>
    <row r="1940" spans="15:46" x14ac:dyDescent="0.25">
      <c r="O1940" s="49" t="e">
        <f t="shared" si="93"/>
        <v>#N/A</v>
      </c>
      <c r="AE1940" s="42"/>
      <c r="AF1940" s="42"/>
      <c r="AG1940" s="42"/>
      <c r="AH1940" s="42"/>
      <c r="AI1940" s="42"/>
      <c r="AJ1940" s="42"/>
      <c r="AK1940" s="42"/>
      <c r="AO1940" s="86"/>
      <c r="AP1940" s="87"/>
      <c r="AQ1940" s="87"/>
      <c r="AR1940" s="88"/>
      <c r="AS1940" s="87"/>
      <c r="AT1940" s="87"/>
    </row>
    <row r="1941" spans="15:46" x14ac:dyDescent="0.25">
      <c r="O1941" s="49" t="e">
        <f t="shared" si="93"/>
        <v>#N/A</v>
      </c>
      <c r="AE1941" s="42"/>
      <c r="AF1941" s="42"/>
      <c r="AG1941" s="42"/>
      <c r="AH1941" s="42"/>
      <c r="AI1941" s="42"/>
      <c r="AJ1941" s="42"/>
      <c r="AK1941" s="42"/>
      <c r="AO1941" s="86"/>
      <c r="AP1941" s="87"/>
      <c r="AQ1941" s="87"/>
      <c r="AR1941" s="88"/>
      <c r="AS1941" s="87"/>
      <c r="AT1941" s="87"/>
    </row>
    <row r="1942" spans="15:46" x14ac:dyDescent="0.25">
      <c r="O1942" s="49" t="e">
        <f t="shared" si="93"/>
        <v>#N/A</v>
      </c>
      <c r="AE1942" s="42"/>
      <c r="AF1942" s="42"/>
      <c r="AG1942" s="42"/>
      <c r="AH1942" s="42"/>
      <c r="AI1942" s="42"/>
      <c r="AJ1942" s="42"/>
      <c r="AK1942" s="42"/>
      <c r="AO1942" s="86"/>
      <c r="AP1942" s="87"/>
      <c r="AQ1942" s="87"/>
      <c r="AR1942" s="88"/>
      <c r="AS1942" s="87"/>
      <c r="AT1942" s="87"/>
    </row>
    <row r="1943" spans="15:46" x14ac:dyDescent="0.25">
      <c r="O1943" s="49" t="e">
        <f t="shared" ref="O1943:O2000" si="94">IF(ISTEXT(N1943),IF(MID(N1943,11,2)="24",1+DATEVALUE(LEFT(N1943,10))+TIMEVALUE(CONCATENATE(MID(N1943,11,2),":",MID(N1943,13,2))),DATEVALUE(LEFT(N1943,10))+TIMEVALUE(CONCATENATE(MID(N1943,11,2),":",MID(N1943,13,2)))),#N/A)</f>
        <v>#N/A</v>
      </c>
      <c r="AE1943" s="42"/>
      <c r="AF1943" s="42"/>
      <c r="AG1943" s="42"/>
      <c r="AH1943" s="42"/>
      <c r="AI1943" s="42"/>
      <c r="AJ1943" s="42"/>
      <c r="AK1943" s="42"/>
      <c r="AO1943" s="86"/>
      <c r="AP1943" s="87"/>
      <c r="AQ1943" s="87"/>
      <c r="AR1943" s="88"/>
      <c r="AS1943" s="87"/>
      <c r="AT1943" s="87"/>
    </row>
    <row r="1944" spans="15:46" x14ac:dyDescent="0.25">
      <c r="O1944" s="49" t="e">
        <f t="shared" si="94"/>
        <v>#N/A</v>
      </c>
      <c r="AE1944" s="42"/>
      <c r="AF1944" s="42"/>
      <c r="AG1944" s="42"/>
      <c r="AH1944" s="42"/>
      <c r="AI1944" s="42"/>
      <c r="AJ1944" s="42"/>
      <c r="AK1944" s="42"/>
      <c r="AO1944" s="86"/>
      <c r="AP1944" s="87"/>
      <c r="AQ1944" s="87"/>
      <c r="AR1944" s="88"/>
      <c r="AS1944" s="87"/>
      <c r="AT1944" s="87"/>
    </row>
    <row r="1945" spans="15:46" x14ac:dyDescent="0.25">
      <c r="O1945" s="49" t="e">
        <f t="shared" si="94"/>
        <v>#N/A</v>
      </c>
      <c r="AE1945" s="42"/>
      <c r="AF1945" s="42"/>
      <c r="AG1945" s="42"/>
      <c r="AH1945" s="42"/>
      <c r="AI1945" s="42"/>
      <c r="AJ1945" s="42"/>
      <c r="AK1945" s="42"/>
      <c r="AO1945" s="86"/>
      <c r="AP1945" s="87"/>
      <c r="AQ1945" s="87"/>
      <c r="AR1945" s="88"/>
      <c r="AS1945" s="87"/>
      <c r="AT1945" s="87"/>
    </row>
    <row r="1946" spans="15:46" x14ac:dyDescent="0.25">
      <c r="O1946" s="49" t="e">
        <f t="shared" si="94"/>
        <v>#N/A</v>
      </c>
      <c r="AE1946" s="42"/>
      <c r="AF1946" s="42"/>
      <c r="AG1946" s="42"/>
      <c r="AH1946" s="42"/>
      <c r="AI1946" s="42"/>
      <c r="AJ1946" s="42"/>
      <c r="AK1946" s="42"/>
      <c r="AO1946" s="86"/>
      <c r="AP1946" s="87"/>
      <c r="AQ1946" s="87"/>
      <c r="AR1946" s="88"/>
      <c r="AS1946" s="87"/>
      <c r="AT1946" s="87"/>
    </row>
    <row r="1947" spans="15:46" x14ac:dyDescent="0.25">
      <c r="O1947" s="49" t="e">
        <f t="shared" si="94"/>
        <v>#N/A</v>
      </c>
      <c r="AE1947" s="42"/>
      <c r="AF1947" s="42"/>
      <c r="AG1947" s="42"/>
      <c r="AH1947" s="42"/>
      <c r="AI1947" s="42"/>
      <c r="AJ1947" s="42"/>
      <c r="AK1947" s="42"/>
      <c r="AO1947" s="86"/>
      <c r="AP1947" s="87"/>
      <c r="AQ1947" s="87"/>
      <c r="AR1947" s="88"/>
      <c r="AS1947" s="87"/>
      <c r="AT1947" s="87"/>
    </row>
    <row r="1948" spans="15:46" x14ac:dyDescent="0.25">
      <c r="O1948" s="49" t="e">
        <f t="shared" si="94"/>
        <v>#N/A</v>
      </c>
      <c r="AE1948" s="42"/>
      <c r="AF1948" s="42"/>
      <c r="AG1948" s="42"/>
      <c r="AH1948" s="42"/>
      <c r="AI1948" s="42"/>
      <c r="AJ1948" s="42"/>
      <c r="AK1948" s="42"/>
      <c r="AO1948" s="86"/>
      <c r="AP1948" s="87"/>
      <c r="AQ1948" s="87"/>
      <c r="AR1948" s="88"/>
      <c r="AS1948" s="87"/>
      <c r="AT1948" s="87"/>
    </row>
    <row r="1949" spans="15:46" x14ac:dyDescent="0.25">
      <c r="O1949" s="49" t="e">
        <f t="shared" si="94"/>
        <v>#N/A</v>
      </c>
      <c r="AE1949" s="42"/>
      <c r="AF1949" s="42"/>
      <c r="AG1949" s="42"/>
      <c r="AH1949" s="42"/>
      <c r="AI1949" s="42"/>
      <c r="AJ1949" s="42"/>
      <c r="AK1949" s="42"/>
      <c r="AO1949" s="86"/>
      <c r="AP1949" s="87"/>
      <c r="AQ1949" s="87"/>
      <c r="AR1949" s="88"/>
      <c r="AS1949" s="87"/>
      <c r="AT1949" s="87"/>
    </row>
    <row r="1950" spans="15:46" x14ac:dyDescent="0.25">
      <c r="O1950" s="49" t="e">
        <f t="shared" si="94"/>
        <v>#N/A</v>
      </c>
      <c r="AE1950" s="42"/>
      <c r="AF1950" s="42"/>
      <c r="AG1950" s="42"/>
      <c r="AH1950" s="42"/>
      <c r="AI1950" s="42"/>
      <c r="AJ1950" s="42"/>
      <c r="AK1950" s="42"/>
      <c r="AO1950" s="86"/>
      <c r="AP1950" s="87"/>
      <c r="AQ1950" s="87"/>
      <c r="AR1950" s="88"/>
      <c r="AS1950" s="87"/>
      <c r="AT1950" s="87"/>
    </row>
    <row r="1951" spans="15:46" x14ac:dyDescent="0.25">
      <c r="O1951" s="49" t="e">
        <f t="shared" si="94"/>
        <v>#N/A</v>
      </c>
      <c r="AE1951" s="42"/>
      <c r="AF1951" s="42"/>
      <c r="AG1951" s="42"/>
      <c r="AH1951" s="42"/>
      <c r="AI1951" s="42"/>
      <c r="AJ1951" s="42"/>
      <c r="AK1951" s="42"/>
      <c r="AO1951" s="86"/>
      <c r="AP1951" s="87"/>
      <c r="AQ1951" s="87"/>
      <c r="AR1951" s="88"/>
      <c r="AS1951" s="87"/>
      <c r="AT1951" s="87"/>
    </row>
    <row r="1952" spans="15:46" x14ac:dyDescent="0.25">
      <c r="O1952" s="49" t="e">
        <f t="shared" si="94"/>
        <v>#N/A</v>
      </c>
      <c r="AE1952" s="42"/>
      <c r="AF1952" s="42"/>
      <c r="AG1952" s="42"/>
      <c r="AH1952" s="42"/>
      <c r="AI1952" s="42"/>
      <c r="AJ1952" s="42"/>
      <c r="AK1952" s="42"/>
      <c r="AO1952" s="86"/>
      <c r="AP1952" s="87"/>
      <c r="AQ1952" s="87"/>
      <c r="AR1952" s="88"/>
      <c r="AS1952" s="87"/>
      <c r="AT1952" s="87"/>
    </row>
    <row r="1953" spans="15:46" x14ac:dyDescent="0.25">
      <c r="O1953" s="49" t="e">
        <f t="shared" si="94"/>
        <v>#N/A</v>
      </c>
      <c r="AE1953" s="42"/>
      <c r="AF1953" s="42"/>
      <c r="AG1953" s="42"/>
      <c r="AH1953" s="42"/>
      <c r="AI1953" s="42"/>
      <c r="AJ1953" s="42"/>
      <c r="AK1953" s="42"/>
      <c r="AO1953" s="86"/>
      <c r="AP1953" s="87"/>
      <c r="AQ1953" s="87"/>
      <c r="AR1953" s="88"/>
      <c r="AS1953" s="87"/>
      <c r="AT1953" s="87"/>
    </row>
    <row r="1954" spans="15:46" x14ac:dyDescent="0.25">
      <c r="O1954" s="49" t="e">
        <f t="shared" si="94"/>
        <v>#N/A</v>
      </c>
      <c r="AE1954" s="42"/>
      <c r="AF1954" s="42"/>
      <c r="AG1954" s="42"/>
      <c r="AH1954" s="42"/>
      <c r="AI1954" s="42"/>
      <c r="AJ1954" s="42"/>
      <c r="AK1954" s="42"/>
      <c r="AO1954" s="86"/>
      <c r="AP1954" s="87"/>
      <c r="AQ1954" s="87"/>
      <c r="AR1954" s="88"/>
      <c r="AS1954" s="87"/>
      <c r="AT1954" s="87"/>
    </row>
    <row r="1955" spans="15:46" x14ac:dyDescent="0.25">
      <c r="O1955" s="49" t="e">
        <f t="shared" si="94"/>
        <v>#N/A</v>
      </c>
      <c r="AE1955" s="42"/>
      <c r="AF1955" s="42"/>
      <c r="AG1955" s="42"/>
      <c r="AH1955" s="42"/>
      <c r="AI1955" s="42"/>
      <c r="AJ1955" s="42"/>
      <c r="AK1955" s="42"/>
      <c r="AO1955" s="86"/>
      <c r="AP1955" s="87"/>
      <c r="AQ1955" s="87"/>
      <c r="AR1955" s="88"/>
      <c r="AS1955" s="87"/>
      <c r="AT1955" s="87"/>
    </row>
    <row r="1956" spans="15:46" x14ac:dyDescent="0.25">
      <c r="O1956" s="49" t="e">
        <f t="shared" si="94"/>
        <v>#N/A</v>
      </c>
      <c r="AE1956" s="42"/>
      <c r="AF1956" s="42"/>
      <c r="AG1956" s="42"/>
      <c r="AH1956" s="42"/>
      <c r="AI1956" s="42"/>
      <c r="AJ1956" s="42"/>
      <c r="AK1956" s="42"/>
      <c r="AO1956" s="86"/>
      <c r="AP1956" s="87"/>
      <c r="AQ1956" s="87"/>
      <c r="AR1956" s="88"/>
      <c r="AS1956" s="87"/>
      <c r="AT1956" s="87"/>
    </row>
    <row r="1957" spans="15:46" x14ac:dyDescent="0.25">
      <c r="O1957" s="49" t="e">
        <f t="shared" si="94"/>
        <v>#N/A</v>
      </c>
      <c r="AE1957" s="42"/>
      <c r="AF1957" s="42"/>
      <c r="AG1957" s="42"/>
      <c r="AH1957" s="42"/>
      <c r="AI1957" s="42"/>
      <c r="AJ1957" s="42"/>
      <c r="AK1957" s="42"/>
      <c r="AO1957" s="86"/>
      <c r="AP1957" s="87"/>
      <c r="AQ1957" s="87"/>
      <c r="AR1957" s="88"/>
      <c r="AS1957" s="87"/>
      <c r="AT1957" s="87"/>
    </row>
    <row r="1958" spans="15:46" x14ac:dyDescent="0.25">
      <c r="O1958" s="49" t="e">
        <f t="shared" si="94"/>
        <v>#N/A</v>
      </c>
      <c r="AE1958" s="42"/>
      <c r="AF1958" s="42"/>
      <c r="AG1958" s="42"/>
      <c r="AH1958" s="42"/>
      <c r="AI1958" s="42"/>
      <c r="AJ1958" s="42"/>
      <c r="AK1958" s="42"/>
      <c r="AO1958" s="86"/>
      <c r="AP1958" s="87"/>
      <c r="AQ1958" s="87"/>
      <c r="AR1958" s="88"/>
      <c r="AS1958" s="87"/>
      <c r="AT1958" s="87"/>
    </row>
    <row r="1959" spans="15:46" x14ac:dyDescent="0.25">
      <c r="O1959" s="49" t="e">
        <f t="shared" si="94"/>
        <v>#N/A</v>
      </c>
      <c r="AE1959" s="42"/>
      <c r="AF1959" s="42"/>
      <c r="AG1959" s="42"/>
      <c r="AH1959" s="42"/>
      <c r="AI1959" s="42"/>
      <c r="AJ1959" s="42"/>
      <c r="AK1959" s="42"/>
      <c r="AO1959" s="86"/>
      <c r="AP1959" s="87"/>
      <c r="AQ1959" s="87"/>
      <c r="AR1959" s="88"/>
      <c r="AS1959" s="87"/>
      <c r="AT1959" s="87"/>
    </row>
    <row r="1960" spans="15:46" x14ac:dyDescent="0.25">
      <c r="O1960" s="49" t="e">
        <f t="shared" si="94"/>
        <v>#N/A</v>
      </c>
      <c r="AE1960" s="42"/>
      <c r="AF1960" s="42"/>
      <c r="AG1960" s="42"/>
      <c r="AH1960" s="42"/>
      <c r="AI1960" s="42"/>
      <c r="AJ1960" s="42"/>
      <c r="AK1960" s="42"/>
      <c r="AO1960" s="86"/>
      <c r="AP1960" s="87"/>
      <c r="AQ1960" s="87"/>
      <c r="AR1960" s="88"/>
      <c r="AS1960" s="87"/>
      <c r="AT1960" s="87"/>
    </row>
    <row r="1961" spans="15:46" x14ac:dyDescent="0.25">
      <c r="O1961" s="49" t="e">
        <f t="shared" si="94"/>
        <v>#N/A</v>
      </c>
      <c r="AE1961" s="42"/>
      <c r="AF1961" s="42"/>
      <c r="AG1961" s="42"/>
      <c r="AH1961" s="42"/>
      <c r="AI1961" s="42"/>
      <c r="AJ1961" s="42"/>
      <c r="AK1961" s="42"/>
      <c r="AO1961" s="86"/>
      <c r="AP1961" s="87"/>
      <c r="AQ1961" s="87"/>
      <c r="AR1961" s="88"/>
      <c r="AS1961" s="87"/>
      <c r="AT1961" s="87"/>
    </row>
    <row r="1962" spans="15:46" x14ac:dyDescent="0.25">
      <c r="O1962" s="49" t="e">
        <f t="shared" si="94"/>
        <v>#N/A</v>
      </c>
      <c r="AE1962" s="42"/>
      <c r="AF1962" s="42"/>
      <c r="AG1962" s="42"/>
      <c r="AH1962" s="42"/>
      <c r="AI1962" s="42"/>
      <c r="AJ1962" s="42"/>
      <c r="AK1962" s="42"/>
      <c r="AO1962" s="86"/>
      <c r="AP1962" s="87"/>
      <c r="AQ1962" s="87"/>
      <c r="AR1962" s="88"/>
      <c r="AS1962" s="87"/>
      <c r="AT1962" s="87"/>
    </row>
    <row r="1963" spans="15:46" x14ac:dyDescent="0.25">
      <c r="O1963" s="49" t="e">
        <f t="shared" si="94"/>
        <v>#N/A</v>
      </c>
      <c r="AE1963" s="42"/>
      <c r="AF1963" s="42"/>
      <c r="AG1963" s="42"/>
      <c r="AH1963" s="42"/>
      <c r="AI1963" s="42"/>
      <c r="AJ1963" s="42"/>
      <c r="AK1963" s="42"/>
      <c r="AO1963" s="86"/>
      <c r="AP1963" s="87"/>
      <c r="AQ1963" s="87"/>
      <c r="AR1963" s="88"/>
      <c r="AS1963" s="87"/>
      <c r="AT1963" s="87"/>
    </row>
    <row r="1964" spans="15:46" x14ac:dyDescent="0.25">
      <c r="O1964" s="49" t="e">
        <f t="shared" si="94"/>
        <v>#N/A</v>
      </c>
      <c r="AE1964" s="42"/>
      <c r="AF1964" s="42"/>
      <c r="AG1964" s="42"/>
      <c r="AH1964" s="42"/>
      <c r="AI1964" s="42"/>
      <c r="AJ1964" s="42"/>
      <c r="AK1964" s="42"/>
      <c r="AO1964" s="86"/>
      <c r="AP1964" s="87"/>
      <c r="AQ1964" s="87"/>
      <c r="AR1964" s="88"/>
      <c r="AS1964" s="87"/>
      <c r="AT1964" s="87"/>
    </row>
    <row r="1965" spans="15:46" x14ac:dyDescent="0.25">
      <c r="O1965" s="49" t="e">
        <f t="shared" si="94"/>
        <v>#N/A</v>
      </c>
      <c r="AE1965" s="42"/>
      <c r="AF1965" s="42"/>
      <c r="AG1965" s="42"/>
      <c r="AH1965" s="42"/>
      <c r="AI1965" s="42"/>
      <c r="AJ1965" s="42"/>
      <c r="AK1965" s="42"/>
      <c r="AO1965" s="86"/>
      <c r="AP1965" s="87"/>
      <c r="AQ1965" s="87"/>
      <c r="AR1965" s="88"/>
      <c r="AS1965" s="87"/>
      <c r="AT1965" s="87"/>
    </row>
    <row r="1966" spans="15:46" x14ac:dyDescent="0.25">
      <c r="O1966" s="49" t="e">
        <f t="shared" si="94"/>
        <v>#N/A</v>
      </c>
      <c r="AE1966" s="42"/>
      <c r="AF1966" s="42"/>
      <c r="AG1966" s="42"/>
      <c r="AH1966" s="42"/>
      <c r="AI1966" s="42"/>
      <c r="AJ1966" s="42"/>
      <c r="AK1966" s="42"/>
      <c r="AO1966" s="86"/>
      <c r="AP1966" s="87"/>
      <c r="AQ1966" s="87"/>
      <c r="AR1966" s="88"/>
      <c r="AS1966" s="87"/>
      <c r="AT1966" s="87"/>
    </row>
    <row r="1967" spans="15:46" x14ac:dyDescent="0.25">
      <c r="O1967" s="49" t="e">
        <f t="shared" si="94"/>
        <v>#N/A</v>
      </c>
      <c r="AE1967" s="42"/>
      <c r="AF1967" s="42"/>
      <c r="AG1967" s="42"/>
      <c r="AH1967" s="42"/>
      <c r="AI1967" s="42"/>
      <c r="AJ1967" s="42"/>
      <c r="AK1967" s="42"/>
      <c r="AO1967" s="86"/>
      <c r="AP1967" s="87"/>
      <c r="AQ1967" s="87"/>
      <c r="AR1967" s="88"/>
      <c r="AS1967" s="87"/>
      <c r="AT1967" s="87"/>
    </row>
    <row r="1968" spans="15:46" x14ac:dyDescent="0.25">
      <c r="O1968" s="49" t="e">
        <f t="shared" si="94"/>
        <v>#N/A</v>
      </c>
      <c r="AE1968" s="42"/>
      <c r="AF1968" s="42"/>
      <c r="AG1968" s="42"/>
      <c r="AH1968" s="42"/>
      <c r="AI1968" s="42"/>
      <c r="AJ1968" s="42"/>
      <c r="AK1968" s="42"/>
      <c r="AO1968" s="86"/>
      <c r="AP1968" s="87"/>
      <c r="AQ1968" s="87"/>
      <c r="AR1968" s="88"/>
      <c r="AS1968" s="87"/>
      <c r="AT1968" s="87"/>
    </row>
    <row r="1969" spans="15:46" x14ac:dyDescent="0.25">
      <c r="O1969" s="49" t="e">
        <f t="shared" si="94"/>
        <v>#N/A</v>
      </c>
      <c r="AE1969" s="42"/>
      <c r="AF1969" s="42"/>
      <c r="AG1969" s="42"/>
      <c r="AH1969" s="42"/>
      <c r="AI1969" s="42"/>
      <c r="AJ1969" s="42"/>
      <c r="AK1969" s="42"/>
      <c r="AO1969" s="86"/>
      <c r="AP1969" s="87"/>
      <c r="AQ1969" s="87"/>
      <c r="AR1969" s="88"/>
      <c r="AS1969" s="87"/>
      <c r="AT1969" s="87"/>
    </row>
    <row r="1970" spans="15:46" x14ac:dyDescent="0.25">
      <c r="O1970" s="49" t="e">
        <f t="shared" si="94"/>
        <v>#N/A</v>
      </c>
      <c r="AE1970" s="42"/>
      <c r="AF1970" s="42"/>
      <c r="AG1970" s="42"/>
      <c r="AH1970" s="42"/>
      <c r="AI1970" s="42"/>
      <c r="AJ1970" s="42"/>
      <c r="AK1970" s="42"/>
      <c r="AO1970" s="86"/>
      <c r="AP1970" s="87"/>
      <c r="AQ1970" s="87"/>
      <c r="AR1970" s="88"/>
      <c r="AS1970" s="87"/>
      <c r="AT1970" s="87"/>
    </row>
    <row r="1971" spans="15:46" x14ac:dyDescent="0.25">
      <c r="O1971" s="49" t="e">
        <f t="shared" si="94"/>
        <v>#N/A</v>
      </c>
      <c r="AE1971" s="42"/>
      <c r="AF1971" s="42"/>
      <c r="AG1971" s="42"/>
      <c r="AH1971" s="42"/>
      <c r="AI1971" s="42"/>
      <c r="AJ1971" s="42"/>
      <c r="AK1971" s="42"/>
      <c r="AO1971" s="86"/>
      <c r="AP1971" s="87"/>
      <c r="AQ1971" s="87"/>
      <c r="AR1971" s="88"/>
      <c r="AS1971" s="87"/>
      <c r="AT1971" s="87"/>
    </row>
    <row r="1972" spans="15:46" x14ac:dyDescent="0.25">
      <c r="O1972" s="49" t="e">
        <f t="shared" si="94"/>
        <v>#N/A</v>
      </c>
      <c r="AE1972" s="42"/>
      <c r="AF1972" s="42"/>
      <c r="AG1972" s="42"/>
      <c r="AH1972" s="42"/>
      <c r="AI1972" s="42"/>
      <c r="AJ1972" s="42"/>
      <c r="AK1972" s="42"/>
      <c r="AO1972" s="86"/>
      <c r="AP1972" s="87"/>
      <c r="AQ1972" s="87"/>
      <c r="AR1972" s="88"/>
      <c r="AS1972" s="87"/>
      <c r="AT1972" s="87"/>
    </row>
    <row r="1973" spans="15:46" x14ac:dyDescent="0.25">
      <c r="O1973" s="49" t="e">
        <f t="shared" si="94"/>
        <v>#N/A</v>
      </c>
      <c r="AE1973" s="42"/>
      <c r="AF1973" s="42"/>
      <c r="AG1973" s="42"/>
      <c r="AH1973" s="42"/>
      <c r="AI1973" s="42"/>
      <c r="AJ1973" s="42"/>
      <c r="AK1973" s="42"/>
      <c r="AO1973" s="86"/>
      <c r="AP1973" s="87"/>
      <c r="AQ1973" s="87"/>
      <c r="AR1973" s="88"/>
      <c r="AS1973" s="87"/>
      <c r="AT1973" s="87"/>
    </row>
    <row r="1974" spans="15:46" x14ac:dyDescent="0.25">
      <c r="O1974" s="49" t="e">
        <f t="shared" si="94"/>
        <v>#N/A</v>
      </c>
      <c r="AE1974" s="42"/>
      <c r="AF1974" s="42"/>
      <c r="AG1974" s="42"/>
      <c r="AH1974" s="42"/>
      <c r="AI1974" s="42"/>
      <c r="AJ1974" s="42"/>
      <c r="AK1974" s="42"/>
      <c r="AO1974" s="86"/>
      <c r="AP1974" s="87"/>
      <c r="AQ1974" s="87"/>
      <c r="AR1974" s="88"/>
      <c r="AS1974" s="87"/>
      <c r="AT1974" s="87"/>
    </row>
    <row r="1975" spans="15:46" x14ac:dyDescent="0.25">
      <c r="O1975" s="49" t="e">
        <f t="shared" si="94"/>
        <v>#N/A</v>
      </c>
      <c r="AE1975" s="42"/>
      <c r="AF1975" s="42"/>
      <c r="AG1975" s="42"/>
      <c r="AH1975" s="42"/>
      <c r="AI1975" s="42"/>
      <c r="AJ1975" s="42"/>
      <c r="AK1975" s="42"/>
      <c r="AO1975" s="86"/>
      <c r="AP1975" s="87"/>
      <c r="AQ1975" s="87"/>
      <c r="AR1975" s="88"/>
      <c r="AS1975" s="87"/>
      <c r="AT1975" s="87"/>
    </row>
    <row r="1976" spans="15:46" x14ac:dyDescent="0.25">
      <c r="O1976" s="49" t="e">
        <f t="shared" si="94"/>
        <v>#N/A</v>
      </c>
      <c r="AE1976" s="42"/>
      <c r="AF1976" s="42"/>
      <c r="AG1976" s="42"/>
      <c r="AH1976" s="42"/>
      <c r="AI1976" s="42"/>
      <c r="AJ1976" s="42"/>
      <c r="AK1976" s="42"/>
      <c r="AO1976" s="86"/>
      <c r="AP1976" s="87"/>
      <c r="AQ1976" s="87"/>
      <c r="AR1976" s="88"/>
      <c r="AS1976" s="87"/>
      <c r="AT1976" s="87"/>
    </row>
    <row r="1977" spans="15:46" x14ac:dyDescent="0.25">
      <c r="O1977" s="49" t="e">
        <f t="shared" si="94"/>
        <v>#N/A</v>
      </c>
      <c r="AE1977" s="42"/>
      <c r="AF1977" s="42"/>
      <c r="AG1977" s="42"/>
      <c r="AH1977" s="42"/>
      <c r="AI1977" s="42"/>
      <c r="AJ1977" s="42"/>
      <c r="AK1977" s="42"/>
      <c r="AO1977" s="86"/>
      <c r="AP1977" s="87"/>
      <c r="AQ1977" s="87"/>
      <c r="AR1977" s="88"/>
      <c r="AS1977" s="87"/>
      <c r="AT1977" s="87"/>
    </row>
    <row r="1978" spans="15:46" x14ac:dyDescent="0.25">
      <c r="O1978" s="49" t="e">
        <f t="shared" si="94"/>
        <v>#N/A</v>
      </c>
      <c r="AE1978" s="42"/>
      <c r="AF1978" s="42"/>
      <c r="AG1978" s="42"/>
      <c r="AH1978" s="42"/>
      <c r="AI1978" s="42"/>
      <c r="AJ1978" s="42"/>
      <c r="AK1978" s="42"/>
      <c r="AO1978" s="86"/>
      <c r="AP1978" s="87"/>
      <c r="AQ1978" s="87"/>
      <c r="AR1978" s="88"/>
      <c r="AS1978" s="87"/>
      <c r="AT1978" s="87"/>
    </row>
    <row r="1979" spans="15:46" x14ac:dyDescent="0.25">
      <c r="O1979" s="49" t="e">
        <f t="shared" si="94"/>
        <v>#N/A</v>
      </c>
      <c r="AE1979" s="42"/>
      <c r="AF1979" s="42"/>
      <c r="AG1979" s="42"/>
      <c r="AH1979" s="42"/>
      <c r="AI1979" s="42"/>
      <c r="AJ1979" s="42"/>
      <c r="AK1979" s="42"/>
      <c r="AO1979" s="86"/>
      <c r="AP1979" s="87"/>
      <c r="AQ1979" s="87"/>
      <c r="AR1979" s="88"/>
      <c r="AS1979" s="87"/>
      <c r="AT1979" s="87"/>
    </row>
    <row r="1980" spans="15:46" x14ac:dyDescent="0.25">
      <c r="O1980" s="49" t="e">
        <f t="shared" si="94"/>
        <v>#N/A</v>
      </c>
      <c r="AE1980" s="42"/>
      <c r="AF1980" s="42"/>
      <c r="AG1980" s="42"/>
      <c r="AH1980" s="42"/>
      <c r="AI1980" s="42"/>
      <c r="AJ1980" s="42"/>
      <c r="AK1980" s="42"/>
      <c r="AO1980" s="86"/>
      <c r="AP1980" s="87"/>
      <c r="AQ1980" s="87"/>
      <c r="AR1980" s="88"/>
      <c r="AS1980" s="87"/>
      <c r="AT1980" s="87"/>
    </row>
    <row r="1981" spans="15:46" x14ac:dyDescent="0.25">
      <c r="O1981" s="49" t="e">
        <f t="shared" si="94"/>
        <v>#N/A</v>
      </c>
      <c r="AE1981" s="42"/>
      <c r="AF1981" s="42"/>
      <c r="AG1981" s="42"/>
      <c r="AH1981" s="42"/>
      <c r="AI1981" s="42"/>
      <c r="AJ1981" s="42"/>
      <c r="AK1981" s="42"/>
      <c r="AO1981" s="86"/>
      <c r="AP1981" s="87"/>
      <c r="AQ1981" s="87"/>
      <c r="AR1981" s="88"/>
      <c r="AS1981" s="87"/>
      <c r="AT1981" s="87"/>
    </row>
    <row r="1982" spans="15:46" x14ac:dyDescent="0.25">
      <c r="O1982" s="49" t="e">
        <f t="shared" si="94"/>
        <v>#N/A</v>
      </c>
      <c r="AE1982" s="42"/>
      <c r="AF1982" s="42"/>
      <c r="AG1982" s="42"/>
      <c r="AH1982" s="42"/>
      <c r="AI1982" s="42"/>
      <c r="AJ1982" s="42"/>
      <c r="AK1982" s="42"/>
      <c r="AO1982" s="86"/>
      <c r="AP1982" s="87"/>
      <c r="AQ1982" s="87"/>
      <c r="AR1982" s="88"/>
      <c r="AS1982" s="87"/>
      <c r="AT1982" s="87"/>
    </row>
    <row r="1983" spans="15:46" x14ac:dyDescent="0.25">
      <c r="O1983" s="49" t="e">
        <f t="shared" si="94"/>
        <v>#N/A</v>
      </c>
      <c r="AE1983" s="42"/>
      <c r="AF1983" s="42"/>
      <c r="AG1983" s="42"/>
      <c r="AH1983" s="42"/>
      <c r="AI1983" s="42"/>
      <c r="AJ1983" s="42"/>
      <c r="AK1983" s="42"/>
      <c r="AO1983" s="86"/>
      <c r="AP1983" s="87"/>
      <c r="AQ1983" s="87"/>
      <c r="AR1983" s="88"/>
      <c r="AS1983" s="87"/>
      <c r="AT1983" s="87"/>
    </row>
    <row r="1984" spans="15:46" x14ac:dyDescent="0.25">
      <c r="O1984" s="49" t="e">
        <f t="shared" si="94"/>
        <v>#N/A</v>
      </c>
      <c r="AE1984" s="42"/>
      <c r="AF1984" s="42"/>
      <c r="AG1984" s="42"/>
      <c r="AH1984" s="42"/>
      <c r="AI1984" s="42"/>
      <c r="AJ1984" s="42"/>
      <c r="AK1984" s="42"/>
      <c r="AO1984" s="86"/>
      <c r="AP1984" s="87"/>
      <c r="AQ1984" s="87"/>
      <c r="AR1984" s="88"/>
      <c r="AS1984" s="87"/>
      <c r="AT1984" s="87"/>
    </row>
    <row r="1985" spans="15:46" x14ac:dyDescent="0.25">
      <c r="O1985" s="49" t="e">
        <f t="shared" si="94"/>
        <v>#N/A</v>
      </c>
      <c r="AE1985" s="42"/>
      <c r="AF1985" s="42"/>
      <c r="AG1985" s="42"/>
      <c r="AH1985" s="42"/>
      <c r="AI1985" s="42"/>
      <c r="AJ1985" s="42"/>
      <c r="AK1985" s="42"/>
      <c r="AO1985" s="86"/>
      <c r="AP1985" s="87"/>
      <c r="AQ1985" s="87"/>
      <c r="AR1985" s="88"/>
      <c r="AS1985" s="87"/>
      <c r="AT1985" s="87"/>
    </row>
    <row r="1986" spans="15:46" x14ac:dyDescent="0.25">
      <c r="O1986" s="49" t="e">
        <f t="shared" si="94"/>
        <v>#N/A</v>
      </c>
      <c r="AE1986" s="42"/>
      <c r="AF1986" s="42"/>
      <c r="AG1986" s="42"/>
      <c r="AH1986" s="42"/>
      <c r="AI1986" s="42"/>
      <c r="AJ1986" s="42"/>
      <c r="AK1986" s="42"/>
      <c r="AO1986" s="86"/>
      <c r="AP1986" s="87"/>
      <c r="AQ1986" s="87"/>
      <c r="AR1986" s="88"/>
      <c r="AS1986" s="87"/>
      <c r="AT1986" s="87"/>
    </row>
    <row r="1987" spans="15:46" x14ac:dyDescent="0.25">
      <c r="O1987" s="49" t="e">
        <f t="shared" si="94"/>
        <v>#N/A</v>
      </c>
      <c r="AE1987" s="42"/>
      <c r="AF1987" s="42"/>
      <c r="AG1987" s="42"/>
      <c r="AH1987" s="42"/>
      <c r="AI1987" s="42"/>
      <c r="AJ1987" s="42"/>
      <c r="AK1987" s="42"/>
      <c r="AO1987" s="86"/>
      <c r="AP1987" s="87"/>
      <c r="AQ1987" s="87"/>
      <c r="AR1987" s="88"/>
      <c r="AS1987" s="87"/>
      <c r="AT1987" s="87"/>
    </row>
    <row r="1988" spans="15:46" x14ac:dyDescent="0.25">
      <c r="O1988" s="49" t="e">
        <f t="shared" si="94"/>
        <v>#N/A</v>
      </c>
      <c r="AE1988" s="42"/>
      <c r="AF1988" s="42"/>
      <c r="AG1988" s="42"/>
      <c r="AH1988" s="42"/>
      <c r="AI1988" s="42"/>
      <c r="AJ1988" s="42"/>
      <c r="AK1988" s="42"/>
      <c r="AO1988" s="86"/>
      <c r="AP1988" s="87"/>
      <c r="AQ1988" s="87"/>
      <c r="AR1988" s="88"/>
      <c r="AS1988" s="87"/>
      <c r="AT1988" s="87"/>
    </row>
    <row r="1989" spans="15:46" x14ac:dyDescent="0.25">
      <c r="O1989" s="49" t="e">
        <f t="shared" si="94"/>
        <v>#N/A</v>
      </c>
      <c r="AE1989" s="42"/>
      <c r="AF1989" s="42"/>
      <c r="AG1989" s="42"/>
      <c r="AH1989" s="42"/>
      <c r="AI1989" s="42"/>
      <c r="AJ1989" s="42"/>
      <c r="AK1989" s="42"/>
      <c r="AO1989" s="86"/>
      <c r="AP1989" s="87"/>
      <c r="AQ1989" s="87"/>
      <c r="AR1989" s="88"/>
      <c r="AS1989" s="87"/>
      <c r="AT1989" s="87"/>
    </row>
    <row r="1990" spans="15:46" x14ac:dyDescent="0.25">
      <c r="O1990" s="49" t="e">
        <f t="shared" si="94"/>
        <v>#N/A</v>
      </c>
      <c r="AE1990" s="42"/>
      <c r="AF1990" s="42"/>
      <c r="AG1990" s="42"/>
      <c r="AH1990" s="42"/>
      <c r="AI1990" s="42"/>
      <c r="AJ1990" s="42"/>
      <c r="AK1990" s="42"/>
      <c r="AO1990" s="86"/>
      <c r="AP1990" s="87"/>
      <c r="AQ1990" s="87"/>
      <c r="AR1990" s="88"/>
      <c r="AS1990" s="87"/>
      <c r="AT1990" s="87"/>
    </row>
    <row r="1991" spans="15:46" x14ac:dyDescent="0.25">
      <c r="O1991" s="49" t="e">
        <f t="shared" si="94"/>
        <v>#N/A</v>
      </c>
      <c r="AE1991" s="42"/>
      <c r="AF1991" s="42"/>
      <c r="AG1991" s="42"/>
      <c r="AH1991" s="42"/>
      <c r="AI1991" s="42"/>
      <c r="AJ1991" s="42"/>
      <c r="AK1991" s="42"/>
      <c r="AO1991" s="86"/>
      <c r="AP1991" s="87"/>
      <c r="AQ1991" s="87"/>
      <c r="AR1991" s="88"/>
      <c r="AS1991" s="87"/>
      <c r="AT1991" s="87"/>
    </row>
    <row r="1992" spans="15:46" x14ac:dyDescent="0.25">
      <c r="O1992" s="49" t="e">
        <f t="shared" si="94"/>
        <v>#N/A</v>
      </c>
      <c r="AE1992" s="42"/>
      <c r="AF1992" s="42"/>
      <c r="AG1992" s="42"/>
      <c r="AH1992" s="42"/>
      <c r="AI1992" s="42"/>
      <c r="AJ1992" s="42"/>
      <c r="AK1992" s="42"/>
      <c r="AO1992" s="86"/>
      <c r="AP1992" s="87"/>
      <c r="AQ1992" s="87"/>
      <c r="AR1992" s="88"/>
      <c r="AS1992" s="87"/>
      <c r="AT1992" s="87"/>
    </row>
    <row r="1993" spans="15:46" x14ac:dyDescent="0.25">
      <c r="O1993" s="49" t="e">
        <f t="shared" si="94"/>
        <v>#N/A</v>
      </c>
      <c r="AE1993" s="42"/>
      <c r="AF1993" s="42"/>
      <c r="AG1993" s="42"/>
      <c r="AH1993" s="42"/>
      <c r="AI1993" s="42"/>
      <c r="AJ1993" s="42"/>
      <c r="AK1993" s="42"/>
      <c r="AO1993" s="86"/>
      <c r="AP1993" s="87"/>
      <c r="AQ1993" s="87"/>
      <c r="AR1993" s="88"/>
      <c r="AS1993" s="87"/>
      <c r="AT1993" s="87"/>
    </row>
    <row r="1994" spans="15:46" x14ac:dyDescent="0.25">
      <c r="O1994" s="49" t="e">
        <f t="shared" si="94"/>
        <v>#N/A</v>
      </c>
      <c r="AE1994" s="42"/>
      <c r="AF1994" s="42"/>
      <c r="AG1994" s="42"/>
      <c r="AH1994" s="42"/>
      <c r="AI1994" s="42"/>
      <c r="AJ1994" s="42"/>
      <c r="AK1994" s="42"/>
      <c r="AO1994" s="86"/>
      <c r="AP1994" s="87"/>
      <c r="AQ1994" s="87"/>
      <c r="AR1994" s="88"/>
      <c r="AS1994" s="87"/>
      <c r="AT1994" s="87"/>
    </row>
    <row r="1995" spans="15:46" x14ac:dyDescent="0.25">
      <c r="O1995" s="49" t="e">
        <f t="shared" si="94"/>
        <v>#N/A</v>
      </c>
      <c r="AE1995" s="42"/>
      <c r="AF1995" s="42"/>
      <c r="AG1995" s="42"/>
      <c r="AH1995" s="42"/>
      <c r="AI1995" s="42"/>
      <c r="AJ1995" s="42"/>
      <c r="AK1995" s="42"/>
      <c r="AO1995" s="86"/>
      <c r="AP1995" s="87"/>
      <c r="AQ1995" s="87"/>
      <c r="AR1995" s="88"/>
      <c r="AS1995" s="87"/>
      <c r="AT1995" s="87"/>
    </row>
    <row r="1996" spans="15:46" x14ac:dyDescent="0.25">
      <c r="O1996" s="49" t="e">
        <f t="shared" si="94"/>
        <v>#N/A</v>
      </c>
      <c r="AE1996" s="42"/>
      <c r="AF1996" s="42"/>
      <c r="AG1996" s="42"/>
      <c r="AH1996" s="42"/>
      <c r="AI1996" s="42"/>
      <c r="AJ1996" s="42"/>
      <c r="AK1996" s="42"/>
      <c r="AO1996" s="86"/>
      <c r="AP1996" s="87"/>
      <c r="AQ1996" s="87"/>
      <c r="AR1996" s="88"/>
      <c r="AS1996" s="87"/>
      <c r="AT1996" s="87"/>
    </row>
    <row r="1997" spans="15:46" x14ac:dyDescent="0.25">
      <c r="O1997" s="49" t="e">
        <f t="shared" si="94"/>
        <v>#N/A</v>
      </c>
      <c r="AE1997" s="42"/>
      <c r="AF1997" s="42"/>
      <c r="AG1997" s="42"/>
      <c r="AH1997" s="42"/>
      <c r="AI1997" s="42"/>
      <c r="AJ1997" s="42"/>
      <c r="AK1997" s="42"/>
      <c r="AO1997" s="86"/>
      <c r="AP1997" s="87"/>
      <c r="AQ1997" s="87"/>
      <c r="AR1997" s="88"/>
      <c r="AS1997" s="87"/>
      <c r="AT1997" s="87"/>
    </row>
    <row r="1998" spans="15:46" x14ac:dyDescent="0.25">
      <c r="O1998" s="49" t="e">
        <f t="shared" si="94"/>
        <v>#N/A</v>
      </c>
      <c r="AE1998" s="42"/>
      <c r="AF1998" s="42"/>
      <c r="AG1998" s="42"/>
      <c r="AH1998" s="42"/>
      <c r="AI1998" s="42"/>
      <c r="AJ1998" s="42"/>
      <c r="AK1998" s="42"/>
      <c r="AO1998" s="86"/>
      <c r="AP1998" s="87"/>
      <c r="AQ1998" s="87"/>
      <c r="AR1998" s="88"/>
      <c r="AS1998" s="87"/>
      <c r="AT1998" s="87"/>
    </row>
    <row r="1999" spans="15:46" x14ac:dyDescent="0.25">
      <c r="O1999" s="49" t="e">
        <f t="shared" si="94"/>
        <v>#N/A</v>
      </c>
      <c r="AE1999" s="42"/>
      <c r="AF1999" s="42"/>
      <c r="AG1999" s="42"/>
      <c r="AH1999" s="42"/>
      <c r="AI1999" s="42"/>
      <c r="AJ1999" s="42"/>
      <c r="AK1999" s="42"/>
      <c r="AO1999" s="86"/>
      <c r="AP1999" s="87"/>
      <c r="AQ1999" s="87"/>
      <c r="AR1999" s="88"/>
      <c r="AS1999" s="87"/>
      <c r="AT1999" s="87"/>
    </row>
    <row r="2000" spans="15:46" x14ac:dyDescent="0.25">
      <c r="O2000" s="49" t="e">
        <f t="shared" si="94"/>
        <v>#N/A</v>
      </c>
      <c r="AE2000" s="42"/>
      <c r="AF2000" s="42"/>
      <c r="AG2000" s="42"/>
      <c r="AH2000" s="42"/>
      <c r="AI2000" s="42"/>
      <c r="AJ2000" s="42"/>
      <c r="AK2000" s="42"/>
      <c r="AO2000" s="86"/>
      <c r="AP2000" s="87"/>
      <c r="AQ2000" s="87"/>
      <c r="AR2000" s="88"/>
      <c r="AS2000" s="87"/>
      <c r="AT2000" s="87"/>
    </row>
    <row r="2001" spans="32:32" x14ac:dyDescent="0.25">
      <c r="AF2001" s="22"/>
    </row>
    <row r="2002" spans="32:32" x14ac:dyDescent="0.25">
      <c r="AF2002" s="22"/>
    </row>
    <row r="2003" spans="32:32" x14ac:dyDescent="0.25">
      <c r="AF2003" s="22"/>
    </row>
    <row r="2004" spans="32:32" x14ac:dyDescent="0.25">
      <c r="AF2004" s="22"/>
    </row>
    <row r="2005" spans="32:32" x14ac:dyDescent="0.25">
      <c r="AF2005" s="22"/>
    </row>
    <row r="2006" spans="32:32" x14ac:dyDescent="0.25">
      <c r="AF2006" s="22"/>
    </row>
    <row r="2007" spans="32:32" x14ac:dyDescent="0.25">
      <c r="AF2007" s="22"/>
    </row>
    <row r="2008" spans="32:32" x14ac:dyDescent="0.25">
      <c r="AF2008" s="22"/>
    </row>
    <row r="2009" spans="32:32" x14ac:dyDescent="0.25">
      <c r="AF2009" s="22"/>
    </row>
    <row r="2010" spans="32:32" x14ac:dyDescent="0.25">
      <c r="AF2010" s="22"/>
    </row>
    <row r="2011" spans="32:32" x14ac:dyDescent="0.25">
      <c r="AF2011" s="22"/>
    </row>
    <row r="2012" spans="32:32" x14ac:dyDescent="0.25">
      <c r="AF2012" s="22"/>
    </row>
    <row r="2013" spans="32:32" x14ac:dyDescent="0.25">
      <c r="AF2013" s="22"/>
    </row>
    <row r="2014" spans="32:32" x14ac:dyDescent="0.25">
      <c r="AF2014" s="22"/>
    </row>
    <row r="2015" spans="32:32" x14ac:dyDescent="0.25">
      <c r="AF2015" s="22"/>
    </row>
    <row r="2016" spans="32:32" x14ac:dyDescent="0.25">
      <c r="AF2016" s="22"/>
    </row>
    <row r="2017" spans="32:32" x14ac:dyDescent="0.25">
      <c r="AF2017" s="22"/>
    </row>
    <row r="2018" spans="32:32" x14ac:dyDescent="0.25">
      <c r="AF2018" s="22"/>
    </row>
    <row r="2019" spans="32:32" x14ac:dyDescent="0.25">
      <c r="AF2019" s="22"/>
    </row>
    <row r="2020" spans="32:32" x14ac:dyDescent="0.25">
      <c r="AF2020" s="22"/>
    </row>
    <row r="2021" spans="32:32" x14ac:dyDescent="0.25">
      <c r="AF2021" s="22"/>
    </row>
    <row r="2022" spans="32:32" x14ac:dyDescent="0.25">
      <c r="AF2022" s="22"/>
    </row>
    <row r="2023" spans="32:32" x14ac:dyDescent="0.25">
      <c r="AF2023" s="22"/>
    </row>
    <row r="2024" spans="32:32" x14ac:dyDescent="0.25">
      <c r="AF2024" s="22"/>
    </row>
    <row r="2025" spans="32:32" x14ac:dyDescent="0.25">
      <c r="AF2025" s="22"/>
    </row>
    <row r="2026" spans="32:32" x14ac:dyDescent="0.25">
      <c r="AF2026" s="22"/>
    </row>
    <row r="2027" spans="32:32" x14ac:dyDescent="0.25">
      <c r="AF2027" s="22"/>
    </row>
    <row r="2028" spans="32:32" x14ac:dyDescent="0.25">
      <c r="AF2028" s="22"/>
    </row>
    <row r="2029" spans="32:32" x14ac:dyDescent="0.25">
      <c r="AF2029" s="22"/>
    </row>
    <row r="2030" spans="32:32" x14ac:dyDescent="0.25">
      <c r="AF2030" s="22"/>
    </row>
    <row r="2031" spans="32:32" x14ac:dyDescent="0.25">
      <c r="AF2031" s="22"/>
    </row>
    <row r="2032" spans="32:32" x14ac:dyDescent="0.25">
      <c r="AF2032" s="22"/>
    </row>
    <row r="2033" spans="32:32" x14ac:dyDescent="0.25">
      <c r="AF2033" s="22"/>
    </row>
    <row r="2034" spans="32:32" x14ac:dyDescent="0.25">
      <c r="AF2034" s="22"/>
    </row>
    <row r="2035" spans="32:32" x14ac:dyDescent="0.25">
      <c r="AF2035" s="22"/>
    </row>
    <row r="2036" spans="32:32" x14ac:dyDescent="0.25">
      <c r="AF2036" s="22"/>
    </row>
    <row r="2037" spans="32:32" x14ac:dyDescent="0.25">
      <c r="AF2037" s="22"/>
    </row>
    <row r="2038" spans="32:32" x14ac:dyDescent="0.25">
      <c r="AF2038" s="22"/>
    </row>
    <row r="2039" spans="32:32" x14ac:dyDescent="0.25">
      <c r="AF2039" s="22"/>
    </row>
    <row r="2040" spans="32:32" x14ac:dyDescent="0.25">
      <c r="AF2040" s="22"/>
    </row>
    <row r="2041" spans="32:32" x14ac:dyDescent="0.25">
      <c r="AF2041" s="22"/>
    </row>
    <row r="2042" spans="32:32" x14ac:dyDescent="0.25">
      <c r="AF2042" s="22"/>
    </row>
    <row r="2043" spans="32:32" x14ac:dyDescent="0.25">
      <c r="AF2043" s="22"/>
    </row>
    <row r="2044" spans="32:32" x14ac:dyDescent="0.25">
      <c r="AF2044" s="22"/>
    </row>
    <row r="2045" spans="32:32" x14ac:dyDescent="0.25">
      <c r="AF2045" s="22"/>
    </row>
    <row r="2046" spans="32:32" x14ac:dyDescent="0.25">
      <c r="AF2046" s="22"/>
    </row>
    <row r="2047" spans="32:32" x14ac:dyDescent="0.25">
      <c r="AF2047" s="22"/>
    </row>
    <row r="2048" spans="32:32" x14ac:dyDescent="0.25">
      <c r="AF2048" s="22"/>
    </row>
    <row r="2049" spans="32:32" x14ac:dyDescent="0.25">
      <c r="AF2049" s="22"/>
    </row>
    <row r="2050" spans="32:32" x14ac:dyDescent="0.25">
      <c r="AF2050" s="22"/>
    </row>
    <row r="2051" spans="32:32" x14ac:dyDescent="0.25">
      <c r="AF2051" s="22"/>
    </row>
    <row r="2052" spans="32:32" x14ac:dyDescent="0.25">
      <c r="AF2052" s="22"/>
    </row>
    <row r="2053" spans="32:32" x14ac:dyDescent="0.25">
      <c r="AF2053" s="22"/>
    </row>
    <row r="2054" spans="32:32" x14ac:dyDescent="0.25">
      <c r="AF2054" s="22"/>
    </row>
    <row r="2055" spans="32:32" x14ac:dyDescent="0.25">
      <c r="AF2055" s="22"/>
    </row>
    <row r="2056" spans="32:32" x14ac:dyDescent="0.25">
      <c r="AF2056" s="22"/>
    </row>
    <row r="2057" spans="32:32" x14ac:dyDescent="0.25">
      <c r="AF2057" s="22"/>
    </row>
    <row r="2058" spans="32:32" x14ac:dyDescent="0.25">
      <c r="AF2058" s="22"/>
    </row>
    <row r="2059" spans="32:32" x14ac:dyDescent="0.25">
      <c r="AF2059" s="22"/>
    </row>
    <row r="2060" spans="32:32" x14ac:dyDescent="0.25">
      <c r="AF2060" s="22"/>
    </row>
    <row r="2061" spans="32:32" x14ac:dyDescent="0.25">
      <c r="AF2061" s="22"/>
    </row>
    <row r="2062" spans="32:32" x14ac:dyDescent="0.25">
      <c r="AF2062" s="22"/>
    </row>
    <row r="2063" spans="32:32" x14ac:dyDescent="0.25">
      <c r="AF2063" s="22"/>
    </row>
    <row r="2064" spans="32:32" x14ac:dyDescent="0.25">
      <c r="AF2064" s="22"/>
    </row>
    <row r="2065" spans="32:32" x14ac:dyDescent="0.25">
      <c r="AF2065" s="22"/>
    </row>
    <row r="2066" spans="32:32" x14ac:dyDescent="0.25">
      <c r="AF2066" s="22"/>
    </row>
    <row r="2067" spans="32:32" x14ac:dyDescent="0.25">
      <c r="AF2067" s="22"/>
    </row>
    <row r="2068" spans="32:32" x14ac:dyDescent="0.25">
      <c r="AF2068" s="22"/>
    </row>
    <row r="2069" spans="32:32" x14ac:dyDescent="0.25">
      <c r="AF2069" s="22"/>
    </row>
    <row r="2070" spans="32:32" x14ac:dyDescent="0.25">
      <c r="AF2070" s="22"/>
    </row>
    <row r="2071" spans="32:32" x14ac:dyDescent="0.25">
      <c r="AF2071" s="22"/>
    </row>
    <row r="2072" spans="32:32" x14ac:dyDescent="0.25">
      <c r="AF2072" s="22"/>
    </row>
    <row r="2073" spans="32:32" x14ac:dyDescent="0.25">
      <c r="AF2073" s="22"/>
    </row>
    <row r="2074" spans="32:32" x14ac:dyDescent="0.25">
      <c r="AF2074" s="22"/>
    </row>
    <row r="2075" spans="32:32" x14ac:dyDescent="0.25">
      <c r="AF2075" s="22"/>
    </row>
    <row r="2076" spans="32:32" x14ac:dyDescent="0.25">
      <c r="AF2076" s="22"/>
    </row>
    <row r="2077" spans="32:32" x14ac:dyDescent="0.25">
      <c r="AF2077" s="22"/>
    </row>
    <row r="2078" spans="32:32" x14ac:dyDescent="0.25">
      <c r="AF2078" s="22"/>
    </row>
    <row r="2079" spans="32:32" x14ac:dyDescent="0.25">
      <c r="AF2079" s="22"/>
    </row>
    <row r="2080" spans="32:32" x14ac:dyDescent="0.25">
      <c r="AF2080" s="22"/>
    </row>
    <row r="2081" spans="32:32" x14ac:dyDescent="0.25">
      <c r="AF2081" s="22"/>
    </row>
    <row r="2082" spans="32:32" x14ac:dyDescent="0.25">
      <c r="AF2082" s="22"/>
    </row>
    <row r="2083" spans="32:32" x14ac:dyDescent="0.25">
      <c r="AF2083" s="22"/>
    </row>
    <row r="2084" spans="32:32" x14ac:dyDescent="0.25">
      <c r="AF2084" s="22"/>
    </row>
    <row r="2085" spans="32:32" x14ac:dyDescent="0.25">
      <c r="AF2085" s="22"/>
    </row>
    <row r="2086" spans="32:32" x14ac:dyDescent="0.25">
      <c r="AF2086" s="22"/>
    </row>
    <row r="2087" spans="32:32" x14ac:dyDescent="0.25">
      <c r="AF2087" s="22"/>
    </row>
    <row r="2088" spans="32:32" x14ac:dyDescent="0.25">
      <c r="AF2088" s="22"/>
    </row>
    <row r="2089" spans="32:32" x14ac:dyDescent="0.25">
      <c r="AF2089" s="22"/>
    </row>
    <row r="2090" spans="32:32" x14ac:dyDescent="0.25">
      <c r="AF2090" s="22"/>
    </row>
    <row r="2091" spans="32:32" x14ac:dyDescent="0.25">
      <c r="AF2091" s="22"/>
    </row>
    <row r="2092" spans="32:32" x14ac:dyDescent="0.25">
      <c r="AF2092" s="22"/>
    </row>
    <row r="2093" spans="32:32" x14ac:dyDescent="0.25">
      <c r="AF2093" s="22"/>
    </row>
    <row r="2094" spans="32:32" x14ac:dyDescent="0.25">
      <c r="AF2094" s="22"/>
    </row>
    <row r="2095" spans="32:32" x14ac:dyDescent="0.25">
      <c r="AF2095" s="22"/>
    </row>
    <row r="2096" spans="32:32" x14ac:dyDescent="0.25">
      <c r="AF2096" s="22"/>
    </row>
    <row r="2097" spans="32:32" x14ac:dyDescent="0.25">
      <c r="AF2097" s="22"/>
    </row>
    <row r="2098" spans="32:32" x14ac:dyDescent="0.25">
      <c r="AF2098" s="22"/>
    </row>
    <row r="2099" spans="32:32" x14ac:dyDescent="0.25">
      <c r="AF2099" s="22"/>
    </row>
    <row r="2100" spans="32:32" x14ac:dyDescent="0.25">
      <c r="AF2100" s="22"/>
    </row>
    <row r="2101" spans="32:32" x14ac:dyDescent="0.25">
      <c r="AF2101" s="22"/>
    </row>
    <row r="2102" spans="32:32" x14ac:dyDescent="0.25">
      <c r="AF2102" s="22"/>
    </row>
    <row r="2103" spans="32:32" x14ac:dyDescent="0.25">
      <c r="AF2103" s="22"/>
    </row>
    <row r="2104" spans="32:32" x14ac:dyDescent="0.25">
      <c r="AF2104" s="22"/>
    </row>
    <row r="2105" spans="32:32" x14ac:dyDescent="0.25">
      <c r="AF2105" s="22"/>
    </row>
    <row r="2106" spans="32:32" x14ac:dyDescent="0.25">
      <c r="AF2106" s="22"/>
    </row>
    <row r="2107" spans="32:32" x14ac:dyDescent="0.25">
      <c r="AF2107" s="22"/>
    </row>
    <row r="2108" spans="32:32" x14ac:dyDescent="0.25">
      <c r="AF2108" s="22"/>
    </row>
    <row r="2109" spans="32:32" x14ac:dyDescent="0.25">
      <c r="AF2109" s="22"/>
    </row>
    <row r="2110" spans="32:32" x14ac:dyDescent="0.25">
      <c r="AF2110" s="22"/>
    </row>
    <row r="2111" spans="32:32" x14ac:dyDescent="0.25">
      <c r="AF2111" s="22"/>
    </row>
    <row r="2112" spans="32:32" x14ac:dyDescent="0.25">
      <c r="AF2112" s="22"/>
    </row>
    <row r="2113" spans="32:32" x14ac:dyDescent="0.25">
      <c r="AF2113" s="22"/>
    </row>
    <row r="2114" spans="32:32" x14ac:dyDescent="0.25">
      <c r="AF2114" s="22"/>
    </row>
    <row r="2115" spans="32:32" x14ac:dyDescent="0.25">
      <c r="AF2115" s="22"/>
    </row>
    <row r="2116" spans="32:32" x14ac:dyDescent="0.25">
      <c r="AF2116" s="22"/>
    </row>
    <row r="2117" spans="32:32" x14ac:dyDescent="0.25">
      <c r="AF2117" s="22"/>
    </row>
    <row r="2118" spans="32:32" x14ac:dyDescent="0.25">
      <c r="AF2118" s="22"/>
    </row>
    <row r="2119" spans="32:32" x14ac:dyDescent="0.25">
      <c r="AF2119" s="22"/>
    </row>
    <row r="2120" spans="32:32" x14ac:dyDescent="0.25">
      <c r="AF2120" s="22"/>
    </row>
    <row r="2121" spans="32:32" x14ac:dyDescent="0.25">
      <c r="AF2121" s="22"/>
    </row>
    <row r="2122" spans="32:32" x14ac:dyDescent="0.25">
      <c r="AF2122" s="22"/>
    </row>
    <row r="2123" spans="32:32" x14ac:dyDescent="0.25">
      <c r="AF2123" s="22"/>
    </row>
    <row r="2124" spans="32:32" x14ac:dyDescent="0.25">
      <c r="AF2124" s="22"/>
    </row>
    <row r="2125" spans="32:32" x14ac:dyDescent="0.25">
      <c r="AF2125" s="22"/>
    </row>
    <row r="2126" spans="32:32" x14ac:dyDescent="0.25">
      <c r="AF2126" s="22"/>
    </row>
    <row r="2127" spans="32:32" x14ac:dyDescent="0.25">
      <c r="AF2127" s="22"/>
    </row>
    <row r="2128" spans="32:32" x14ac:dyDescent="0.25">
      <c r="AF2128" s="22"/>
    </row>
    <row r="2129" spans="32:32" x14ac:dyDescent="0.25">
      <c r="AF2129" s="22"/>
    </row>
    <row r="2130" spans="32:32" x14ac:dyDescent="0.25">
      <c r="AF2130" s="22"/>
    </row>
    <row r="2131" spans="32:32" x14ac:dyDescent="0.25">
      <c r="AF2131" s="22"/>
    </row>
    <row r="2132" spans="32:32" x14ac:dyDescent="0.25">
      <c r="AF2132" s="22"/>
    </row>
    <row r="2133" spans="32:32" x14ac:dyDescent="0.25">
      <c r="AF2133" s="22"/>
    </row>
    <row r="2134" spans="32:32" x14ac:dyDescent="0.25">
      <c r="AF2134" s="22"/>
    </row>
    <row r="2135" spans="32:32" x14ac:dyDescent="0.25">
      <c r="AF2135" s="22"/>
    </row>
    <row r="2136" spans="32:32" x14ac:dyDescent="0.25">
      <c r="AF2136" s="22"/>
    </row>
    <row r="2137" spans="32:32" x14ac:dyDescent="0.25">
      <c r="AF2137" s="22"/>
    </row>
    <row r="2138" spans="32:32" x14ac:dyDescent="0.25">
      <c r="AF2138" s="22"/>
    </row>
    <row r="2139" spans="32:32" x14ac:dyDescent="0.25">
      <c r="AF2139" s="22"/>
    </row>
    <row r="2140" spans="32:32" x14ac:dyDescent="0.25">
      <c r="AF2140" s="22"/>
    </row>
    <row r="2141" spans="32:32" x14ac:dyDescent="0.25">
      <c r="AF2141" s="22"/>
    </row>
    <row r="2142" spans="32:32" x14ac:dyDescent="0.25">
      <c r="AF2142" s="22"/>
    </row>
    <row r="2143" spans="32:32" x14ac:dyDescent="0.25">
      <c r="AF2143" s="22"/>
    </row>
    <row r="2144" spans="32:32" x14ac:dyDescent="0.25">
      <c r="AF2144" s="22"/>
    </row>
    <row r="2145" spans="32:32" x14ac:dyDescent="0.25">
      <c r="AF2145" s="22"/>
    </row>
    <row r="2146" spans="32:32" x14ac:dyDescent="0.25">
      <c r="AF2146" s="22"/>
    </row>
    <row r="2147" spans="32:32" x14ac:dyDescent="0.25">
      <c r="AF2147" s="22"/>
    </row>
    <row r="2148" spans="32:32" x14ac:dyDescent="0.25">
      <c r="AF2148" s="22"/>
    </row>
    <row r="2149" spans="32:32" x14ac:dyDescent="0.25">
      <c r="AF2149" s="22"/>
    </row>
    <row r="2150" spans="32:32" x14ac:dyDescent="0.25">
      <c r="AF2150" s="22"/>
    </row>
    <row r="2151" spans="32:32" x14ac:dyDescent="0.25">
      <c r="AF2151" s="22"/>
    </row>
    <row r="2152" spans="32:32" x14ac:dyDescent="0.25">
      <c r="AF2152" s="22"/>
    </row>
    <row r="2153" spans="32:32" x14ac:dyDescent="0.25">
      <c r="AF2153" s="22"/>
    </row>
    <row r="2154" spans="32:32" x14ac:dyDescent="0.25">
      <c r="AF2154" s="22"/>
    </row>
    <row r="2155" spans="32:32" x14ac:dyDescent="0.25">
      <c r="AF2155" s="22"/>
    </row>
    <row r="2156" spans="32:32" x14ac:dyDescent="0.25">
      <c r="AF2156" s="22"/>
    </row>
    <row r="2157" spans="32:32" x14ac:dyDescent="0.25">
      <c r="AF2157" s="22"/>
    </row>
    <row r="2158" spans="32:32" x14ac:dyDescent="0.25">
      <c r="AF2158" s="22"/>
    </row>
    <row r="2159" spans="32:32" x14ac:dyDescent="0.25">
      <c r="AF2159" s="22"/>
    </row>
    <row r="2160" spans="32:32" x14ac:dyDescent="0.25">
      <c r="AF2160" s="22"/>
    </row>
    <row r="2161" spans="32:32" x14ac:dyDescent="0.25">
      <c r="AF2161" s="22"/>
    </row>
    <row r="2162" spans="32:32" x14ac:dyDescent="0.25">
      <c r="AF2162" s="22"/>
    </row>
    <row r="2163" spans="32:32" x14ac:dyDescent="0.25">
      <c r="AF2163" s="22"/>
    </row>
    <row r="2164" spans="32:32" x14ac:dyDescent="0.25">
      <c r="AF2164" s="22"/>
    </row>
    <row r="2165" spans="32:32" x14ac:dyDescent="0.25">
      <c r="AF2165" s="22"/>
    </row>
  </sheetData>
  <mergeCells count="21">
    <mergeCell ref="M3:M4"/>
    <mergeCell ref="N3:N4"/>
    <mergeCell ref="O3:O4"/>
    <mergeCell ref="AO3:AO4"/>
    <mergeCell ref="AR3:AR4"/>
    <mergeCell ref="AO1:AT1"/>
    <mergeCell ref="Z1:AA1"/>
    <mergeCell ref="AB1:AC1"/>
    <mergeCell ref="P2:Q2"/>
    <mergeCell ref="R2:S2"/>
    <mergeCell ref="T2:U2"/>
    <mergeCell ref="V2:W2"/>
    <mergeCell ref="X2:Y2"/>
    <mergeCell ref="Z2:AA2"/>
    <mergeCell ref="AB2:AC2"/>
    <mergeCell ref="X1:Y1"/>
    <mergeCell ref="C1:J1"/>
    <mergeCell ref="P1:Q1"/>
    <mergeCell ref="R1:S1"/>
    <mergeCell ref="T1:U1"/>
    <mergeCell ref="V1:W1"/>
  </mergeCells>
  <conditionalFormatting sqref="D27">
    <cfRule type="expression" dxfId="31" priority="19">
      <formula>IF(AND(D27&gt;0.75,D27&lt;=0.85),1)</formula>
    </cfRule>
    <cfRule type="expression" dxfId="30" priority="17">
      <formula>IF(D27&lt;=0.6,1)</formula>
    </cfRule>
    <cfRule type="expression" dxfId="29" priority="18">
      <formula>IF(AND(D27&gt;0.6,D27&lt;=0.75),1)</formula>
    </cfRule>
    <cfRule type="expression" dxfId="28" priority="20">
      <formula>IF(AND(D27&gt;0.85,D27&lt;=1),1)</formula>
    </cfRule>
  </conditionalFormatting>
  <conditionalFormatting sqref="D31">
    <cfRule type="expression" dxfId="27" priority="2">
      <formula>IF(AND(D31&gt;0.6,D31&lt;=0.75),1)</formula>
    </cfRule>
    <cfRule type="expression" dxfId="26" priority="3">
      <formula>IF(AND(D31&gt;0.75,D31&lt;=0.85),1)</formula>
    </cfRule>
    <cfRule type="expression" dxfId="25" priority="4">
      <formula>IF(AND(D31&gt;0.85,D31&lt;=1),1)</formula>
    </cfRule>
    <cfRule type="expression" dxfId="24" priority="1">
      <formula>IF(D31&lt;=0.6,1)</formula>
    </cfRule>
  </conditionalFormatting>
  <conditionalFormatting sqref="E27">
    <cfRule type="expression" dxfId="23" priority="21">
      <formula>IF(E27&lt;=0.5,1)</formula>
    </cfRule>
    <cfRule type="expression" dxfId="22" priority="22">
      <formula>IF(AND(E27&gt;0.5,E27&lt;=0.7),1)</formula>
    </cfRule>
    <cfRule type="expression" dxfId="21" priority="23">
      <formula>IF(AND(E27&gt;0.7,E27&lt;=0.8),1)</formula>
    </cfRule>
    <cfRule type="expression" dxfId="20" priority="24">
      <formula>IF(AND(E27&gt;0.8,E27&lt;=1),1)</formula>
    </cfRule>
  </conditionalFormatting>
  <conditionalFormatting sqref="E31">
    <cfRule type="expression" dxfId="19" priority="5">
      <formula>IF(E31&lt;=0.5,1)</formula>
    </cfRule>
    <cfRule type="expression" dxfId="18" priority="6">
      <formula>IF(AND(E31&gt;0.5,E31&lt;=0.7),1)</formula>
    </cfRule>
    <cfRule type="expression" dxfId="17" priority="7">
      <formula>IF(AND(E31&gt;0.7,E31&lt;=0.8),1)</formula>
    </cfRule>
    <cfRule type="expression" dxfId="16" priority="8">
      <formula>IF(AND(E31&gt;0.8,E31&lt;=1),1)</formula>
    </cfRule>
  </conditionalFormatting>
  <conditionalFormatting sqref="F27">
    <cfRule type="expression" dxfId="15" priority="25">
      <formula>IF(F27&gt;0.7,1)</formula>
    </cfRule>
    <cfRule type="expression" dxfId="14" priority="26">
      <formula>IF(AND(F27&gt;0.6,F27&lt;=0.7),1)</formula>
    </cfRule>
    <cfRule type="expression" dxfId="13" priority="27">
      <formula>IF(AND(F27&gt;0.5,F27&lt;=0.6),1)</formula>
    </cfRule>
    <cfRule type="expression" dxfId="12" priority="28">
      <formula>IF(AND(F27&gt;0,F27&lt;=0.5),1)</formula>
    </cfRule>
  </conditionalFormatting>
  <conditionalFormatting sqref="F31">
    <cfRule type="expression" dxfId="11" priority="9">
      <formula>IF(F31&gt;0.7,1)</formula>
    </cfRule>
    <cfRule type="expression" dxfId="10" priority="10">
      <formula>IF(AND(F31&gt;0.6,F31&lt;=0.7),1)</formula>
    </cfRule>
    <cfRule type="expression" dxfId="9" priority="11">
      <formula>IF(AND(F31&gt;0.5,F31&lt;=0.6),1)</formula>
    </cfRule>
    <cfRule type="expression" dxfId="8" priority="12">
      <formula>IF(AND(F31&gt;0,F31&lt;=0.5),1)</formula>
    </cfRule>
  </conditionalFormatting>
  <conditionalFormatting sqref="G31">
    <cfRule type="expression" dxfId="7" priority="13">
      <formula>IF(ABS(G31)&gt;=15,1)</formula>
    </cfRule>
    <cfRule type="expression" dxfId="6" priority="14">
      <formula>IF(AND(ABS(G31)&gt;10,ABS(G31)&lt;=15),1)</formula>
    </cfRule>
    <cfRule type="expression" dxfId="5" priority="15">
      <formula>IF(AND(ABS(G31)&gt;=5,ABS(G31)&lt;=10),1)</formula>
    </cfRule>
    <cfRule type="expression" dxfId="4" priority="16">
      <formula>IF(ABS(G31)&lt;5,1)</formula>
    </cfRule>
  </conditionalFormatting>
  <conditionalFormatting sqref="G27:H27">
    <cfRule type="expression" dxfId="3" priority="29">
      <formula>IF(ABS(G27)&gt;=15,1)</formula>
    </cfRule>
    <cfRule type="expression" dxfId="2" priority="30">
      <formula>IF(AND(ABS(G27)&gt;10,ABS(G27)&lt;=15),1)</formula>
    </cfRule>
    <cfRule type="expression" dxfId="1" priority="31">
      <formula>IF(AND(ABS(G27)&gt;=5,ABS(G27)&lt;=10),1)</formula>
    </cfRule>
    <cfRule type="expression" dxfId="0" priority="32">
      <formula>IF(ABS(G27)&lt;5,1)</formula>
    </cfRule>
  </conditionalFormatting>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Statics Reference</vt:lpstr>
      <vt:lpstr>Summary</vt:lpstr>
      <vt:lpstr>Gage_and_Event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2026-10-08T02:53:39Z</dcterms:created>
  <dcterms:modified xsi:type="dcterms:W3CDTF">2026-10-08T02:53:45Z</dcterms:modified>
</cp:coreProperties>
</file>